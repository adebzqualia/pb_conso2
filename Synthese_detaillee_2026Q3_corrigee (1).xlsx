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CORE Stock" sheetId="2" r:id="rId2"/>
    <sheet name="CORE Flows" sheetId="3" r:id="rId3"/>
    <sheet name="NON CORE Stock" sheetId="4" r:id="rId4"/>
    <sheet name="ES Spain" sheetId="5" r:id="rId5"/>
    <sheet name="DE Germany" sheetId="6" r:id="rId6"/>
    <sheet name="AT Austria" sheetId="7" r:id="rId7"/>
    <sheet name="BE Belgium" sheetId="8" r:id="rId8"/>
    <sheet name="IT Italy" sheetId="9" r:id="rId9"/>
    <sheet name="PT Portugal" sheetId="10" r:id="rId10"/>
    <sheet name="FR France" sheetId="11" r:id="rId11"/>
    <sheet name="UK UK" sheetId="12" r:id="rId12"/>
    <sheet name="ZA South Africa" sheetId="13" r:id="rId13"/>
    <sheet name="RO Romania" sheetId="14" r:id="rId14"/>
    <sheet name="BR Brazil" sheetId="15" r:id="rId15"/>
    <sheet name="DK Denmark" sheetId="16" r:id="rId16"/>
    <sheet name="NO Norway" sheetId="17" r:id="rId17"/>
    <sheet name="SE Sweden" sheetId="18" r:id="rId18"/>
    <sheet name="Consolidation" sheetId="19" r:id="rId19" state="hidden"/>
    <sheet name="Flux" sheetId="20" r:id="rId20" state="hidden"/>
    <sheet name="Stock" sheetId="21" r:id="rId21" state="hidden"/>
    <sheet name="Repartition stock" sheetId="22" r:id="rId22" state="hidden"/>
    <sheet name="Taux" sheetId="23" r:id="rId23"/>
    <sheet name="GraphData" sheetId="26" r:id="rId26" state="hidden"/>
    <sheet name="Presentation inputs" sheetId="27" r:id="rId27" state="hidden"/>
  </sheets>
  <definedNames>
    <definedName name="Periodes">'Taux'!$H$6:$H$8</definedName>
    <definedName name="_xlnm.Print_Area" localSheetId="6">'AT Austria'!$A$1:$AF$42</definedName>
    <definedName name="_xlnm.Print_Area" localSheetId="7">'BE Belgium'!$A$1:$AF$42</definedName>
    <definedName name="_xlnm.Print_Area" localSheetId="14">'BR Brazil'!$A$1:$AF$42</definedName>
    <definedName name="_xlnm.Print_Area" localSheetId="2">'CORE Flows'!$A$1:$AF$42</definedName>
    <definedName name="_xlnm.Print_Area" localSheetId="1">'CORE Stock'!$A$1:$AF$42</definedName>
    <definedName name="_xlnm.Print_Area" localSheetId="5">'DE Germany'!$A$1:$AF$43</definedName>
    <definedName name="_xlnm.Print_Area" localSheetId="15">'DK Denmark'!$A$1:$AF$42</definedName>
    <definedName name="_xlnm.Print_Area" localSheetId="4">'ES Spain'!$A$1:$AF$42</definedName>
    <definedName name="_xlnm.Print_Area" localSheetId="10">'FR France'!$A$1:$AF$42</definedName>
    <definedName name="_xlnm.Print_Area" localSheetId="0">Global!$A$1:$AF$91</definedName>
    <definedName name="_xlnm.Print_Area" localSheetId="8">'IT Italy'!$A$1:$AF$42</definedName>
    <definedName name="_xlnm.Print_Area" localSheetId="16">'NO Norway'!$A$1:$AF$42</definedName>
    <definedName name="_xlnm.Print_Area" localSheetId="3">'NON CORE Stock'!$A$1:$AF$42</definedName>
    <definedName name="_xlnm.Print_Area" localSheetId="9">'PT Portugal'!$A$1:$AF$42</definedName>
    <definedName name="_xlnm.Print_Area" localSheetId="13">'RO Romania'!$A$1:$AF$42</definedName>
    <definedName name="_xlnm.Print_Area" localSheetId="17">'SE Sweden'!$A$1:$AF$42</definedName>
    <definedName name="_xlnm.Print_Area" localSheetId="11">'UK UK'!$A$1:$AF$42</definedName>
    <definedName name="_xlnm.Print_Area" localSheetId="12">'ZA South Africa'!$A$1:$AF$42</definedName>
    <definedName name="_xlnm.Print_Titles" localSheetId="6">'AT Austria'!$1:$1</definedName>
    <definedName name="_xlnm.Print_Titles" localSheetId="7">'BE Belgium'!$1:$1</definedName>
    <definedName name="_xlnm.Print_Titles" localSheetId="14">'BR Brazil'!$1:$1</definedName>
    <definedName name="_xlnm.Print_Titles" localSheetId="18">Consolidation!$1:$5</definedName>
    <definedName name="_xlnm.Print_Titles" localSheetId="2">'CORE Flows'!$1:$1</definedName>
    <definedName name="_xlnm.Print_Titles" localSheetId="1">'CORE Stock'!$1:$1</definedName>
    <definedName name="_xlnm.Print_Titles" localSheetId="5">'DE Germany'!$1:$1</definedName>
    <definedName name="_xlnm.Print_Titles" localSheetId="15">'DK Denmark'!$1:$1</definedName>
    <definedName name="_xlnm.Print_Titles" localSheetId="4">'ES Spain'!$1:$1</definedName>
    <definedName name="_xlnm.Print_Titles" localSheetId="19">Flux!$1:$5</definedName>
    <definedName name="_xlnm.Print_Titles" localSheetId="10">'FR France'!$1:$1</definedName>
    <definedName name="_xlnm.Print_Titles" localSheetId="0">Global!$1:$1</definedName>
    <definedName name="_xlnm.Print_Titles" localSheetId="8">'IT Italy'!$1:$1</definedName>
    <definedName name="_xlnm.Print_Titles" localSheetId="16">'NO Norway'!$1:$1</definedName>
    <definedName name="_xlnm.Print_Titles" localSheetId="3">'NON CORE Stock'!$1:$1</definedName>
    <definedName name="_xlnm.Print_Titles" localSheetId="9">'PT Portugal'!$1:$1</definedName>
    <definedName name="_xlnm.Print_Titles" localSheetId="21">'Repartition stock'!$1:$5</definedName>
    <definedName name="_xlnm.Print_Titles" localSheetId="13">'RO Romania'!$1:$1</definedName>
    <definedName name="_xlnm.Print_Titles" localSheetId="17">'SE Sweden'!$1:$1</definedName>
    <definedName name="_xlnm.Print_Titles" localSheetId="20">Stock!$1:$5</definedName>
    <definedName name="_xlnm.Print_Titles" localSheetId="22">Taux!$1:$5</definedName>
    <definedName name="_xlnm.Print_Titles" localSheetId="11">'UK UK'!$1:$1</definedName>
    <definedName name="_xlnm.Print_Titles" localSheetId="12">'ZA South Africa'!$1:$1</definedName>
  </definedNames>
  <calcPr calcId="124519" fullCalcOnLoad="1"/>
</workbook>
</file>

<file path=xl/sharedStrings.xml><?xml version="1.0" encoding="utf-8"?>
<sst xmlns="http://schemas.openxmlformats.org/spreadsheetml/2006/main" count="5897" uniqueCount="321">
  <si>
    <t>2026Q3 — 14 / 14 countries — Romania stock: 0 — comparison at Q3 FX</t>
  </si>
  <si>
    <t>GLOBAL countries: Stock analysis</t>
  </si>
  <si>
    <t>Q2 and Q3 translated at Q3 2026 closing FX. All 14 countries included; Romania closing stock confirmed at zero.</t>
  </si>
  <si>
    <t>Countries</t>
  </si>
  <si>
    <t>2026Q2
at Q3 FX</t>
  </si>
  <si>
    <t>2026Q3</t>
  </si>
  <si>
    <t>Evolution
current / prior</t>
  </si>
  <si>
    <t>Spain</t>
  </si>
  <si>
    <t>Germany + Austria</t>
  </si>
  <si>
    <t>Belgium</t>
  </si>
  <si>
    <t>Italy</t>
  </si>
  <si>
    <t>Portugal</t>
  </si>
  <si>
    <t>France</t>
  </si>
  <si>
    <t>UK</t>
  </si>
  <si>
    <t>South Africa</t>
  </si>
  <si>
    <t>Romania</t>
  </si>
  <si>
    <t>Brazil</t>
  </si>
  <si>
    <t>Denmark</t>
  </si>
  <si>
    <t>Norway</t>
  </si>
  <si>
    <t>Sweden</t>
  </si>
  <si>
    <t>TOTAL available perimeter</t>
  </si>
  <si>
    <t>Identified stock = pending + unreachable balances; Belgium adds public authority refunds.</t>
  </si>
  <si>
    <t>Q2 and Q3 use Q3 closing FX. Stock breakdowns retain each country’s reporting scope.</t>
  </si>
  <si>
    <t>Positive Balance     2026Q3     Updated country inputs and closing FX     Internal</t>
  </si>
  <si>
    <t>GLOBAL countries: Monthly inflow and treatment efficiency</t>
  </si>
  <si>
    <t>EUR amounts. M-5 efficiency uses the oldest cohort in each reporting snapshot. Monthly flow view covers 13 countries. Romania monthly flows were not provided. Q2 / Q3 comparisons use Q3 FX.</t>
  </si>
  <si>
    <t>Monthly flow in EUR</t>
  </si>
  <si>
    <t>Monthly average</t>
  </si>
  <si>
    <t>Apr-26</t>
  </si>
  <si>
    <t>May-26</t>
  </si>
  <si>
    <t>Jun-26</t>
  </si>
  <si>
    <t>Jul-26</t>
  </si>
  <si>
    <t>Aug-26</t>
  </si>
  <si>
    <t>Sep-26</t>
  </si>
  <si>
    <t>Total available</t>
  </si>
  <si>
    <t>Country</t>
  </si>
  <si>
    <t>Efficiency in amount</t>
  </si>
  <si>
    <t>Efficiency in number</t>
  </si>
  <si>
    <t>2026Q2</t>
  </si>
  <si>
    <t>n.d.</t>
  </si>
  <si>
    <t>Compare the same M-5 cohort maturity across reporting dates.</t>
  </si>
  <si>
    <t>CORE countries: Stock analysis</t>
  </si>
  <si>
    <t>Q2 and Q3 translated at Q3 2026 closing FX. Germany and Austria combined in consolidated rows.</t>
  </si>
  <si>
    <t>CORE countries: Monthly inflow and treatment efficiency</t>
  </si>
  <si>
    <t>EUR amounts. M-5 efficiency uses the oldest cohort in each reporting snapshot. Q2 and Q3 translated at Q3 2026 closing FX. Germany and Austria combined in consolidated rows.</t>
  </si>
  <si>
    <t>NON CORE countries: Stock analysis</t>
  </si>
  <si>
    <t>Q2 and Q3 translated at Q3 2026 closing FX. Romania closing stock confirmed at zero.</t>
  </si>
  <si>
    <t>Stock in EUR</t>
  </si>
  <si>
    <t>Total</t>
  </si>
  <si>
    <t>&lt;2025</t>
  </si>
  <si>
    <t>2025</t>
  </si>
  <si>
    <t>2026</t>
  </si>
  <si>
    <t>TOTAL available</t>
  </si>
  <si>
    <t>Waiting accounts for Nordics (CST)</t>
  </si>
  <si>
    <t>2026Q2 EUR</t>
  </si>
  <si>
    <t>2026Q3 EUR</t>
  </si>
  <si>
    <t>Change</t>
  </si>
  <si>
    <t>Romania closing stock is confirmed at zero. Nordic stock excludes separate CST account balances.</t>
  </si>
  <si>
    <t>Romania: Q3 closing stock confirmed at zero; monthly flow and treatment figures not provided.
Separate Nordic CST account balances remain unavailable. CSR transfers are movements, not account balances.</t>
  </si>
  <si>
    <t>STOCK OF POSITIVE BALANCES
Breakdown by amount and vintage</t>
  </si>
  <si>
    <t>Number of
contracts</t>
  </si>
  <si>
    <t>Total amount
EUR</t>
  </si>
  <si>
    <t>% in
number</t>
  </si>
  <si>
    <t>% in
amount</t>
  </si>
  <si>
    <t>2026Q3 — EUR. Stock breakdown and identified stock may have different scopes.</t>
  </si>
  <si>
    <t>By step of amount</t>
  </si>
  <si>
    <t>0 - 1 €</t>
  </si>
  <si>
    <t>1 - 10 €</t>
  </si>
  <si>
    <t>10 - 100 €</t>
  </si>
  <si>
    <t>100 - 1 000 €</t>
  </si>
  <si>
    <t>&gt; 1 000 €</t>
  </si>
  <si>
    <t>Total:</t>
  </si>
  <si>
    <t>By date of positive balance</t>
  </si>
  <si>
    <t>&lt;2018</t>
  </si>
  <si>
    <t>2018</t>
  </si>
  <si>
    <t>2019</t>
  </si>
  <si>
    <t>2020</t>
  </si>
  <si>
    <t>2021</t>
  </si>
  <si>
    <t>2022</t>
  </si>
  <si>
    <t>2023</t>
  </si>
  <si>
    <t>2024</t>
  </si>
  <si>
    <t>Some vintage details are missing. The reported total is retained.</t>
  </si>
  <si>
    <t>Identified stock change vs 2026Q2: 0.3%.</t>
  </si>
  <si>
    <t>Germany</t>
  </si>
  <si>
    <t>100 - 500 €</t>
  </si>
  <si>
    <t>500 - 1 000 €</t>
  </si>
  <si>
    <t>Identified stock change vs 2026Q2: -20.0%.</t>
  </si>
  <si>
    <t>Austria</t>
  </si>
  <si>
    <t>Identified stock change vs 2026Q2: 17.7%.</t>
  </si>
  <si>
    <t>Identified stock change vs 2026Q2: 8.0%.</t>
  </si>
  <si>
    <t>Identified stock change vs 2026Q2: 13.6%.</t>
  </si>
  <si>
    <t>Identified stock change vs 2026Q2: 2.4%.</t>
  </si>
  <si>
    <t>2026Q3 — EUR. Closed cases transferred to public authorities are excluded from the stock breakdown.</t>
  </si>
  <si>
    <t>Identified stock change vs 2026Q2: -13.1%.</t>
  </si>
  <si>
    <t>UK in GBP</t>
  </si>
  <si>
    <t>Total amount
GBP</t>
  </si>
  <si>
    <t>2026Q3 — GBP. Stock breakdown and identified stock may have different scopes.</t>
  </si>
  <si>
    <t>Identified stock change vs 2026Q2: 21.8%.</t>
  </si>
  <si>
    <t>South Africa in ZAR</t>
  </si>
  <si>
    <t>Total amount
ZAR</t>
  </si>
  <si>
    <t>2026Q3 — ZAR. Stock breakdown and identified stock may have different scopes.</t>
  </si>
  <si>
    <t>&lt;2019</t>
  </si>
  <si>
    <t>Amount bands omitted: source distribution is not informative.</t>
  </si>
  <si>
    <t>Identified stock change vs 2026Q2: 6.8%.</t>
  </si>
  <si>
    <t>2026Q3 — EUR. Closing stock confirmed at zero.</t>
  </si>
  <si>
    <t>Monthly flow and treatment data are not available for this country.</t>
  </si>
  <si>
    <t>Closing stock: 0 EUR, confirmed for Q3 2026.</t>
  </si>
  <si>
    <t>Q2 stock: 48,888 EUR. Change: -100.0%.</t>
  </si>
  <si>
    <t>Monthly inflow and treatment efficiency have not been provided.</t>
  </si>
  <si>
    <t>Brazil in BRL</t>
  </si>
  <si>
    <t>Total amount
BRL</t>
  </si>
  <si>
    <t>2026Q3 — BRL. Monthly calendar IN / OUT movements.</t>
  </si>
  <si>
    <t>IN: orange, left axis. OUT: green, right axis. Axes use different scales because May OUT is much larger. Calendar OUT is not cohort treatment.</t>
  </si>
  <si>
    <t>Average monthly IN: 12,264 BRL. Average amount per incoming transaction: 101 BRL.</t>
  </si>
  <si>
    <t>Cohort treatment efficiency: 0 displayed because this measure is not supplied for Brazil.</t>
  </si>
  <si>
    <t>Reported stock: 22,106,988 BRL.</t>
  </si>
  <si>
    <t>Stock change vs Q2 at constant Q3 FX: -1.0%.</t>
  </si>
  <si>
    <t>Denmark in DKK</t>
  </si>
  <si>
    <t>Total amount
DKK</t>
  </si>
  <si>
    <t>2026Q3 — DKK. Stock breakdown and identified stock may have different scopes.</t>
  </si>
  <si>
    <t>0 - 7,5 Kr</t>
  </si>
  <si>
    <t>7,5 - 75 Kr</t>
  </si>
  <si>
    <t>75 - 748 Kr</t>
  </si>
  <si>
    <t>748 - 7476 Kr</t>
  </si>
  <si>
    <t>&gt;7476 Kr</t>
  </si>
  <si>
    <t>Separate CST account not supplied. Identified stock excludes CST.</t>
  </si>
  <si>
    <t>Norway in NOK</t>
  </si>
  <si>
    <t>Total amount
NOK</t>
  </si>
  <si>
    <t>2026Q3 — NOK. Stock breakdown and identified stock may have different scopes.</t>
  </si>
  <si>
    <t>0 - 10,9 Kr</t>
  </si>
  <si>
    <t>10,9 - 109 Kr</t>
  </si>
  <si>
    <t>109 - 1090 Kr</t>
  </si>
  <si>
    <t>1090 - 10902 Kr</t>
  </si>
  <si>
    <t>&gt;10902 Kr</t>
  </si>
  <si>
    <t>Sweden in SEK</t>
  </si>
  <si>
    <t>Total amount
SEK</t>
  </si>
  <si>
    <t>2026Q3 — SEK. Stock breakdown and identified stock may have different scopes.</t>
  </si>
  <si>
    <t>0 - 11,3 Kr</t>
  </si>
  <si>
    <t>11,3 - 113 Kr</t>
  </si>
  <si>
    <t>113 - 1133 Kr</t>
  </si>
  <si>
    <t>1133 - 11331 Kr</t>
  </si>
  <si>
    <t>&gt;11331 Kr</t>
  </si>
  <si>
    <t>Quarterly indicators</t>
  </si>
  <si>
    <t>Calculated for this reporting run.</t>
  </si>
  <si>
    <t>Trimestre</t>
  </si>
  <si>
    <t>Code pays</t>
  </si>
  <si>
    <t>Pays</t>
  </si>
  <si>
    <t>Devise</t>
  </si>
  <si>
    <t>Taux local pour 1 EUR</t>
  </si>
  <si>
    <t>total</t>
  </si>
  <si>
    <t>processed</t>
  </si>
  <si>
    <t>remaining</t>
  </si>
  <si>
    <t>unreachable</t>
  </si>
  <si>
    <t>identified</t>
  </si>
  <si>
    <t>cst</t>
  </si>
  <si>
    <t>including_cst</t>
  </si>
  <si>
    <t>remaining_eur</t>
  </si>
  <si>
    <t>identified_eur</t>
  </si>
  <si>
    <t>including_cst_eur</t>
  </si>
  <si>
    <t>contracts</t>
  </si>
  <si>
    <t>flow_eur</t>
  </si>
  <si>
    <t>processed_eur</t>
  </si>
  <si>
    <t>count</t>
  </si>
  <si>
    <t>processed_count</t>
  </si>
  <si>
    <t>efficiency_amount</t>
  </si>
  <si>
    <t>efficiency_count</t>
  </si>
  <si>
    <t>monthly_average</t>
  </si>
  <si>
    <t>oldest_amount</t>
  </si>
  <si>
    <t>oldest_count</t>
  </si>
  <si>
    <t>quarter_flow_eur</t>
  </si>
  <si>
    <t>quarter_processed_eur</t>
  </si>
  <si>
    <t>quarter_efficiency</t>
  </si>
  <si>
    <t>2026Q1</t>
  </si>
  <si>
    <t>ES</t>
  </si>
  <si>
    <t>EUR</t>
  </si>
  <si>
    <t>DE</t>
  </si>
  <si>
    <t>AT</t>
  </si>
  <si>
    <t>BE</t>
  </si>
  <si>
    <t>IT</t>
  </si>
  <si>
    <t>PT</t>
  </si>
  <si>
    <t>FR</t>
  </si>
  <si>
    <t>GBP</t>
  </si>
  <si>
    <t>ZA</t>
  </si>
  <si>
    <t>ZAR</t>
  </si>
  <si>
    <t>RO</t>
  </si>
  <si>
    <t>BR</t>
  </si>
  <si>
    <t>BRL</t>
  </si>
  <si>
    <t>DK</t>
  </si>
  <si>
    <t>DKK</t>
  </si>
  <si>
    <t>NO</t>
  </si>
  <si>
    <t>NOK</t>
  </si>
  <si>
    <t>SE</t>
  </si>
  <si>
    <t>SEK</t>
  </si>
  <si>
    <t>Flux par cohorte mensuelle et date de reporting</t>
  </si>
  <si>
    <t>Une même cohorte peut apparaître dans plusieurs trimestres de reporting. Filtrer le trimestre avant d'agréger.</t>
  </si>
  <si>
    <t>Mois de cohorte</t>
  </si>
  <si>
    <t>Flux local</t>
  </si>
  <si>
    <t>Contrats entrants</t>
  </si>
  <si>
    <t>Remboursé client local</t>
  </si>
  <si>
    <t>Injoignables local</t>
  </si>
  <si>
    <t>Faux positifs local</t>
  </si>
  <si>
    <t>Autorités local</t>
  </si>
  <si>
    <t>Autres sans remboursement local</t>
  </si>
  <si>
    <t>Traité calculé local</t>
  </si>
  <si>
    <t>Contrats traités</t>
  </si>
  <si>
    <t>Reste local</t>
  </si>
  <si>
    <t>Contrats restants</t>
  </si>
  <si>
    <t>Flux EUR</t>
  </si>
  <si>
    <t>Traité EUR</t>
  </si>
  <si>
    <t>Efficacité montant</t>
  </si>
  <si>
    <t>Efficacité nombre</t>
  </si>
  <si>
    <t>Traité déclaré local</t>
  </si>
  <si>
    <t>Stock par millésime issu de KPI_2</t>
  </si>
  <si>
    <t>Catégories absentes du modèle pays : n.d. Les calculs utilisent uniquement les catégories applicables.</t>
  </si>
  <si>
    <t>Millésime</t>
  </si>
  <si>
    <t>Stock initial local</t>
  </si>
  <si>
    <t>A traiter local</t>
  </si>
  <si>
    <t>Stock identifié local</t>
  </si>
  <si>
    <t>A traiter déclaré local</t>
  </si>
  <si>
    <t>A traiter EUR</t>
  </si>
  <si>
    <t>Stock identifié EUR</t>
  </si>
  <si>
    <t>&lt;2024</t>
  </si>
  <si>
    <t>Répartitions de stock</t>
  </si>
  <si>
    <t>Tranches et millésimes décrivent le même stock. Ne pas additionner les deux répartitions. Libellés de tranche conservés.</t>
  </si>
  <si>
    <t>Répartition</t>
  </si>
  <si>
    <t>Catégorie</t>
  </si>
  <si>
    <t>Contrats</t>
  </si>
  <si>
    <t>Montant local</t>
  </si>
  <si>
    <t>Montant EUR</t>
  </si>
  <si>
    <t>Tranche</t>
  </si>
  <si>
    <t>75 - 747 Kr</t>
  </si>
  <si>
    <t>747 - 7474 Kr</t>
  </si>
  <si>
    <t>&gt;7474 Kr</t>
  </si>
  <si>
    <t>113 - 1131 Kr</t>
  </si>
  <si>
    <t>1131 - 11311 Kr</t>
  </si>
  <si>
    <t>&gt;11311 Kr</t>
  </si>
  <si>
    <t>0 - 11,1 Kr</t>
  </si>
  <si>
    <t>11,1 - 111 Kr</t>
  </si>
  <si>
    <t>111 - 1109 Kr</t>
  </si>
  <si>
    <t>1109 - 11094 Kr</t>
  </si>
  <si>
    <t>&gt;11094 Kr</t>
  </si>
  <si>
    <t>Taux de conversion</t>
  </si>
  <si>
    <t>Q2 rows in this report intentionally use Q3 2026 closing rates for constant-FX comparison.</t>
  </si>
  <si>
    <t>Date des taux</t>
  </si>
  <si>
    <t>Devise locale pour 1 EUR</t>
  </si>
  <si>
    <t>Type de taux</t>
  </si>
  <si>
    <t>Trimestres disponibles</t>
  </si>
  <si>
    <t>Clôture</t>
  </si>
  <si>
    <t>Formula-linked chart data</t>
  </si>
  <si>
    <t>GLOBAL stock matrix</t>
  </si>
  <si>
    <t>Prior identified EUR</t>
  </si>
  <si>
    <t>Current identified EUR</t>
  </si>
  <si>
    <t>Remaining EUR</t>
  </si>
  <si>
    <t>Identified &lt;2025</t>
  </si>
  <si>
    <t>Identified 2025</t>
  </si>
  <si>
    <t>Identified 2026</t>
  </si>
  <si>
    <t>Remaining &lt;2025</t>
  </si>
  <si>
    <t>Remaining 2025</t>
  </si>
  <si>
    <t>Remaining 2026</t>
  </si>
  <si>
    <t>DE + AT</t>
  </si>
  <si>
    <t>S. Africa</t>
  </si>
  <si>
    <t>GLOBAL monthly by country</t>
  </si>
  <si>
    <t>Month</t>
  </si>
  <si>
    <t>GLOBAL oldest cohort comparison</t>
  </si>
  <si>
    <t>Prior number</t>
  </si>
  <si>
    <t>Current number</t>
  </si>
  <si>
    <t>Prior amount</t>
  </si>
  <si>
    <t>Current amount</t>
  </si>
  <si>
    <t>core stock matrix</t>
  </si>
  <si>
    <t>core monthly by country</t>
  </si>
  <si>
    <t>core oldest cohort comparison</t>
  </si>
  <si>
    <t>noncore stock matrix</t>
  </si>
  <si>
    <t>ES monthly chart</t>
  </si>
  <si>
    <t>With client refund</t>
  </si>
  <si>
    <t>False positive balance</t>
  </si>
  <si>
    <t>To be processed</t>
  </si>
  <si>
    <t>Customer not reachable</t>
  </si>
  <si>
    <t>ES insight metrics</t>
  </si>
  <si>
    <t>Average contract</t>
  </si>
  <si>
    <t>M-5 amount</t>
  </si>
  <si>
    <t>M-5 count</t>
  </si>
  <si>
    <t>Remaining</t>
  </si>
  <si>
    <t>Identified</t>
  </si>
  <si>
    <t>DE monthly chart</t>
  </si>
  <si>
    <t>DE insight metrics</t>
  </si>
  <si>
    <t>AT monthly chart</t>
  </si>
  <si>
    <t>AT insight metrics</t>
  </si>
  <si>
    <t>BE monthly chart</t>
  </si>
  <si>
    <t>Public authority refund</t>
  </si>
  <si>
    <t>BE insight metrics</t>
  </si>
  <si>
    <t>IT monthly chart</t>
  </si>
  <si>
    <t>IT insight metrics</t>
  </si>
  <si>
    <t>PT monthly chart</t>
  </si>
  <si>
    <t>PT insight metrics</t>
  </si>
  <si>
    <t>FR monthly chart</t>
  </si>
  <si>
    <t>FR insight metrics</t>
  </si>
  <si>
    <t>UK monthly chart</t>
  </si>
  <si>
    <t>UK insight metrics</t>
  </si>
  <si>
    <t>ZA monthly chart</t>
  </si>
  <si>
    <t>ZA insight metrics</t>
  </si>
  <si>
    <t>Brazil calendar movements</t>
  </si>
  <si>
    <t>IN BRL</t>
  </si>
  <si>
    <t>OUT BRL</t>
  </si>
  <si>
    <t>IN transactions</t>
  </si>
  <si>
    <t>OUT transactions</t>
  </si>
  <si>
    <t>Closing stock BRL</t>
  </si>
  <si>
    <t>Spacing</t>
  </si>
  <si>
    <t>DK monthly chart</t>
  </si>
  <si>
    <t>Other processing without refund</t>
  </si>
  <si>
    <t>DK insight metrics</t>
  </si>
  <si>
    <t>NO monthly chart</t>
  </si>
  <si>
    <t>NO insight metrics</t>
  </si>
  <si>
    <t>SE monthly chart</t>
  </si>
  <si>
    <t>SE insight metrics</t>
  </si>
  <si>
    <t>Reported distribution totals</t>
  </si>
  <si>
    <t>Period</t>
  </si>
  <si>
    <t>Distribution</t>
  </si>
  <si>
    <t>Reported count</t>
  </si>
  <si>
    <t>Reported amount local</t>
  </si>
  <si>
    <t>stock_bins</t>
  </si>
  <si>
    <t>stock_vintages</t>
  </si>
</sst>
</file>

<file path=xl/styles.xml><?xml version="1.0" encoding="utf-8"?>
<styleSheet xmlns="http://schemas.openxmlformats.org/spreadsheetml/2006/main">
  <numFmts count="7">
    <numFmt numFmtId="164" formatCode="#,##0;(#,##0);&quot;–&quot;"/>
    <numFmt numFmtId="165" formatCode="0.0%"/>
    <numFmt numFmtId="166" formatCode="#,##0;(#,##0);0"/>
    <numFmt numFmtId="167" formatCode="dd/mm/yyyy"/>
    <numFmt numFmtId="168" formatCode="#,##0.00;(#,##0.00);&quot;–&quot;"/>
    <numFmt numFmtId="169" formatCode="mmm-yy"/>
    <numFmt numFmtId="170" formatCode="0.00000000"/>
  </numFmts>
  <fonts count="15">
    <font>
      <sz val="11"/>
      <color theme="1"/>
      <name val="Calibri"/>
      <family val="2"/>
      <scheme val="minor"/>
    </font>
    <font>
      <sz val="9"/>
      <color rgb="FF526269"/>
      <name val="Arial"/>
      <family val="2"/>
    </font>
    <font>
      <sz val="23"/>
      <color rgb="FF17333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263A42"/>
      <name val="Arial"/>
      <family val="2"/>
    </font>
    <font>
      <sz val="8"/>
      <color rgb="FF526269"/>
      <name val="Arial"/>
      <family val="2"/>
    </font>
    <font>
      <b/>
      <sz val="24"/>
      <color rgb="FFFFFFFF"/>
      <name val="Arial"/>
      <family val="2"/>
    </font>
    <font>
      <b/>
      <sz val="10"/>
      <color rgb="FF00627A"/>
      <name val="Arial"/>
      <family val="2"/>
    </font>
    <font>
      <b/>
      <sz val="16"/>
      <color rgb="FF16324F"/>
      <name val="Arial"/>
      <family val="2"/>
    </font>
    <font>
      <i/>
      <sz val="10"/>
      <color rgb="FF566474"/>
      <name val="Arial"/>
      <family val="2"/>
    </font>
    <font>
      <b/>
      <sz val="10"/>
      <color rgb="FFFFFFFF"/>
      <name val="Arial"/>
      <family val="2"/>
    </font>
    <font>
      <sz val="10"/>
      <color rgb="FF993B15"/>
      <name val="Arial"/>
      <family val="2"/>
    </font>
    <font>
      <i/>
      <sz val="10"/>
      <color theme="1"/>
      <name val="Arial"/>
      <family val="2"/>
    </font>
    <font>
      <b/>
      <sz val="10"/>
      <color rgb="FF16324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7B900"/>
        <bgColor indexed="64"/>
      </patternFill>
    </fill>
    <fill>
      <patternFill patternType="solid">
        <fgColor rgb="FFEAF3F4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00627A"/>
        <bgColor indexed="64"/>
      </patternFill>
    </fill>
    <fill>
      <patternFill patternType="solid">
        <fgColor rgb="FF16324F"/>
        <bgColor indexed="64"/>
      </patternFill>
    </fill>
    <fill>
      <patternFill patternType="solid">
        <fgColor rgb="FF18334F"/>
        <bgColor indexed="64"/>
      </patternFill>
    </fill>
  </fills>
  <borders count="4">
    <border>
      <left/>
      <right/>
      <top/>
      <bottom/>
      <diagonal/>
    </border>
    <border>
      <left style="thin">
        <color rgb="FF607D8B"/>
      </left>
      <right style="thin">
        <color rgb="FF607D8B"/>
      </right>
      <top style="thin">
        <color rgb="FF607D8B"/>
      </top>
      <bottom style="thin">
        <color rgb="FF607D8B"/>
      </bottom>
      <diagonal/>
    </border>
    <border>
      <left style="thin">
        <color rgb="FF8B969B"/>
      </left>
      <right style="thin">
        <color rgb="FF8B969B"/>
      </right>
      <top style="thin">
        <color rgb="FF8B969B"/>
      </top>
      <bottom style="thin">
        <color rgb="FF8B969B"/>
      </bottom>
      <diagonal/>
    </border>
    <border>
      <left/>
      <right/>
      <top/>
      <bottom style="thin">
        <color rgb="FF9DAAB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0" fillId="5" borderId="0" xfId="0" applyFill="1"/>
    <xf numFmtId="0" fontId="7" fillId="5" borderId="0" xfId="0" applyFont="1" applyFill="1" applyAlignment="1">
      <alignment vertical="center"/>
    </xf>
    <xf numFmtId="167" fontId="8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166" fontId="3" fillId="4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6" borderId="0" xfId="0" applyFont="1" applyFill="1" applyAlignment="1">
      <alignment horizontal="center" vertical="center" wrapText="1"/>
    </xf>
    <xf numFmtId="168" fontId="4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9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70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14" fillId="0" borderId="3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11" fillId="7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color rgb="FF993B15"/>
      </font>
    </dxf>
    <dxf>
      <font>
        <color rgb="FF993B15"/>
      </font>
      <fill>
        <patternFill>
          <bgColor rgb="FFFFF0E3"/>
        </patternFill>
      </fill>
    </dxf>
    <dxf>
      <border>
        <left style="thin">
          <color rgb="FF6C9EA8"/>
        </left>
        <right style="thin">
          <color rgb="FF6C9EA8"/>
        </right>
        <top style="thin">
          <color rgb="FF6C9EA8"/>
        </top>
        <bottom style="thin">
          <color rgb="FF6C9EA8"/>
        </bottom>
        <vertical/>
        <horizontal/>
      </border>
    </dxf>
  </dxfs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Total identified stock in EUR: 2026Q3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GraphData!$A$7:$A$19</c:f>
              <c:strCache>
                <c:ptCount val="13"/>
                <c:pt idx="0">
                  <c:v>Spain</c:v>
                </c:pt>
                <c:pt idx="1">
                  <c:v>DE + AT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S. Africa</c:v>
                </c:pt>
                <c:pt idx="8">
                  <c:v>Romania</c:v>
                </c:pt>
                <c:pt idx="9">
                  <c:v>Brazil</c:v>
                </c:pt>
                <c:pt idx="10">
                  <c:v>Denmark</c:v>
                </c:pt>
                <c:pt idx="11">
                  <c:v>Norway</c:v>
                </c:pt>
                <c:pt idx="12">
                  <c:v>Sweden</c:v>
                </c:pt>
              </c:strCache>
            </c:strRef>
          </c:cat>
          <c:val>
            <c:numRef>
              <c:f>GraphData!$F$7:$F$19</c:f>
              <c:numCache>
                <c:formatCode>General</c:formatCode>
                <c:ptCount val="13"/>
                <c:pt idx="0">
                  <c:v>283623</c:v>
                </c:pt>
                <c:pt idx="1">
                  <c:v>824535</c:v>
                </c:pt>
                <c:pt idx="2">
                  <c:v>41555</c:v>
                </c:pt>
                <c:pt idx="3">
                  <c:v>1761215</c:v>
                </c:pt>
                <c:pt idx="4">
                  <c:v>7991</c:v>
                </c:pt>
                <c:pt idx="5">
                  <c:v>0</c:v>
                </c:pt>
                <c:pt idx="6">
                  <c:v>1750285.373187655</c:v>
                </c:pt>
                <c:pt idx="7">
                  <c:v>853771.8989843978</c:v>
                </c:pt>
                <c:pt idx="8">
                  <c:v>0</c:v>
                </c:pt>
                <c:pt idx="9">
                  <c:v>3645132.594854578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GraphData!$A$7:$A$19</c:f>
              <c:strCache>
                <c:ptCount val="13"/>
                <c:pt idx="0">
                  <c:v>Spain</c:v>
                </c:pt>
                <c:pt idx="1">
                  <c:v>DE + AT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S. Africa</c:v>
                </c:pt>
                <c:pt idx="8">
                  <c:v>Romania</c:v>
                </c:pt>
                <c:pt idx="9">
                  <c:v>Brazil</c:v>
                </c:pt>
                <c:pt idx="10">
                  <c:v>Denmark</c:v>
                </c:pt>
                <c:pt idx="11">
                  <c:v>Norway</c:v>
                </c:pt>
                <c:pt idx="12">
                  <c:v>Sweden</c:v>
                </c:pt>
              </c:strCache>
            </c:strRef>
          </c:cat>
          <c:val>
            <c:numRef>
              <c:f>GraphData!$G$7:$G$19</c:f>
              <c:numCache>
                <c:formatCode>General</c:formatCode>
                <c:ptCount val="13"/>
                <c:pt idx="0">
                  <c:v>31090</c:v>
                </c:pt>
                <c:pt idx="1">
                  <c:v>323497</c:v>
                </c:pt>
                <c:pt idx="2">
                  <c:v>1390</c:v>
                </c:pt>
                <c:pt idx="3">
                  <c:v>339318</c:v>
                </c:pt>
                <c:pt idx="4">
                  <c:v>64102</c:v>
                </c:pt>
                <c:pt idx="5">
                  <c:v>221972</c:v>
                </c:pt>
                <c:pt idx="6">
                  <c:v>733237.6044435789</c:v>
                </c:pt>
                <c:pt idx="7">
                  <c:v>331751.7109314926</c:v>
                </c:pt>
                <c:pt idx="8">
                  <c:v>0</c:v>
                </c:pt>
                <c:pt idx="9">
                  <c:v>112194.0044735404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GraphData!$A$7:$A$19</c:f>
              <c:strCache>
                <c:ptCount val="13"/>
                <c:pt idx="0">
                  <c:v>Spain</c:v>
                </c:pt>
                <c:pt idx="1">
                  <c:v>DE + AT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S. Africa</c:v>
                </c:pt>
                <c:pt idx="8">
                  <c:v>Romania</c:v>
                </c:pt>
                <c:pt idx="9">
                  <c:v>Brazil</c:v>
                </c:pt>
                <c:pt idx="10">
                  <c:v>Denmark</c:v>
                </c:pt>
                <c:pt idx="11">
                  <c:v>Norway</c:v>
                </c:pt>
                <c:pt idx="12">
                  <c:v>Sweden</c:v>
                </c:pt>
              </c:strCache>
            </c:strRef>
          </c:cat>
          <c:val>
            <c:numRef>
              <c:f>GraphData!$H$7:$H$19</c:f>
              <c:numCache>
                <c:formatCode>General</c:formatCode>
                <c:ptCount val="13"/>
                <c:pt idx="0">
                  <c:v>1478452</c:v>
                </c:pt>
                <c:pt idx="1">
                  <c:v>1645005</c:v>
                </c:pt>
                <c:pt idx="2">
                  <c:v>104655</c:v>
                </c:pt>
                <c:pt idx="3">
                  <c:v>1333869</c:v>
                </c:pt>
                <c:pt idx="4">
                  <c:v>535499</c:v>
                </c:pt>
                <c:pt idx="5">
                  <c:v>2661669</c:v>
                </c:pt>
                <c:pt idx="6">
                  <c:v>1000391.12450384</c:v>
                </c:pt>
                <c:pt idx="7">
                  <c:v>862774.9705138876</c:v>
                </c:pt>
                <c:pt idx="8">
                  <c:v>0</c:v>
                </c:pt>
                <c:pt idx="9">
                  <c:v>17842.99631608924</c:v>
                </c:pt>
                <c:pt idx="10">
                  <c:v>2162.493668118371</c:v>
                </c:pt>
                <c:pt idx="11">
                  <c:v>2025.348040871968</c:v>
                </c:pt>
                <c:pt idx="12">
                  <c:v>15218.24551504693</c:v>
                </c:pt>
              </c:numCache>
            </c:numRef>
          </c:val>
        </c:ser>
        <c:gapWidth val="85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Stock to be processed in EUR: 2026Q3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GraphData!$A$7:$A$19</c:f>
              <c:strCache>
                <c:ptCount val="13"/>
                <c:pt idx="0">
                  <c:v>Spain</c:v>
                </c:pt>
                <c:pt idx="1">
                  <c:v>DE + AT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S. Africa</c:v>
                </c:pt>
                <c:pt idx="8">
                  <c:v>Romania</c:v>
                </c:pt>
                <c:pt idx="9">
                  <c:v>Brazil</c:v>
                </c:pt>
                <c:pt idx="10">
                  <c:v>Denmark</c:v>
                </c:pt>
                <c:pt idx="11">
                  <c:v>Norway</c:v>
                </c:pt>
                <c:pt idx="12">
                  <c:v>Sweden</c:v>
                </c:pt>
              </c:strCache>
            </c:strRef>
          </c:cat>
          <c:val>
            <c:numRef>
              <c:f>GraphData!$I$7:$I$19</c:f>
              <c:numCache>
                <c:formatCode>General</c:formatCode>
                <c:ptCount val="13"/>
                <c:pt idx="0">
                  <c:v>-2032</c:v>
                </c:pt>
                <c:pt idx="1">
                  <c:v>816856</c:v>
                </c:pt>
                <c:pt idx="2">
                  <c:v>0</c:v>
                </c:pt>
                <c:pt idx="3">
                  <c:v>0</c:v>
                </c:pt>
                <c:pt idx="4">
                  <c:v>-9373</c:v>
                </c:pt>
                <c:pt idx="5">
                  <c:v>0</c:v>
                </c:pt>
                <c:pt idx="6">
                  <c:v>381.5392089879964</c:v>
                </c:pt>
                <c:pt idx="7">
                  <c:v>612503.3634755806</c:v>
                </c:pt>
                <c:pt idx="8">
                  <c:v>0</c:v>
                </c:pt>
                <c:pt idx="9">
                  <c:v>3645132.594854578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GraphData!$A$7:$A$19</c:f>
              <c:strCache>
                <c:ptCount val="13"/>
                <c:pt idx="0">
                  <c:v>Spain</c:v>
                </c:pt>
                <c:pt idx="1">
                  <c:v>DE + AT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S. Africa</c:v>
                </c:pt>
                <c:pt idx="8">
                  <c:v>Romania</c:v>
                </c:pt>
                <c:pt idx="9">
                  <c:v>Brazil</c:v>
                </c:pt>
                <c:pt idx="10">
                  <c:v>Denmark</c:v>
                </c:pt>
                <c:pt idx="11">
                  <c:v>Norway</c:v>
                </c:pt>
                <c:pt idx="12">
                  <c:v>Sweden</c:v>
                </c:pt>
              </c:strCache>
            </c:strRef>
          </c:cat>
          <c:val>
            <c:numRef>
              <c:f>GraphData!$J$7:$J$19</c:f>
              <c:numCache>
                <c:formatCode>General</c:formatCode>
                <c:ptCount val="13"/>
                <c:pt idx="0">
                  <c:v>15001</c:v>
                </c:pt>
                <c:pt idx="1">
                  <c:v>304803</c:v>
                </c:pt>
                <c:pt idx="2">
                  <c:v>1390</c:v>
                </c:pt>
                <c:pt idx="3">
                  <c:v>133081</c:v>
                </c:pt>
                <c:pt idx="4">
                  <c:v>47517</c:v>
                </c:pt>
                <c:pt idx="5">
                  <c:v>0</c:v>
                </c:pt>
                <c:pt idx="6">
                  <c:v>46840.37491447114</c:v>
                </c:pt>
                <c:pt idx="7">
                  <c:v>331751.7109314926</c:v>
                </c:pt>
                <c:pt idx="8">
                  <c:v>0</c:v>
                </c:pt>
                <c:pt idx="9">
                  <c:v>112194.0044735404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GraphData!$A$7:$A$19</c:f>
              <c:strCache>
                <c:ptCount val="13"/>
                <c:pt idx="0">
                  <c:v>Spain</c:v>
                </c:pt>
                <c:pt idx="1">
                  <c:v>DE + AT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S. Africa</c:v>
                </c:pt>
                <c:pt idx="8">
                  <c:v>Romania</c:v>
                </c:pt>
                <c:pt idx="9">
                  <c:v>Brazil</c:v>
                </c:pt>
                <c:pt idx="10">
                  <c:v>Denmark</c:v>
                </c:pt>
                <c:pt idx="11">
                  <c:v>Norway</c:v>
                </c:pt>
                <c:pt idx="12">
                  <c:v>Sweden</c:v>
                </c:pt>
              </c:strCache>
            </c:strRef>
          </c:cat>
          <c:val>
            <c:numRef>
              <c:f>GraphData!$K$7:$K$19</c:f>
              <c:numCache>
                <c:formatCode>General</c:formatCode>
                <c:ptCount val="13"/>
                <c:pt idx="0">
                  <c:v>1467349</c:v>
                </c:pt>
                <c:pt idx="1">
                  <c:v>1641703</c:v>
                </c:pt>
                <c:pt idx="2">
                  <c:v>104655</c:v>
                </c:pt>
                <c:pt idx="3">
                  <c:v>1067265</c:v>
                </c:pt>
                <c:pt idx="4">
                  <c:v>503988</c:v>
                </c:pt>
                <c:pt idx="5">
                  <c:v>2145041</c:v>
                </c:pt>
                <c:pt idx="6">
                  <c:v>966521.9123292885</c:v>
                </c:pt>
                <c:pt idx="7">
                  <c:v>862774.9705138876</c:v>
                </c:pt>
                <c:pt idx="8">
                  <c:v>0</c:v>
                </c:pt>
                <c:pt idx="9">
                  <c:v>17842.99631608924</c:v>
                </c:pt>
                <c:pt idx="10">
                  <c:v>2162.493668118371</c:v>
                </c:pt>
                <c:pt idx="11">
                  <c:v>2025.348040871968</c:v>
                </c:pt>
                <c:pt idx="12">
                  <c:v>15218.24551504693</c:v>
                </c:pt>
              </c:numCache>
            </c:numRef>
          </c:val>
        </c:ser>
        <c:gapWidth val="85"/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Monthly flow in EUR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Spain</c:v>
          </c:tx>
          <c:spPr>
            <a:solidFill>
              <a:srgbClr val="00627A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GraphData!$B$25:$B$30</c:f>
              <c:numCache>
                <c:formatCode>General</c:formatCode>
                <c:ptCount val="6"/>
                <c:pt idx="0">
                  <c:v>3475518</c:v>
                </c:pt>
                <c:pt idx="1">
                  <c:v>3162844</c:v>
                </c:pt>
                <c:pt idx="2">
                  <c:v>4107101</c:v>
                </c:pt>
                <c:pt idx="3">
                  <c:v>3892550</c:v>
                </c:pt>
                <c:pt idx="4">
                  <c:v>2506521</c:v>
                </c:pt>
                <c:pt idx="5">
                  <c:v>3356886</c:v>
                </c:pt>
              </c:numCache>
            </c:numRef>
          </c:val>
        </c:ser>
        <c:ser>
          <c:idx val="1"/>
          <c:order val="1"/>
          <c:tx>
            <c:v>Germany + Austria</c:v>
          </c:tx>
          <c:spPr>
            <a:solidFill>
              <a:srgbClr val="B75132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GraphData!$C$25:$C$30</c:f>
              <c:numCache>
                <c:formatCode>General</c:formatCode>
                <c:ptCount val="6"/>
                <c:pt idx="0">
                  <c:v>781466</c:v>
                </c:pt>
                <c:pt idx="1">
                  <c:v>689718</c:v>
                </c:pt>
                <c:pt idx="2">
                  <c:v>808135</c:v>
                </c:pt>
                <c:pt idx="3">
                  <c:v>954954</c:v>
                </c:pt>
                <c:pt idx="4">
                  <c:v>977254</c:v>
                </c:pt>
                <c:pt idx="5">
                  <c:v>851993</c:v>
                </c:pt>
              </c:numCache>
            </c:numRef>
          </c:val>
        </c:ser>
        <c:ser>
          <c:idx val="2"/>
          <c:order val="2"/>
          <c:tx>
            <c:v>Belgium</c:v>
          </c:tx>
          <c:spPr>
            <a:solidFill>
              <a:srgbClr val="4AA3B2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GraphData!$D$25:$D$30</c:f>
              <c:numCache>
                <c:formatCode>General</c:formatCode>
                <c:ptCount val="6"/>
                <c:pt idx="0">
                  <c:v>105005</c:v>
                </c:pt>
                <c:pt idx="1">
                  <c:v>68164</c:v>
                </c:pt>
                <c:pt idx="2">
                  <c:v>104341</c:v>
                </c:pt>
                <c:pt idx="3">
                  <c:v>71809</c:v>
                </c:pt>
                <c:pt idx="4">
                  <c:v>119870</c:v>
                </c:pt>
                <c:pt idx="5">
                  <c:v>52704</c:v>
                </c:pt>
              </c:numCache>
            </c:numRef>
          </c:val>
        </c:ser>
        <c:ser>
          <c:idx val="3"/>
          <c:order val="3"/>
          <c:tx>
            <c:v>Italy</c:v>
          </c:tx>
          <c:spPr>
            <a:solidFill>
              <a:srgbClr val="7E245A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GraphData!$E$25:$E$30</c:f>
              <c:numCache>
                <c:formatCode>General</c:formatCode>
                <c:ptCount val="6"/>
                <c:pt idx="0">
                  <c:v>1199204</c:v>
                </c:pt>
                <c:pt idx="1">
                  <c:v>1425617</c:v>
                </c:pt>
                <c:pt idx="2">
                  <c:v>977488</c:v>
                </c:pt>
                <c:pt idx="3">
                  <c:v>1234017</c:v>
                </c:pt>
                <c:pt idx="4">
                  <c:v>898183</c:v>
                </c:pt>
                <c:pt idx="5">
                  <c:v>820358</c:v>
                </c:pt>
              </c:numCache>
            </c:numRef>
          </c:val>
        </c:ser>
        <c:ser>
          <c:idx val="4"/>
          <c:order val="4"/>
          <c:tx>
            <c:v>Portugal</c:v>
          </c:tx>
          <c:spPr>
            <a:solidFill>
              <a:srgbClr val="549742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GraphData!$F$25:$F$30</c:f>
              <c:numCache>
                <c:formatCode>General</c:formatCode>
                <c:ptCount val="6"/>
                <c:pt idx="0">
                  <c:v>4060466</c:v>
                </c:pt>
                <c:pt idx="1">
                  <c:v>3650675</c:v>
                </c:pt>
                <c:pt idx="2">
                  <c:v>2534318</c:v>
                </c:pt>
                <c:pt idx="3">
                  <c:v>1649935</c:v>
                </c:pt>
                <c:pt idx="4">
                  <c:v>1234586</c:v>
                </c:pt>
                <c:pt idx="5">
                  <c:v>1001410</c:v>
                </c:pt>
              </c:numCache>
            </c:numRef>
          </c:val>
        </c:ser>
        <c:ser>
          <c:idx val="5"/>
          <c:order val="5"/>
          <c:tx>
            <c:v>France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GraphData!$G$25:$G$30</c:f>
              <c:numCache>
                <c:formatCode>General</c:formatCode>
                <c:ptCount val="6"/>
                <c:pt idx="0">
                  <c:v>1825315</c:v>
                </c:pt>
                <c:pt idx="1">
                  <c:v>1394486</c:v>
                </c:pt>
                <c:pt idx="2">
                  <c:v>1738908</c:v>
                </c:pt>
                <c:pt idx="3">
                  <c:v>1680101</c:v>
                </c:pt>
                <c:pt idx="4">
                  <c:v>1332248</c:v>
                </c:pt>
                <c:pt idx="5">
                  <c:v>1473477</c:v>
                </c:pt>
              </c:numCache>
            </c:numRef>
          </c:val>
        </c:ser>
        <c:ser>
          <c:idx val="6"/>
          <c:order val="6"/>
          <c:tx>
            <c:v>UK</c:v>
          </c:tx>
          <c:spPr>
            <a:solidFill>
              <a:srgbClr val="344D67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GraphData!$H$25:$H$30</c:f>
              <c:numCache>
                <c:formatCode>General</c:formatCode>
                <c:ptCount val="6"/>
                <c:pt idx="0">
                  <c:v>120964.3143685993</c:v>
                </c:pt>
                <c:pt idx="1">
                  <c:v>170612.3965295802</c:v>
                </c:pt>
                <c:pt idx="2">
                  <c:v>93546.15777669192</c:v>
                </c:pt>
                <c:pt idx="3">
                  <c:v>134405.9641085598</c:v>
                </c:pt>
                <c:pt idx="4">
                  <c:v>157081.7989985672</c:v>
                </c:pt>
                <c:pt idx="5">
                  <c:v>591232.4560283961</c:v>
                </c:pt>
              </c:numCache>
            </c:numRef>
          </c:val>
        </c:ser>
        <c:ser>
          <c:idx val="7"/>
          <c:order val="7"/>
          <c:tx>
            <c:v>South Africa</c:v>
          </c:tx>
          <c:spPr>
            <a:solidFill>
              <a:srgbClr val="CD5858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GraphData!$I$25:$I$30</c:f>
              <c:numCache>
                <c:formatCode>General</c:formatCode>
                <c:ptCount val="6"/>
                <c:pt idx="0">
                  <c:v>178090.7815674286</c:v>
                </c:pt>
                <c:pt idx="1">
                  <c:v>185044.7869699074</c:v>
                </c:pt>
                <c:pt idx="2">
                  <c:v>190318.6093493703</c:v>
                </c:pt>
                <c:pt idx="3">
                  <c:v>228755.4618962338</c:v>
                </c:pt>
                <c:pt idx="4">
                  <c:v>220324.5109098912</c:v>
                </c:pt>
                <c:pt idx="5">
                  <c:v>233632.7376151798</c:v>
                </c:pt>
              </c:numCache>
            </c:numRef>
          </c:val>
        </c:ser>
        <c:ser>
          <c:idx val="8"/>
          <c:order val="8"/>
          <c:tx>
            <c:v>Brazil</c:v>
          </c:tx>
          <c:spPr>
            <a:solidFill>
              <a:srgbClr val="00627A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GraphData!$J$25:$J$30</c:f>
              <c:numCache>
                <c:formatCode>General</c:formatCode>
                <c:ptCount val="6"/>
                <c:pt idx="0">
                  <c:v>3875.644853762896</c:v>
                </c:pt>
                <c:pt idx="1">
                  <c:v>2540.056833129127</c:v>
                </c:pt>
                <c:pt idx="2">
                  <c:v>1589.981347668489</c:v>
                </c:pt>
                <c:pt idx="3">
                  <c:v>1700.775729476986</c:v>
                </c:pt>
                <c:pt idx="4">
                  <c:v>250.3239217965882</c:v>
                </c:pt>
                <c:pt idx="5">
                  <c:v>2609.009600525298</c:v>
                </c:pt>
              </c:numCache>
            </c:numRef>
          </c:val>
        </c:ser>
        <c:ser>
          <c:idx val="9"/>
          <c:order val="9"/>
          <c:tx>
            <c:v>Denmark</c:v>
          </c:tx>
          <c:spPr>
            <a:solidFill>
              <a:srgbClr val="B75132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GraphData!$K$25:$K$30</c:f>
              <c:numCache>
                <c:formatCode>General</c:formatCode>
                <c:ptCount val="6"/>
                <c:pt idx="0">
                  <c:v>15033.97461286948</c:v>
                </c:pt>
                <c:pt idx="1">
                  <c:v>22642.80233334403</c:v>
                </c:pt>
                <c:pt idx="2">
                  <c:v>11921.1317309383</c:v>
                </c:pt>
                <c:pt idx="3">
                  <c:v>9958.909408676853</c:v>
                </c:pt>
                <c:pt idx="4">
                  <c:v>10757.90676515585</c:v>
                </c:pt>
                <c:pt idx="5">
                  <c:v>7395.692469960186</c:v>
                </c:pt>
              </c:numCache>
            </c:numRef>
          </c:val>
        </c:ser>
        <c:ser>
          <c:idx val="10"/>
          <c:order val="10"/>
          <c:tx>
            <c:v>Norway</c:v>
          </c:tx>
          <c:spPr>
            <a:solidFill>
              <a:srgbClr val="4AA3B2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GraphData!$L$25:$L$30</c:f>
              <c:numCache>
                <c:formatCode>General</c:formatCode>
                <c:ptCount val="6"/>
                <c:pt idx="0">
                  <c:v>5652.217652283623</c:v>
                </c:pt>
                <c:pt idx="1">
                  <c:v>13480.90061981313</c:v>
                </c:pt>
                <c:pt idx="2">
                  <c:v>5095.515172004772</c:v>
                </c:pt>
                <c:pt idx="3">
                  <c:v>3901.609282958005</c:v>
                </c:pt>
                <c:pt idx="4">
                  <c:v>3950.379215573521</c:v>
                </c:pt>
                <c:pt idx="5">
                  <c:v>4246.528757308892</c:v>
                </c:pt>
              </c:numCache>
            </c:numRef>
          </c:val>
        </c:ser>
        <c:ser>
          <c:idx val="11"/>
          <c:order val="11"/>
          <c:tx>
            <c:v>Sweden</c:v>
          </c:tx>
          <c:spPr>
            <a:solidFill>
              <a:srgbClr val="7E245A"/>
            </a:solidFill>
            <a:ln>
              <a:noFill/>
            </a:ln>
          </c:spPr>
          <c:cat>
            <c:strRef>
              <c:f>GraphData!$A$25:$A$30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GraphData!$M$25:$M$30</c:f>
              <c:numCache>
                <c:formatCode>General</c:formatCode>
                <c:ptCount val="6"/>
                <c:pt idx="0">
                  <c:v>33888.15419430023</c:v>
                </c:pt>
                <c:pt idx="1">
                  <c:v>12290.64047286541</c:v>
                </c:pt>
                <c:pt idx="2">
                  <c:v>20551.69308575136</c:v>
                </c:pt>
                <c:pt idx="3">
                  <c:v>22068.18308067027</c:v>
                </c:pt>
                <c:pt idx="4">
                  <c:v>11056.32782207133</c:v>
                </c:pt>
                <c:pt idx="5">
                  <c:v>27392.44469162726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Efficiency after 6 months (M-5 cohort)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Number 2026Q2</c:v>
          </c:tx>
          <c:spPr>
            <a:solidFill>
              <a:srgbClr val="C5E3E6"/>
            </a:solidFill>
            <a:ln>
              <a:noFill/>
            </a:ln>
          </c:spPr>
          <c:cat>
            <c:strRef>
              <c:f>GraphData!$A$36:$A$47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GraphData!$B$36:$B$47</c:f>
              <c:numCache>
                <c:formatCode>General</c:formatCode>
                <c:ptCount val="12"/>
                <c:pt idx="0">
                  <c:v>0.9894054395951929</c:v>
                </c:pt>
                <c:pt idx="1">
                  <c:v>0.6015087641446638</c:v>
                </c:pt>
                <c:pt idx="2">
                  <c:v>1</c:v>
                </c:pt>
                <c:pt idx="3">
                  <c:v>0.9484958979033729</c:v>
                </c:pt>
                <c:pt idx="4">
                  <c:v>0.6078777189888301</c:v>
                </c:pt>
                <c:pt idx="5">
                  <c:v>0.9403706688154714</c:v>
                </c:pt>
                <c:pt idx="6">
                  <c:v>0.3012975256487628</c:v>
                </c:pt>
                <c:pt idx="7">
                  <c:v>0.8549981233579382</c:v>
                </c:pt>
                <c:pt idx="9">
                  <c:v>1</c:v>
                </c:pt>
                <c:pt idx="10">
                  <c:v>0.9924812030075187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v>Number 2026Q3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GraphData!$A$36:$A$47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GraphData!$C$36:$C$47</c:f>
              <c:numCache>
                <c:formatCode>General</c:formatCode>
                <c:ptCount val="12"/>
                <c:pt idx="0">
                  <c:v>0.9539307475107742</c:v>
                </c:pt>
                <c:pt idx="1">
                  <c:v>0.581422283993514</c:v>
                </c:pt>
                <c:pt idx="2">
                  <c:v>1</c:v>
                </c:pt>
                <c:pt idx="3">
                  <c:v>0.9370393767108866</c:v>
                </c:pt>
                <c:pt idx="4">
                  <c:v>0.9398592450415867</c:v>
                </c:pt>
                <c:pt idx="5">
                  <c:v>1</c:v>
                </c:pt>
                <c:pt idx="6">
                  <c:v>0.6951945080091533</c:v>
                </c:pt>
                <c:pt idx="7">
                  <c:v>0.8571001494768311</c:v>
                </c:pt>
                <c:pt idx="9">
                  <c:v>1</c:v>
                </c:pt>
                <c:pt idx="10">
                  <c:v>0.9932432432432432</c:v>
                </c:pt>
                <c:pt idx="11">
                  <c:v>1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2"/>
          <c:order val="2"/>
          <c:tx>
            <c:v>Amount 2026Q2</c:v>
          </c:tx>
          <c:spPr>
            <a:ln w="25400">
              <a:solidFill>
                <a:srgbClr val="C04040"/>
              </a:solidFill>
              <a:prstDash val="dash"/>
            </a:ln>
          </c:spPr>
          <c:marker>
            <c:symbol val="none"/>
          </c:marker>
          <c:cat>
            <c:strRef>
              <c:f>GraphData!$A$36:$A$47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GraphData!$D$36:$D$47</c:f>
              <c:numCache>
                <c:formatCode>General</c:formatCode>
                <c:ptCount val="12"/>
                <c:pt idx="0">
                  <c:v>0.9931642617902213</c:v>
                </c:pt>
                <c:pt idx="1">
                  <c:v>0.7104560896824842</c:v>
                </c:pt>
                <c:pt idx="2">
                  <c:v>1</c:v>
                </c:pt>
                <c:pt idx="3">
                  <c:v>0.9843784652623619</c:v>
                </c:pt>
                <c:pt idx="4">
                  <c:v>0.9911539948773356</c:v>
                </c:pt>
                <c:pt idx="5">
                  <c:v>0.9777348442295094</c:v>
                </c:pt>
                <c:pt idx="6">
                  <c:v>0.6731999072202525</c:v>
                </c:pt>
                <c:pt idx="7">
                  <c:v>0.6493430482328113</c:v>
                </c:pt>
                <c:pt idx="9">
                  <c:v>1</c:v>
                </c:pt>
                <c:pt idx="10">
                  <c:v>0.9410164877948007</c:v>
                </c:pt>
                <c:pt idx="11">
                  <c:v>0.9999999999999999</c:v>
                </c:pt>
              </c:numCache>
            </c:numRef>
          </c:val>
        </c:ser>
        <c:ser>
          <c:idx val="3"/>
          <c:order val="3"/>
          <c:tx>
            <c:v>Amount 2026Q3</c:v>
          </c:tx>
          <c:spPr>
            <a:ln w="25400">
              <a:solidFill>
                <a:srgbClr val="C04040"/>
              </a:solidFill>
              <a:prstDash val="solid"/>
            </a:ln>
          </c:spPr>
          <c:marker>
            <c:symbol val="none"/>
          </c:marker>
          <c:cat>
            <c:strRef>
              <c:f>GraphData!$A$36:$A$47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GraphData!$E$36:$E$47</c:f>
              <c:numCache>
                <c:formatCode>General</c:formatCode>
                <c:ptCount val="12"/>
                <c:pt idx="0">
                  <c:v>0.9859807948052636</c:v>
                </c:pt>
                <c:pt idx="1">
                  <c:v>0.8537773876278687</c:v>
                </c:pt>
                <c:pt idx="2">
                  <c:v>1</c:v>
                </c:pt>
                <c:pt idx="3">
                  <c:v>0.97577393004026</c:v>
                </c:pt>
                <c:pt idx="4">
                  <c:v>0.996970298482982</c:v>
                </c:pt>
                <c:pt idx="5">
                  <c:v>1</c:v>
                </c:pt>
                <c:pt idx="6">
                  <c:v>0.793132474166957</c:v>
                </c:pt>
                <c:pt idx="7">
                  <c:v>0.6926903849986122</c:v>
                </c:pt>
                <c:pt idx="9">
                  <c:v>0.9999999999999999</c:v>
                </c:pt>
                <c:pt idx="10">
                  <c:v>0.9342711524878822</c:v>
                </c:pt>
                <c:pt idx="11">
                  <c:v>1.000000000000001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.2"/>
          <c:min val="0"/>
        </c:scaling>
        <c:axPos val="l"/>
        <c:majorGridlines>
          <c:spPr>
            <a:ln>
              <a:solidFill>
                <a:srgbClr val="DDE3E5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  <c:majorUnit val="0.2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Total identified stock in EUR: 2026Q3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GraphData!$A$53:$A$60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GraphData!$F$53:$F$60</c:f>
              <c:numCache>
                <c:formatCode>General</c:formatCode>
                <c:ptCount val="8"/>
                <c:pt idx="0">
                  <c:v>283623</c:v>
                </c:pt>
                <c:pt idx="1">
                  <c:v>824535</c:v>
                </c:pt>
                <c:pt idx="2">
                  <c:v>41555</c:v>
                </c:pt>
                <c:pt idx="3">
                  <c:v>1761215</c:v>
                </c:pt>
                <c:pt idx="4">
                  <c:v>7991</c:v>
                </c:pt>
                <c:pt idx="5">
                  <c:v>0</c:v>
                </c:pt>
                <c:pt idx="6">
                  <c:v>1750285.373187655</c:v>
                </c:pt>
                <c:pt idx="7">
                  <c:v>853771.8989843978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GraphData!$A$53:$A$60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GraphData!$G$53:$G$60</c:f>
              <c:numCache>
                <c:formatCode>General</c:formatCode>
                <c:ptCount val="8"/>
                <c:pt idx="0">
                  <c:v>31090</c:v>
                </c:pt>
                <c:pt idx="1">
                  <c:v>323497</c:v>
                </c:pt>
                <c:pt idx="2">
                  <c:v>1390</c:v>
                </c:pt>
                <c:pt idx="3">
                  <c:v>339318</c:v>
                </c:pt>
                <c:pt idx="4">
                  <c:v>64102</c:v>
                </c:pt>
                <c:pt idx="5">
                  <c:v>221972</c:v>
                </c:pt>
                <c:pt idx="6">
                  <c:v>733237.6044435789</c:v>
                </c:pt>
                <c:pt idx="7">
                  <c:v>331751.7109314926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GraphData!$A$53:$A$60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GraphData!$H$53:$H$60</c:f>
              <c:numCache>
                <c:formatCode>General</c:formatCode>
                <c:ptCount val="8"/>
                <c:pt idx="0">
                  <c:v>1478452</c:v>
                </c:pt>
                <c:pt idx="1">
                  <c:v>1645005</c:v>
                </c:pt>
                <c:pt idx="2">
                  <c:v>104655</c:v>
                </c:pt>
                <c:pt idx="3">
                  <c:v>1333869</c:v>
                </c:pt>
                <c:pt idx="4">
                  <c:v>535499</c:v>
                </c:pt>
                <c:pt idx="5">
                  <c:v>2661669</c:v>
                </c:pt>
                <c:pt idx="6">
                  <c:v>1000391.12450384</c:v>
                </c:pt>
                <c:pt idx="7">
                  <c:v>862774.9705138876</c:v>
                </c:pt>
              </c:numCache>
            </c:numRef>
          </c:val>
        </c:ser>
        <c:gapWidth val="85"/>
        <c:overlap val="10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Stock to be processed in EUR: 2026Q3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GraphData!$A$53:$A$60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GraphData!$I$53:$I$60</c:f>
              <c:numCache>
                <c:formatCode>General</c:formatCode>
                <c:ptCount val="8"/>
                <c:pt idx="0">
                  <c:v>-2032</c:v>
                </c:pt>
                <c:pt idx="1">
                  <c:v>816856</c:v>
                </c:pt>
                <c:pt idx="2">
                  <c:v>0</c:v>
                </c:pt>
                <c:pt idx="3">
                  <c:v>0</c:v>
                </c:pt>
                <c:pt idx="4">
                  <c:v>-9373</c:v>
                </c:pt>
                <c:pt idx="5">
                  <c:v>0</c:v>
                </c:pt>
                <c:pt idx="6">
                  <c:v>381.5392089879964</c:v>
                </c:pt>
                <c:pt idx="7">
                  <c:v>612503.3634755806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GraphData!$A$53:$A$60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GraphData!$J$53:$J$60</c:f>
              <c:numCache>
                <c:formatCode>General</c:formatCode>
                <c:ptCount val="8"/>
                <c:pt idx="0">
                  <c:v>15001</c:v>
                </c:pt>
                <c:pt idx="1">
                  <c:v>304803</c:v>
                </c:pt>
                <c:pt idx="2">
                  <c:v>1390</c:v>
                </c:pt>
                <c:pt idx="3">
                  <c:v>133081</c:v>
                </c:pt>
                <c:pt idx="4">
                  <c:v>47517</c:v>
                </c:pt>
                <c:pt idx="5">
                  <c:v>0</c:v>
                </c:pt>
                <c:pt idx="6">
                  <c:v>46840.37491447114</c:v>
                </c:pt>
                <c:pt idx="7">
                  <c:v>331751.7109314926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GraphData!$A$53:$A$60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GraphData!$K$53:$K$60</c:f>
              <c:numCache>
                <c:formatCode>General</c:formatCode>
                <c:ptCount val="8"/>
                <c:pt idx="0">
                  <c:v>1467349</c:v>
                </c:pt>
                <c:pt idx="1">
                  <c:v>1641703</c:v>
                </c:pt>
                <c:pt idx="2">
                  <c:v>104655</c:v>
                </c:pt>
                <c:pt idx="3">
                  <c:v>1067265</c:v>
                </c:pt>
                <c:pt idx="4">
                  <c:v>503988</c:v>
                </c:pt>
                <c:pt idx="5">
                  <c:v>2145041</c:v>
                </c:pt>
                <c:pt idx="6">
                  <c:v>966521.9123292885</c:v>
                </c:pt>
                <c:pt idx="7">
                  <c:v>862774.9705138876</c:v>
                </c:pt>
              </c:numCache>
            </c:numRef>
          </c:val>
        </c:ser>
        <c:gapWidth val="85"/>
        <c:overlap val="100"/>
        <c:axId val="50060001"/>
        <c:axId val="50060002"/>
      </c:barChart>
      <c:catAx>
        <c:axId val="5006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Monthly flow in EUR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Spain</c:v>
          </c:tx>
          <c:spPr>
            <a:solidFill>
              <a:srgbClr val="00627A"/>
            </a:solidFill>
            <a:ln>
              <a:noFill/>
            </a:ln>
          </c:spPr>
          <c:cat>
            <c:strRef>
              <c:f>GraphData!$A$66:$A$71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GraphData!$B$66:$B$71</c:f>
              <c:numCache>
                <c:formatCode>General</c:formatCode>
                <c:ptCount val="6"/>
                <c:pt idx="0">
                  <c:v>3475518</c:v>
                </c:pt>
                <c:pt idx="1">
                  <c:v>3162844</c:v>
                </c:pt>
                <c:pt idx="2">
                  <c:v>4107101</c:v>
                </c:pt>
                <c:pt idx="3">
                  <c:v>3892550</c:v>
                </c:pt>
                <c:pt idx="4">
                  <c:v>2506521</c:v>
                </c:pt>
                <c:pt idx="5">
                  <c:v>3356886</c:v>
                </c:pt>
              </c:numCache>
            </c:numRef>
          </c:val>
        </c:ser>
        <c:ser>
          <c:idx val="1"/>
          <c:order val="1"/>
          <c:tx>
            <c:v>Germany + Austria</c:v>
          </c:tx>
          <c:spPr>
            <a:solidFill>
              <a:srgbClr val="B75132"/>
            </a:solidFill>
            <a:ln>
              <a:noFill/>
            </a:ln>
          </c:spPr>
          <c:cat>
            <c:strRef>
              <c:f>GraphData!$A$66:$A$71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GraphData!$C$66:$C$71</c:f>
              <c:numCache>
                <c:formatCode>General</c:formatCode>
                <c:ptCount val="6"/>
                <c:pt idx="0">
                  <c:v>781466</c:v>
                </c:pt>
                <c:pt idx="1">
                  <c:v>689718</c:v>
                </c:pt>
                <c:pt idx="2">
                  <c:v>808135</c:v>
                </c:pt>
                <c:pt idx="3">
                  <c:v>954954</c:v>
                </c:pt>
                <c:pt idx="4">
                  <c:v>977254</c:v>
                </c:pt>
                <c:pt idx="5">
                  <c:v>851993</c:v>
                </c:pt>
              </c:numCache>
            </c:numRef>
          </c:val>
        </c:ser>
        <c:ser>
          <c:idx val="2"/>
          <c:order val="2"/>
          <c:tx>
            <c:v>Belgium</c:v>
          </c:tx>
          <c:spPr>
            <a:solidFill>
              <a:srgbClr val="4AA3B2"/>
            </a:solidFill>
            <a:ln>
              <a:noFill/>
            </a:ln>
          </c:spPr>
          <c:cat>
            <c:strRef>
              <c:f>GraphData!$A$66:$A$71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GraphData!$D$66:$D$71</c:f>
              <c:numCache>
                <c:formatCode>General</c:formatCode>
                <c:ptCount val="6"/>
                <c:pt idx="0">
                  <c:v>105005</c:v>
                </c:pt>
                <c:pt idx="1">
                  <c:v>68164</c:v>
                </c:pt>
                <c:pt idx="2">
                  <c:v>104341</c:v>
                </c:pt>
                <c:pt idx="3">
                  <c:v>71809</c:v>
                </c:pt>
                <c:pt idx="4">
                  <c:v>119870</c:v>
                </c:pt>
                <c:pt idx="5">
                  <c:v>52704</c:v>
                </c:pt>
              </c:numCache>
            </c:numRef>
          </c:val>
        </c:ser>
        <c:ser>
          <c:idx val="3"/>
          <c:order val="3"/>
          <c:tx>
            <c:v>Italy</c:v>
          </c:tx>
          <c:spPr>
            <a:solidFill>
              <a:srgbClr val="7E245A"/>
            </a:solidFill>
            <a:ln>
              <a:noFill/>
            </a:ln>
          </c:spPr>
          <c:cat>
            <c:strRef>
              <c:f>GraphData!$A$66:$A$71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GraphData!$E$66:$E$71</c:f>
              <c:numCache>
                <c:formatCode>General</c:formatCode>
                <c:ptCount val="6"/>
                <c:pt idx="0">
                  <c:v>1199204</c:v>
                </c:pt>
                <c:pt idx="1">
                  <c:v>1425617</c:v>
                </c:pt>
                <c:pt idx="2">
                  <c:v>977488</c:v>
                </c:pt>
                <c:pt idx="3">
                  <c:v>1234017</c:v>
                </c:pt>
                <c:pt idx="4">
                  <c:v>898183</c:v>
                </c:pt>
                <c:pt idx="5">
                  <c:v>820358</c:v>
                </c:pt>
              </c:numCache>
            </c:numRef>
          </c:val>
        </c:ser>
        <c:ser>
          <c:idx val="4"/>
          <c:order val="4"/>
          <c:tx>
            <c:v>Portugal</c:v>
          </c:tx>
          <c:spPr>
            <a:solidFill>
              <a:srgbClr val="549742"/>
            </a:solidFill>
            <a:ln>
              <a:noFill/>
            </a:ln>
          </c:spPr>
          <c:cat>
            <c:strRef>
              <c:f>GraphData!$A$66:$A$71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GraphData!$F$66:$F$71</c:f>
              <c:numCache>
                <c:formatCode>General</c:formatCode>
                <c:ptCount val="6"/>
                <c:pt idx="0">
                  <c:v>4060466</c:v>
                </c:pt>
                <c:pt idx="1">
                  <c:v>3650675</c:v>
                </c:pt>
                <c:pt idx="2">
                  <c:v>2534318</c:v>
                </c:pt>
                <c:pt idx="3">
                  <c:v>1649935</c:v>
                </c:pt>
                <c:pt idx="4">
                  <c:v>1234586</c:v>
                </c:pt>
                <c:pt idx="5">
                  <c:v>1001410</c:v>
                </c:pt>
              </c:numCache>
            </c:numRef>
          </c:val>
        </c:ser>
        <c:ser>
          <c:idx val="5"/>
          <c:order val="5"/>
          <c:tx>
            <c:v>France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GraphData!$A$66:$A$71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GraphData!$G$66:$G$71</c:f>
              <c:numCache>
                <c:formatCode>General</c:formatCode>
                <c:ptCount val="6"/>
                <c:pt idx="0">
                  <c:v>1825315</c:v>
                </c:pt>
                <c:pt idx="1">
                  <c:v>1394486</c:v>
                </c:pt>
                <c:pt idx="2">
                  <c:v>1738908</c:v>
                </c:pt>
                <c:pt idx="3">
                  <c:v>1680101</c:v>
                </c:pt>
                <c:pt idx="4">
                  <c:v>1332248</c:v>
                </c:pt>
                <c:pt idx="5">
                  <c:v>1473477</c:v>
                </c:pt>
              </c:numCache>
            </c:numRef>
          </c:val>
        </c:ser>
        <c:ser>
          <c:idx val="6"/>
          <c:order val="6"/>
          <c:tx>
            <c:v>UK</c:v>
          </c:tx>
          <c:spPr>
            <a:solidFill>
              <a:srgbClr val="344D67"/>
            </a:solidFill>
            <a:ln>
              <a:noFill/>
            </a:ln>
          </c:spPr>
          <c:cat>
            <c:strRef>
              <c:f>GraphData!$A$66:$A$71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GraphData!$H$66:$H$71</c:f>
              <c:numCache>
                <c:formatCode>General</c:formatCode>
                <c:ptCount val="6"/>
                <c:pt idx="0">
                  <c:v>120964.3143685993</c:v>
                </c:pt>
                <c:pt idx="1">
                  <c:v>170612.3965295802</c:v>
                </c:pt>
                <c:pt idx="2">
                  <c:v>93546.15777669192</c:v>
                </c:pt>
                <c:pt idx="3">
                  <c:v>134405.9641085598</c:v>
                </c:pt>
                <c:pt idx="4">
                  <c:v>157081.7989985672</c:v>
                </c:pt>
                <c:pt idx="5">
                  <c:v>591232.4560283961</c:v>
                </c:pt>
              </c:numCache>
            </c:numRef>
          </c:val>
        </c:ser>
        <c:ser>
          <c:idx val="7"/>
          <c:order val="7"/>
          <c:tx>
            <c:v>South Africa</c:v>
          </c:tx>
          <c:spPr>
            <a:solidFill>
              <a:srgbClr val="CD5858"/>
            </a:solidFill>
            <a:ln>
              <a:noFill/>
            </a:ln>
          </c:spPr>
          <c:cat>
            <c:strRef>
              <c:f>GraphData!$A$66:$A$71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GraphData!$I$66:$I$71</c:f>
              <c:numCache>
                <c:formatCode>General</c:formatCode>
                <c:ptCount val="6"/>
                <c:pt idx="0">
                  <c:v>178090.7815674286</c:v>
                </c:pt>
                <c:pt idx="1">
                  <c:v>185044.7869699074</c:v>
                </c:pt>
                <c:pt idx="2">
                  <c:v>190318.6093493703</c:v>
                </c:pt>
                <c:pt idx="3">
                  <c:v>228755.4618962338</c:v>
                </c:pt>
                <c:pt idx="4">
                  <c:v>220324.5109098912</c:v>
                </c:pt>
                <c:pt idx="5">
                  <c:v>233632.7376151798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Efficiency after 6 months (M-5 cohort)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Number 2026Q2</c:v>
          </c:tx>
          <c:spPr>
            <a:solidFill>
              <a:srgbClr val="C5E3E6"/>
            </a:solidFill>
            <a:ln>
              <a:noFill/>
            </a:ln>
          </c:spPr>
          <c:cat>
            <c:strRef>
              <c:f>GraphData!$A$77:$A$84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GraphData!$B$77:$B$84</c:f>
              <c:numCache>
                <c:formatCode>General</c:formatCode>
                <c:ptCount val="8"/>
                <c:pt idx="0">
                  <c:v>0.9894054395951929</c:v>
                </c:pt>
                <c:pt idx="1">
                  <c:v>0.6015087641446638</c:v>
                </c:pt>
                <c:pt idx="2">
                  <c:v>1</c:v>
                </c:pt>
                <c:pt idx="3">
                  <c:v>0.9484958979033729</c:v>
                </c:pt>
                <c:pt idx="4">
                  <c:v>0.6078777189888301</c:v>
                </c:pt>
                <c:pt idx="5">
                  <c:v>0.9403706688154714</c:v>
                </c:pt>
                <c:pt idx="6">
                  <c:v>0.3012975256487628</c:v>
                </c:pt>
                <c:pt idx="7">
                  <c:v>0.8549981233579382</c:v>
                </c:pt>
              </c:numCache>
            </c:numRef>
          </c:val>
        </c:ser>
        <c:ser>
          <c:idx val="1"/>
          <c:order val="1"/>
          <c:tx>
            <c:v>Number 2026Q3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GraphData!$A$77:$A$84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GraphData!$C$77:$C$84</c:f>
              <c:numCache>
                <c:formatCode>General</c:formatCode>
                <c:ptCount val="8"/>
                <c:pt idx="0">
                  <c:v>0.9539307475107742</c:v>
                </c:pt>
                <c:pt idx="1">
                  <c:v>0.581422283993514</c:v>
                </c:pt>
                <c:pt idx="2">
                  <c:v>1</c:v>
                </c:pt>
                <c:pt idx="3">
                  <c:v>0.9370393767108866</c:v>
                </c:pt>
                <c:pt idx="4">
                  <c:v>0.9398592450415867</c:v>
                </c:pt>
                <c:pt idx="5">
                  <c:v>1</c:v>
                </c:pt>
                <c:pt idx="6">
                  <c:v>0.6951945080091533</c:v>
                </c:pt>
                <c:pt idx="7">
                  <c:v>0.8571001494768311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2"/>
          <c:order val="2"/>
          <c:tx>
            <c:v>Amount 2026Q2</c:v>
          </c:tx>
          <c:spPr>
            <a:ln w="25400">
              <a:solidFill>
                <a:srgbClr val="C04040"/>
              </a:solidFill>
              <a:prstDash val="dash"/>
            </a:ln>
          </c:spPr>
          <c:marker>
            <c:symbol val="none"/>
          </c:marker>
          <c:cat>
            <c:strRef>
              <c:f>GraphData!$A$77:$A$84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GraphData!$D$77:$D$84</c:f>
              <c:numCache>
                <c:formatCode>General</c:formatCode>
                <c:ptCount val="8"/>
                <c:pt idx="0">
                  <c:v>0.9931642617902213</c:v>
                </c:pt>
                <c:pt idx="1">
                  <c:v>0.7104560896824842</c:v>
                </c:pt>
                <c:pt idx="2">
                  <c:v>1</c:v>
                </c:pt>
                <c:pt idx="3">
                  <c:v>0.9843784652623619</c:v>
                </c:pt>
                <c:pt idx="4">
                  <c:v>0.9911539948773356</c:v>
                </c:pt>
                <c:pt idx="5">
                  <c:v>0.9777348442295094</c:v>
                </c:pt>
                <c:pt idx="6">
                  <c:v>0.6731999072202525</c:v>
                </c:pt>
                <c:pt idx="7">
                  <c:v>0.6493430482328113</c:v>
                </c:pt>
              </c:numCache>
            </c:numRef>
          </c:val>
        </c:ser>
        <c:ser>
          <c:idx val="3"/>
          <c:order val="3"/>
          <c:tx>
            <c:v>Amount 2026Q3</c:v>
          </c:tx>
          <c:spPr>
            <a:ln w="25400">
              <a:solidFill>
                <a:srgbClr val="C04040"/>
              </a:solidFill>
              <a:prstDash val="solid"/>
            </a:ln>
          </c:spPr>
          <c:marker>
            <c:symbol val="none"/>
          </c:marker>
          <c:cat>
            <c:strRef>
              <c:f>GraphData!$A$77:$A$84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GraphData!$E$77:$E$84</c:f>
              <c:numCache>
                <c:formatCode>General</c:formatCode>
                <c:ptCount val="8"/>
                <c:pt idx="0">
                  <c:v>0.9859807948052636</c:v>
                </c:pt>
                <c:pt idx="1">
                  <c:v>0.8537773876278687</c:v>
                </c:pt>
                <c:pt idx="2">
                  <c:v>1</c:v>
                </c:pt>
                <c:pt idx="3">
                  <c:v>0.97577393004026</c:v>
                </c:pt>
                <c:pt idx="4">
                  <c:v>0.996970298482982</c:v>
                </c:pt>
                <c:pt idx="5">
                  <c:v>1</c:v>
                </c:pt>
                <c:pt idx="6">
                  <c:v>0.793132474166957</c:v>
                </c:pt>
                <c:pt idx="7">
                  <c:v>0.6926903849986122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.2"/>
          <c:min val="0"/>
        </c:scaling>
        <c:axPos val="l"/>
        <c:majorGridlines>
          <c:spPr>
            <a:ln>
              <a:solidFill>
                <a:srgbClr val="DDE3E5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80001"/>
        <c:crosses val="autoZero"/>
        <c:crossBetween val="between"/>
        <c:majorUnit val="0.2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Spain: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GraphData!$A$100:$A$105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GraphData!$B$100:$B$105</c:f>
              <c:numCache>
                <c:formatCode>General</c:formatCode>
                <c:ptCount val="6"/>
                <c:pt idx="0">
                  <c:v>1149668</c:v>
                </c:pt>
                <c:pt idx="1">
                  <c:v>1210913</c:v>
                </c:pt>
                <c:pt idx="2">
                  <c:v>1273686</c:v>
                </c:pt>
                <c:pt idx="3">
                  <c:v>1237658</c:v>
                </c:pt>
                <c:pt idx="4">
                  <c:v>918537</c:v>
                </c:pt>
                <c:pt idx="5">
                  <c:v>1039257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GraphData!$A$100:$A$105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GraphData!$C$100:$C$105</c:f>
              <c:numCache>
                <c:formatCode>General</c:formatCode>
                <c:ptCount val="6"/>
                <c:pt idx="0">
                  <c:v>2277102</c:v>
                </c:pt>
                <c:pt idx="1">
                  <c:v>1866008</c:v>
                </c:pt>
                <c:pt idx="2">
                  <c:v>2648945</c:v>
                </c:pt>
                <c:pt idx="3">
                  <c:v>2514505</c:v>
                </c:pt>
                <c:pt idx="4">
                  <c:v>1491253</c:v>
                </c:pt>
                <c:pt idx="5">
                  <c:v>1471093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GraphData!$A$100:$A$105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GraphData!$D$100:$D$105</c:f>
              <c:numCache>
                <c:formatCode>General</c:formatCode>
                <c:ptCount val="6"/>
                <c:pt idx="0">
                  <c:v>48724</c:v>
                </c:pt>
                <c:pt idx="1">
                  <c:v>85922</c:v>
                </c:pt>
                <c:pt idx="2">
                  <c:v>184442</c:v>
                </c:pt>
                <c:pt idx="3">
                  <c:v>140388</c:v>
                </c:pt>
                <c:pt idx="4">
                  <c:v>95940</c:v>
                </c:pt>
                <c:pt idx="5">
                  <c:v>846536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GraphData!$A$100:$A$105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GraphData!$E$100:$E$105</c:f>
              <c:numCache>
                <c:formatCode>General</c:formatCode>
                <c:ptCount val="6"/>
                <c:pt idx="0">
                  <c:v>25</c:v>
                </c:pt>
                <c:pt idx="1">
                  <c:v>0</c:v>
                </c:pt>
                <c:pt idx="2">
                  <c:v>28</c:v>
                </c:pt>
                <c:pt idx="3">
                  <c:v>0</c:v>
                </c:pt>
                <c:pt idx="4">
                  <c:v>791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090001"/>
        <c:axId val="5009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GraphData!$A$100:$A$105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GraphData!$F$100:$F$105</c:f>
              <c:numCache>
                <c:formatCode>General</c:formatCode>
                <c:ptCount val="6"/>
                <c:pt idx="0">
                  <c:v>0.9859807948052636</c:v>
                </c:pt>
                <c:pt idx="1">
                  <c:v>0.9728339431220762</c:v>
                </c:pt>
                <c:pt idx="2">
                  <c:v>0.955091924936835</c:v>
                </c:pt>
                <c:pt idx="3">
                  <c:v>0.9639341819629805</c:v>
                </c:pt>
                <c:pt idx="4">
                  <c:v>0.9617238395369518</c:v>
                </c:pt>
                <c:pt idx="5">
                  <c:v>0.7478210460528001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GraphData!$A$100:$A$105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GraphData!$G$100:$G$105</c:f>
              <c:numCache>
                <c:formatCode>General</c:formatCode>
                <c:ptCount val="6"/>
                <c:pt idx="0">
                  <c:v>0.9539307475107742</c:v>
                </c:pt>
                <c:pt idx="1">
                  <c:v>0.9077380952380952</c:v>
                </c:pt>
                <c:pt idx="2">
                  <c:v>0.8959353899112935</c:v>
                </c:pt>
                <c:pt idx="3">
                  <c:v>0.8451546993578517</c:v>
                </c:pt>
                <c:pt idx="4">
                  <c:v>0.8814731424895464</c:v>
                </c:pt>
                <c:pt idx="5">
                  <c:v>0.5651162790697675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</c:valAx>
      <c:valAx>
        <c:axId val="6009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090001"/>
        <c:crosses val="max"/>
        <c:crossBetween val="between"/>
        <c:majorUnit val="0.2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Germany: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GraphData!$A$117:$A$122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GraphData!$B$117:$B$122</c:f>
              <c:numCache>
                <c:formatCode>General</c:formatCode>
                <c:ptCount val="6"/>
                <c:pt idx="0">
                  <c:v>654105</c:v>
                </c:pt>
                <c:pt idx="1">
                  <c:v>514245</c:v>
                </c:pt>
                <c:pt idx="2">
                  <c:v>691271</c:v>
                </c:pt>
                <c:pt idx="3">
                  <c:v>748990</c:v>
                </c:pt>
                <c:pt idx="4">
                  <c:v>600525</c:v>
                </c:pt>
                <c:pt idx="5">
                  <c:v>304811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GraphData!$A$117:$A$122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GraphData!$C$117:$C$122</c:f>
              <c:numCache>
                <c:formatCode>General</c:formatCode>
                <c:ptCount val="6"/>
                <c:pt idx="0">
                  <c:v>6594</c:v>
                </c:pt>
                <c:pt idx="1">
                  <c:v>9059</c:v>
                </c:pt>
                <c:pt idx="2">
                  <c:v>3</c:v>
                </c:pt>
                <c:pt idx="3">
                  <c:v>0</c:v>
                </c:pt>
                <c:pt idx="4">
                  <c:v>73</c:v>
                </c:pt>
                <c:pt idx="5">
                  <c:v>68982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GraphData!$A$117:$A$122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GraphData!$D$117:$D$122</c:f>
              <c:numCache>
                <c:formatCode>General</c:formatCode>
                <c:ptCount val="6"/>
                <c:pt idx="0">
                  <c:v>114268</c:v>
                </c:pt>
                <c:pt idx="1">
                  <c:v>153095</c:v>
                </c:pt>
                <c:pt idx="2">
                  <c:v>111727</c:v>
                </c:pt>
                <c:pt idx="3">
                  <c:v>194579</c:v>
                </c:pt>
                <c:pt idx="4">
                  <c:v>369913</c:v>
                </c:pt>
                <c:pt idx="5">
                  <c:v>473692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GraphData!$A$117:$A$122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GraphData!$E$117:$E$122</c:f>
              <c:numCache>
                <c:formatCode>General</c:formatCode>
                <c:ptCount val="6"/>
                <c:pt idx="0">
                  <c:v>318</c:v>
                </c:pt>
                <c:pt idx="1">
                  <c:v>119</c:v>
                </c:pt>
                <c:pt idx="2">
                  <c:v>7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100001"/>
        <c:axId val="5010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GraphData!$A$117:$A$122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GraphData!$F$117:$F$122</c:f>
              <c:numCache>
                <c:formatCode>General</c:formatCode>
                <c:ptCount val="6"/>
                <c:pt idx="0">
                  <c:v>0.8526118103512769</c:v>
                </c:pt>
                <c:pt idx="1">
                  <c:v>0.7737011782409016</c:v>
                </c:pt>
                <c:pt idx="2">
                  <c:v>0.8608643998565394</c:v>
                </c:pt>
                <c:pt idx="3">
                  <c:v>0.7937842449420817</c:v>
                </c:pt>
                <c:pt idx="4">
                  <c:v>0.6188467918929222</c:v>
                </c:pt>
                <c:pt idx="5">
                  <c:v>0.441061493713753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GraphData!$A$117:$A$122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GraphData!$G$117:$G$122</c:f>
              <c:numCache>
                <c:formatCode>General</c:formatCode>
                <c:ptCount val="6"/>
                <c:pt idx="0">
                  <c:v>0.5740216878830741</c:v>
                </c:pt>
                <c:pt idx="1">
                  <c:v>0.4557501183151917</c:v>
                </c:pt>
                <c:pt idx="2">
                  <c:v>0.6845188284518828</c:v>
                </c:pt>
                <c:pt idx="3">
                  <c:v>0.6985045827303425</c:v>
                </c:pt>
                <c:pt idx="4">
                  <c:v>0.539025077486616</c:v>
                </c:pt>
                <c:pt idx="5">
                  <c:v>0.3371544167228591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00001"/>
        <c:crosses val="autoZero"/>
        <c:crossBetween val="between"/>
      </c:valAx>
      <c:valAx>
        <c:axId val="6010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00001"/>
        <c:crosses val="max"/>
        <c:crossBetween val="between"/>
        <c:majorUnit val="0.2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Austria: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GraphData!$A$134:$A$139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GraphData!$B$134:$B$139</c:f>
              <c:numCache>
                <c:formatCode>General</c:formatCode>
                <c:ptCount val="6"/>
                <c:pt idx="0">
                  <c:v>6180</c:v>
                </c:pt>
                <c:pt idx="1">
                  <c:v>13201</c:v>
                </c:pt>
                <c:pt idx="2">
                  <c:v>5127</c:v>
                </c:pt>
                <c:pt idx="3">
                  <c:v>11376</c:v>
                </c:pt>
                <c:pt idx="4">
                  <c:v>5166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GraphData!$A$134:$A$139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GraphData!$C$134:$C$139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GraphData!$A$134:$A$139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GraphData!$D$134:$D$139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1552</c:v>
                </c:pt>
                <c:pt idx="5">
                  <c:v>4508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GraphData!$A$134:$A$139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GraphData!$E$134:$E$139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110001"/>
        <c:axId val="5011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GraphData!$A$134:$A$139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GraphData!$F$134:$F$139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0.9992972593113141</c:v>
                </c:pt>
                <c:pt idx="4">
                  <c:v>0.7698695136417556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GraphData!$A$134:$A$139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GraphData!$G$134:$G$139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0.9595959595959596</c:v>
                </c:pt>
                <c:pt idx="4">
                  <c:v>0.6585365853658537</c:v>
                </c:pt>
                <c:pt idx="5">
                  <c:v>0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</c:valAx>
      <c:valAx>
        <c:axId val="6011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10001"/>
        <c:crosses val="max"/>
        <c:crossBetween val="between"/>
        <c:majorUnit val="0.2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Belgium: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GraphData!$A$151:$A$156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GraphData!$B$151:$B$156</c:f>
              <c:numCache>
                <c:formatCode>General</c:formatCode>
                <c:ptCount val="6"/>
                <c:pt idx="0">
                  <c:v>105005</c:v>
                </c:pt>
                <c:pt idx="1">
                  <c:v>68044</c:v>
                </c:pt>
                <c:pt idx="2">
                  <c:v>102512</c:v>
                </c:pt>
                <c:pt idx="3">
                  <c:v>65509</c:v>
                </c:pt>
                <c:pt idx="4">
                  <c:v>80053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GraphData!$A$151:$A$156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GraphData!$C$151:$C$156</c:f>
              <c:numCache>
                <c:formatCode>General</c:formatCode>
                <c:ptCount val="6"/>
                <c:pt idx="0">
                  <c:v>0</c:v>
                </c:pt>
                <c:pt idx="1">
                  <c:v>120</c:v>
                </c:pt>
                <c:pt idx="2">
                  <c:v>1829</c:v>
                </c:pt>
                <c:pt idx="3">
                  <c:v>6300</c:v>
                </c:pt>
                <c:pt idx="4">
                  <c:v>39817</c:v>
                </c:pt>
                <c:pt idx="5">
                  <c:v>52704</c:v>
                </c:pt>
              </c:numCache>
            </c:numRef>
          </c:val>
        </c:ser>
        <c:ser>
          <c:idx val="2"/>
          <c:order val="2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GraphData!$A$151:$A$156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GraphData!$D$151:$D$156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Public authority refund</c:v>
          </c:tx>
          <c:spPr>
            <a:solidFill>
              <a:srgbClr val="6CAED6"/>
            </a:solidFill>
            <a:ln>
              <a:noFill/>
            </a:ln>
          </c:spPr>
          <c:cat>
            <c:strRef>
              <c:f>GraphData!$A$151:$A$156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GraphData!$E$151:$E$156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120001"/>
        <c:axId val="5012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GraphData!$A$151:$A$156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GraphData!$F$151:$F$156</c:f>
              <c:numCache>
                <c:formatCode>General</c:formatCode>
                <c:ptCount val="6"/>
                <c:pt idx="0">
                  <c:v>1</c:v>
                </c:pt>
                <c:pt idx="1">
                  <c:v>0.9982395399331025</c:v>
                </c:pt>
                <c:pt idx="2">
                  <c:v>0.9824709366404386</c:v>
                </c:pt>
                <c:pt idx="3">
                  <c:v>0.912267264549012</c:v>
                </c:pt>
                <c:pt idx="4">
                  <c:v>0.6678318178026195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GraphData!$A$151:$A$156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GraphData!$G$151:$G$156</c:f>
              <c:numCache>
                <c:formatCode>General</c:formatCode>
                <c:ptCount val="6"/>
                <c:pt idx="0">
                  <c:v>1</c:v>
                </c:pt>
                <c:pt idx="1">
                  <c:v>0.9942528735632183</c:v>
                </c:pt>
                <c:pt idx="2">
                  <c:v>0.976303317535545</c:v>
                </c:pt>
                <c:pt idx="3">
                  <c:v>0.8493975903614458</c:v>
                </c:pt>
                <c:pt idx="4">
                  <c:v>0.7361963190184049</c:v>
                </c:pt>
                <c:pt idx="5">
                  <c:v>0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20001"/>
        <c:crosses val="autoZero"/>
        <c:crossBetween val="between"/>
      </c:valAx>
      <c:valAx>
        <c:axId val="6012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20001"/>
        <c:crosses val="max"/>
        <c:crossBetween val="between"/>
        <c:majorUnit val="0.2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Italy: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GraphData!$A$168:$A$173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GraphData!$B$168:$B$173</c:f>
              <c:numCache>
                <c:formatCode>General</c:formatCode>
                <c:ptCount val="6"/>
                <c:pt idx="0">
                  <c:v>1153099</c:v>
                </c:pt>
                <c:pt idx="1">
                  <c:v>1363390</c:v>
                </c:pt>
                <c:pt idx="2">
                  <c:v>901639</c:v>
                </c:pt>
                <c:pt idx="3">
                  <c:v>1049130</c:v>
                </c:pt>
                <c:pt idx="4">
                  <c:v>635297</c:v>
                </c:pt>
                <c:pt idx="5">
                  <c:v>252064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GraphData!$A$168:$A$173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GraphData!$C$168:$C$173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GraphData!$A$168:$A$173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GraphData!$D$168:$D$173</c:f>
              <c:numCache>
                <c:formatCode>General</c:formatCode>
                <c:ptCount val="6"/>
                <c:pt idx="0">
                  <c:v>29052</c:v>
                </c:pt>
                <c:pt idx="1">
                  <c:v>24658</c:v>
                </c:pt>
                <c:pt idx="2">
                  <c:v>40982</c:v>
                </c:pt>
                <c:pt idx="3">
                  <c:v>144406</c:v>
                </c:pt>
                <c:pt idx="4">
                  <c:v>233404</c:v>
                </c:pt>
                <c:pt idx="5">
                  <c:v>545508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GraphData!$A$168:$A$173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GraphData!$E$168:$E$173</c:f>
              <c:numCache>
                <c:formatCode>General</c:formatCode>
                <c:ptCount val="6"/>
                <c:pt idx="0">
                  <c:v>17053</c:v>
                </c:pt>
                <c:pt idx="1">
                  <c:v>37569</c:v>
                </c:pt>
                <c:pt idx="2">
                  <c:v>34867</c:v>
                </c:pt>
                <c:pt idx="3">
                  <c:v>40480</c:v>
                </c:pt>
                <c:pt idx="4">
                  <c:v>29482</c:v>
                </c:pt>
                <c:pt idx="5">
                  <c:v>22786</c:v>
                </c:pt>
              </c:numCache>
            </c:numRef>
          </c:val>
        </c:ser>
        <c:gapWidth val="70"/>
        <c:overlap val="100"/>
        <c:axId val="50130001"/>
        <c:axId val="5013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GraphData!$A$168:$A$173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GraphData!$F$168:$F$173</c:f>
              <c:numCache>
                <c:formatCode>General</c:formatCode>
                <c:ptCount val="6"/>
                <c:pt idx="0">
                  <c:v>0.97577393004026</c:v>
                </c:pt>
                <c:pt idx="1">
                  <c:v>0.9827036293759124</c:v>
                </c:pt>
                <c:pt idx="2">
                  <c:v>0.9580741656163554</c:v>
                </c:pt>
                <c:pt idx="3">
                  <c:v>0.8829789216842232</c:v>
                </c:pt>
                <c:pt idx="4">
                  <c:v>0.7401375888877879</c:v>
                </c:pt>
                <c:pt idx="5">
                  <c:v>0.3350366547287891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GraphData!$A$168:$A$173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GraphData!$G$168:$G$173</c:f>
              <c:numCache>
                <c:formatCode>General</c:formatCode>
                <c:ptCount val="6"/>
                <c:pt idx="0">
                  <c:v>0.9370393767108866</c:v>
                </c:pt>
                <c:pt idx="1">
                  <c:v>0.9211052535902563</c:v>
                </c:pt>
                <c:pt idx="2">
                  <c:v>0.9063160366283165</c:v>
                </c:pt>
                <c:pt idx="3">
                  <c:v>0.8471350475804819</c:v>
                </c:pt>
                <c:pt idx="4">
                  <c:v>0.7480610457843383</c:v>
                </c:pt>
                <c:pt idx="5">
                  <c:v>0.4057929452251219</c:v>
                </c:pt>
              </c:numCache>
            </c:numRef>
          </c:val>
        </c:ser>
        <c:marker val="1"/>
        <c:axId val="60130001"/>
        <c:axId val="60130002"/>
      </c:lineChart>
      <c:catAx>
        <c:axId val="501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30001"/>
        <c:crosses val="autoZero"/>
        <c:crossBetween val="between"/>
      </c:valAx>
      <c:valAx>
        <c:axId val="6013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30001"/>
        <c:crosses val="max"/>
        <c:crossBetween val="between"/>
        <c:majorUnit val="0.2"/>
      </c:valAx>
      <c:catAx>
        <c:axId val="60130001"/>
        <c:scaling>
          <c:orientation val="minMax"/>
        </c:scaling>
        <c:delete val="1"/>
        <c:axPos val="b"/>
        <c:tickLblPos val="none"/>
        <c:crossAx val="6013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Portugal: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GraphData!$A$185:$A$190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GraphData!$B$185:$B$190</c:f>
              <c:numCache>
                <c:formatCode>General</c:formatCode>
                <c:ptCount val="6"/>
                <c:pt idx="0">
                  <c:v>2347164</c:v>
                </c:pt>
                <c:pt idx="1">
                  <c:v>1989474</c:v>
                </c:pt>
                <c:pt idx="2">
                  <c:v>418075</c:v>
                </c:pt>
                <c:pt idx="3">
                  <c:v>109120</c:v>
                </c:pt>
                <c:pt idx="4">
                  <c:v>83327</c:v>
                </c:pt>
                <c:pt idx="5">
                  <c:v>54571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GraphData!$A$185:$A$190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GraphData!$C$185:$C$190</c:f>
              <c:numCache>
                <c:formatCode>General</c:formatCode>
                <c:ptCount val="6"/>
                <c:pt idx="0">
                  <c:v>1699865</c:v>
                </c:pt>
                <c:pt idx="1">
                  <c:v>1639479</c:v>
                </c:pt>
                <c:pt idx="2">
                  <c:v>2090995</c:v>
                </c:pt>
                <c:pt idx="3">
                  <c:v>1478610</c:v>
                </c:pt>
                <c:pt idx="4">
                  <c:v>1110613</c:v>
                </c:pt>
                <c:pt idx="5">
                  <c:v>914999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GraphData!$A$185:$A$190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GraphData!$D$185:$D$190</c:f>
              <c:numCache>
                <c:formatCode>General</c:formatCode>
                <c:ptCount val="6"/>
                <c:pt idx="0">
                  <c:v>12302</c:v>
                </c:pt>
                <c:pt idx="1">
                  <c:v>21722</c:v>
                </c:pt>
                <c:pt idx="2">
                  <c:v>21463</c:v>
                </c:pt>
                <c:pt idx="3">
                  <c:v>44267</c:v>
                </c:pt>
                <c:pt idx="4">
                  <c:v>34409</c:v>
                </c:pt>
                <c:pt idx="5">
                  <c:v>31691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GraphData!$A$185:$A$190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GraphData!$E$185:$E$190</c:f>
              <c:numCache>
                <c:formatCode>General</c:formatCode>
                <c:ptCount val="6"/>
                <c:pt idx="0">
                  <c:v>1136</c:v>
                </c:pt>
                <c:pt idx="1">
                  <c:v>0</c:v>
                </c:pt>
                <c:pt idx="2">
                  <c:v>3785</c:v>
                </c:pt>
                <c:pt idx="3">
                  <c:v>17939</c:v>
                </c:pt>
                <c:pt idx="4">
                  <c:v>6237</c:v>
                </c:pt>
                <c:pt idx="5">
                  <c:v>149</c:v>
                </c:pt>
              </c:numCache>
            </c:numRef>
          </c:val>
        </c:ser>
        <c:gapWidth val="70"/>
        <c:overlap val="100"/>
        <c:axId val="50140001"/>
        <c:axId val="5014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GraphData!$A$185:$A$190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GraphData!$F$185:$F$190</c:f>
              <c:numCache>
                <c:formatCode>General</c:formatCode>
                <c:ptCount val="6"/>
                <c:pt idx="0">
                  <c:v>0.996970298482982</c:v>
                </c:pt>
                <c:pt idx="1">
                  <c:v>0.9940498674902587</c:v>
                </c:pt>
                <c:pt idx="2">
                  <c:v>0.9915310549031338</c:v>
                </c:pt>
                <c:pt idx="3">
                  <c:v>0.9731704582301727</c:v>
                </c:pt>
                <c:pt idx="4">
                  <c:v>0.9721291185871215</c:v>
                </c:pt>
                <c:pt idx="5">
                  <c:v>0.9683536213938347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GraphData!$A$185:$A$190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GraphData!$G$185:$G$190</c:f>
              <c:numCache>
                <c:formatCode>General</c:formatCode>
                <c:ptCount val="6"/>
                <c:pt idx="0">
                  <c:v>0.9398592450415867</c:v>
                </c:pt>
                <c:pt idx="1">
                  <c:v>0.8839779005524862</c:v>
                </c:pt>
                <c:pt idx="2">
                  <c:v>0.837217640731445</c:v>
                </c:pt>
                <c:pt idx="3">
                  <c:v>0.6334781156030739</c:v>
                </c:pt>
                <c:pt idx="4">
                  <c:v>0.4956834532374101</c:v>
                </c:pt>
                <c:pt idx="5">
                  <c:v>0.4990541051835036</c:v>
                </c:pt>
              </c:numCache>
            </c:numRef>
          </c:val>
        </c:ser>
        <c:marker val="1"/>
        <c:axId val="60140001"/>
        <c:axId val="60140002"/>
      </c:lineChart>
      <c:catAx>
        <c:axId val="5014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40001"/>
        <c:crosses val="autoZero"/>
        <c:crossBetween val="between"/>
      </c:valAx>
      <c:valAx>
        <c:axId val="6014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40001"/>
        <c:crosses val="max"/>
        <c:crossBetween val="between"/>
        <c:majorUnit val="0.2"/>
      </c:valAx>
      <c:catAx>
        <c:axId val="60140001"/>
        <c:scaling>
          <c:orientation val="minMax"/>
        </c:scaling>
        <c:delete val="1"/>
        <c:axPos val="b"/>
        <c:tickLblPos val="none"/>
        <c:crossAx val="6014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France: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GraphData!$A$202:$A$207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GraphData!$B$202:$B$207</c:f>
              <c:numCache>
                <c:formatCode>General</c:formatCode>
                <c:ptCount val="6"/>
                <c:pt idx="0">
                  <c:v>1814597</c:v>
                </c:pt>
                <c:pt idx="1">
                  <c:v>1314952</c:v>
                </c:pt>
                <c:pt idx="2">
                  <c:v>1511149</c:v>
                </c:pt>
                <c:pt idx="3">
                  <c:v>1485242</c:v>
                </c:pt>
                <c:pt idx="4">
                  <c:v>682272</c:v>
                </c:pt>
                <c:pt idx="5">
                  <c:v>34796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GraphData!$A$202:$A$207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GraphData!$C$202:$C$207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GraphData!$A$202:$A$207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GraphData!$D$202:$D$207</c:f>
              <c:numCache>
                <c:formatCode>General</c:formatCode>
                <c:ptCount val="6"/>
                <c:pt idx="0">
                  <c:v>0</c:v>
                </c:pt>
                <c:pt idx="1">
                  <c:v>79534</c:v>
                </c:pt>
                <c:pt idx="2">
                  <c:v>0</c:v>
                </c:pt>
                <c:pt idx="3">
                  <c:v>0</c:v>
                </c:pt>
                <c:pt idx="4">
                  <c:v>649976</c:v>
                </c:pt>
                <c:pt idx="5">
                  <c:v>1438681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GraphData!$A$202:$A$207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GraphData!$E$202:$E$207</c:f>
              <c:numCache>
                <c:formatCode>General</c:formatCode>
                <c:ptCount val="6"/>
                <c:pt idx="0">
                  <c:v>10718</c:v>
                </c:pt>
                <c:pt idx="1">
                  <c:v>0</c:v>
                </c:pt>
                <c:pt idx="2">
                  <c:v>227758</c:v>
                </c:pt>
                <c:pt idx="3">
                  <c:v>194859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150001"/>
        <c:axId val="5015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GraphData!$A$202:$A$207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GraphData!$F$202:$F$207</c:f>
              <c:numCache>
                <c:formatCode>General</c:formatCode>
                <c:ptCount val="6"/>
                <c:pt idx="0">
                  <c:v>1</c:v>
                </c:pt>
                <c:pt idx="1">
                  <c:v>0.9429653650162139</c:v>
                </c:pt>
                <c:pt idx="2">
                  <c:v>1</c:v>
                </c:pt>
                <c:pt idx="3">
                  <c:v>1</c:v>
                </c:pt>
                <c:pt idx="4">
                  <c:v>0.5121208663852376</c:v>
                </c:pt>
                <c:pt idx="5">
                  <c:v>0.02361489185104348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GraphData!$A$202:$A$207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GraphData!$G$202:$G$207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0.3177320139074619</c:v>
                </c:pt>
                <c:pt idx="5">
                  <c:v>0.0154461606845205</c:v>
                </c:pt>
              </c:numCache>
            </c:numRef>
          </c:val>
        </c:ser>
        <c:marker val="1"/>
        <c:axId val="60150001"/>
        <c:axId val="60150002"/>
      </c:lineChart>
      <c:catAx>
        <c:axId val="501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50001"/>
        <c:crosses val="autoZero"/>
        <c:crossBetween val="between"/>
      </c:valAx>
      <c:valAx>
        <c:axId val="6015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50001"/>
        <c:crosses val="max"/>
        <c:crossBetween val="between"/>
        <c:majorUnit val="0.2"/>
      </c:valAx>
      <c:catAx>
        <c:axId val="60150001"/>
        <c:scaling>
          <c:orientation val="minMax"/>
        </c:scaling>
        <c:delete val="1"/>
        <c:axPos val="b"/>
        <c:tickLblPos val="none"/>
        <c:crossAx val="6015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UK: Monthly inflow in GBP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GraphData!$A$219:$A$224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GraphData!$B$219:$B$224</c:f>
              <c:numCache>
                <c:formatCode>General</c:formatCode>
                <c:ptCount val="6"/>
                <c:pt idx="0">
                  <c:v>78140</c:v>
                </c:pt>
                <c:pt idx="1">
                  <c:v>110936</c:v>
                </c:pt>
                <c:pt idx="2">
                  <c:v>53420</c:v>
                </c:pt>
                <c:pt idx="3">
                  <c:v>68133</c:v>
                </c:pt>
                <c:pt idx="4">
                  <c:v>92823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GraphData!$A$219:$A$224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GraphData!$C$219:$C$224</c:f>
              <c:numCache>
                <c:formatCode>General</c:formatCode>
                <c:ptCount val="6"/>
                <c:pt idx="0">
                  <c:v>1484</c:v>
                </c:pt>
                <c:pt idx="1">
                  <c:v>2026</c:v>
                </c:pt>
                <c:pt idx="2">
                  <c:v>8481</c:v>
                </c:pt>
                <c:pt idx="3">
                  <c:v>11187</c:v>
                </c:pt>
                <c:pt idx="4">
                  <c:v>1245</c:v>
                </c:pt>
                <c:pt idx="5">
                  <c:v>228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GraphData!$A$219:$A$224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GraphData!$D$219:$D$224</c:f>
              <c:numCache>
                <c:formatCode>General</c:formatCode>
                <c:ptCount val="6"/>
                <c:pt idx="0">
                  <c:v>21381</c:v>
                </c:pt>
                <c:pt idx="1">
                  <c:v>30432</c:v>
                </c:pt>
                <c:pt idx="2">
                  <c:v>14776</c:v>
                </c:pt>
                <c:pt idx="3">
                  <c:v>32843</c:v>
                </c:pt>
                <c:pt idx="4">
                  <c:v>38190</c:v>
                </c:pt>
                <c:pt idx="5">
                  <c:v>504536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GraphData!$A$219:$A$224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GraphData!$E$219:$E$224</c:f>
              <c:numCache>
                <c:formatCode>General</c:formatCode>
                <c:ptCount val="6"/>
                <c:pt idx="0">
                  <c:v>2351</c:v>
                </c:pt>
                <c:pt idx="1">
                  <c:v>2383</c:v>
                </c:pt>
                <c:pt idx="2">
                  <c:v>3252</c:v>
                </c:pt>
                <c:pt idx="3">
                  <c:v>2678</c:v>
                </c:pt>
                <c:pt idx="4">
                  <c:v>1958</c:v>
                </c:pt>
                <c:pt idx="5">
                  <c:v>405</c:v>
                </c:pt>
              </c:numCache>
            </c:numRef>
          </c:val>
        </c:ser>
        <c:gapWidth val="70"/>
        <c:overlap val="100"/>
        <c:axId val="50160001"/>
        <c:axId val="5016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GraphData!$A$219:$A$224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GraphData!$F$219:$F$224</c:f>
              <c:numCache>
                <c:formatCode>General</c:formatCode>
                <c:ptCount val="6"/>
                <c:pt idx="0">
                  <c:v>0.793132474166957</c:v>
                </c:pt>
                <c:pt idx="1">
                  <c:v>0.7912427886429272</c:v>
                </c:pt>
                <c:pt idx="2">
                  <c:v>0.8151359331406623</c:v>
                </c:pt>
                <c:pt idx="3">
                  <c:v>0.714013287937235</c:v>
                </c:pt>
                <c:pt idx="4">
                  <c:v>0.7154586636466591</c:v>
                </c:pt>
                <c:pt idx="5">
                  <c:v>0.001253046010345053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GraphData!$A$219:$A$224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GraphData!$G$219:$G$224</c:f>
              <c:numCache>
                <c:formatCode>General</c:formatCode>
                <c:ptCount val="6"/>
                <c:pt idx="0">
                  <c:v>0.6951945080091533</c:v>
                </c:pt>
                <c:pt idx="1">
                  <c:v>0.5787224471434997</c:v>
                </c:pt>
                <c:pt idx="2">
                  <c:v>0.3739383644746421</c:v>
                </c:pt>
                <c:pt idx="3">
                  <c:v>0.4474327628361858</c:v>
                </c:pt>
                <c:pt idx="4">
                  <c:v>0.4588469184890656</c:v>
                </c:pt>
                <c:pt idx="5">
                  <c:v>0.01618341200269724</c:v>
                </c:pt>
              </c:numCache>
            </c:numRef>
          </c:val>
        </c:ser>
        <c:marker val="1"/>
        <c:axId val="60160001"/>
        <c:axId val="60160002"/>
      </c:lineChart>
      <c:catAx>
        <c:axId val="5016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60001"/>
        <c:crosses val="autoZero"/>
        <c:crossBetween val="between"/>
      </c:valAx>
      <c:valAx>
        <c:axId val="6016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60001"/>
        <c:crosses val="max"/>
        <c:crossBetween val="between"/>
        <c:majorUnit val="0.2"/>
      </c:valAx>
      <c:catAx>
        <c:axId val="60160001"/>
        <c:scaling>
          <c:orientation val="minMax"/>
        </c:scaling>
        <c:delete val="1"/>
        <c:axPos val="b"/>
        <c:tickLblPos val="none"/>
        <c:crossAx val="6016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South Africa: Monthly inflow in ZAR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GraphData!$A$236:$A$241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GraphData!$B$236:$B$241</c:f>
              <c:numCache>
                <c:formatCode>General</c:formatCode>
                <c:ptCount val="6"/>
                <c:pt idx="0">
                  <c:v>2257245.010000002</c:v>
                </c:pt>
                <c:pt idx="1">
                  <c:v>2214528.610000001</c:v>
                </c:pt>
                <c:pt idx="2">
                  <c:v>1802014.029999999</c:v>
                </c:pt>
                <c:pt idx="3">
                  <c:v>1844608.780000006</c:v>
                </c:pt>
                <c:pt idx="4">
                  <c:v>1530045.009999999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GraphData!$A$236:$A$241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GraphData!$C$236:$C$241</c:f>
              <c:numCache>
                <c:formatCode>General</c:formatCode>
                <c:ptCount val="6"/>
                <c:pt idx="0">
                  <c:v>35981.14000000003</c:v>
                </c:pt>
                <c:pt idx="1">
                  <c:v>35065.13999999982</c:v>
                </c:pt>
                <c:pt idx="2">
                  <c:v>37194.56999999994</c:v>
                </c:pt>
                <c:pt idx="3">
                  <c:v>36958.94999999987</c:v>
                </c:pt>
                <c:pt idx="4">
                  <c:v>23251.49000000008</c:v>
                </c:pt>
                <c:pt idx="5">
                  <c:v>21748.81000000002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GraphData!$A$236:$A$241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GraphData!$D$236:$D$241</c:f>
              <c:numCache>
                <c:formatCode>General</c:formatCode>
                <c:ptCount val="6"/>
                <c:pt idx="0">
                  <c:v>1017381.590000022</c:v>
                </c:pt>
                <c:pt idx="1">
                  <c:v>1190285.050000014</c:v>
                </c:pt>
                <c:pt idx="2">
                  <c:v>1698707.599999998</c:v>
                </c:pt>
                <c:pt idx="3">
                  <c:v>2370867.999999958</c:v>
                </c:pt>
                <c:pt idx="4">
                  <c:v>2542412.579999955</c:v>
                </c:pt>
                <c:pt idx="5">
                  <c:v>4321352.739999992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GraphData!$A$236:$A$241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GraphData!$E$236:$E$241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170001"/>
        <c:axId val="5017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GraphData!$A$236:$A$241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GraphData!$F$236:$F$241</c:f>
              <c:numCache>
                <c:formatCode>General</c:formatCode>
                <c:ptCount val="6"/>
                <c:pt idx="0">
                  <c:v>0.6926903849986122</c:v>
                </c:pt>
                <c:pt idx="1">
                  <c:v>0.6539747127137129</c:v>
                </c:pt>
                <c:pt idx="2">
                  <c:v>0.5198564624000988</c:v>
                </c:pt>
                <c:pt idx="3">
                  <c:v>0.4424682345522531</c:v>
                </c:pt>
                <c:pt idx="4">
                  <c:v>0.379249714679446</c:v>
                </c:pt>
                <c:pt idx="5">
                  <c:v>0.005007667849719071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GraphData!$A$236:$A$241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GraphData!$G$236:$G$241</c:f>
              <c:numCache>
                <c:formatCode>General</c:formatCode>
                <c:ptCount val="6"/>
                <c:pt idx="0">
                  <c:v>0.8571001494768311</c:v>
                </c:pt>
                <c:pt idx="1">
                  <c:v>0.831151832460733</c:v>
                </c:pt>
                <c:pt idx="2">
                  <c:v>0.7894209999473157</c:v>
                </c:pt>
                <c:pt idx="3">
                  <c:v>0.7083093456150451</c:v>
                </c:pt>
                <c:pt idx="4">
                  <c:v>0.5870038195619591</c:v>
                </c:pt>
                <c:pt idx="5">
                  <c:v>0.3165488934963822</c:v>
                </c:pt>
              </c:numCache>
            </c:numRef>
          </c:val>
        </c:ser>
        <c:marker val="1"/>
        <c:axId val="60170001"/>
        <c:axId val="60170002"/>
      </c:lineChart>
      <c:catAx>
        <c:axId val="5017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70001"/>
        <c:crosses val="autoZero"/>
        <c:crossBetween val="between"/>
      </c:valAx>
      <c:valAx>
        <c:axId val="6017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70001"/>
        <c:crosses val="max"/>
        <c:crossBetween val="between"/>
        <c:majorUnit val="0.2"/>
      </c:valAx>
      <c:catAx>
        <c:axId val="60170001"/>
        <c:scaling>
          <c:orientation val="minMax"/>
        </c:scaling>
        <c:delete val="1"/>
        <c:axPos val="b"/>
        <c:tickLblPos val="none"/>
        <c:crossAx val="6017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Brazil: monthly IN and OUT in BRL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 (left axis)</c:v>
          </c:tx>
          <c:spPr>
            <a:solidFill>
              <a:srgbClr val="D66B28"/>
            </a:solidFill>
            <a:ln>
              <a:noFill/>
            </a:ln>
          </c:spPr>
          <c:cat>
            <c:strRef>
              <c:f>GraphData!$A$253:$A$258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GraphData!$B$253:$B$258</c:f>
              <c:numCache>
                <c:formatCode>General</c:formatCode>
                <c:ptCount val="6"/>
                <c:pt idx="0">
                  <c:v>22695.36</c:v>
                </c:pt>
                <c:pt idx="1">
                  <c:v>14874.3</c:v>
                </c:pt>
                <c:pt idx="2">
                  <c:v>9310.760000000026</c:v>
                </c:pt>
                <c:pt idx="3">
                  <c:v>9959.560000000005</c:v>
                </c:pt>
                <c:pt idx="4">
                  <c:v>1465.87</c:v>
                </c:pt>
                <c:pt idx="5">
                  <c:v>15278.08</c:v>
                </c:pt>
              </c:numCache>
            </c:numRef>
          </c:val>
        </c:ser>
        <c:ser>
          <c:idx val="1"/>
          <c:order val="1"/>
          <c:tx>
            <c:v/>
          </c:tx>
          <c:spPr>
            <a:noFill/>
            <a:ln>
              <a:noFill/>
            </a:ln>
          </c:spPr>
          <c:cat>
            <c:strRef>
              <c:f>GraphData!$A$253:$A$258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GraphData!$G$253:$G$258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80"/>
        <c:axId val="50180001"/>
        <c:axId val="50180002"/>
      </c:barChart>
      <c:barChart>
        <c:barDir val="col"/>
        <c:grouping val="clustered"/>
        <c:ser>
          <c:idx val="2"/>
          <c:order val="2"/>
          <c:tx>
            <c:v/>
          </c:tx>
          <c:spPr>
            <a:noFill/>
            <a:ln>
              <a:noFill/>
            </a:ln>
          </c:spPr>
          <c:cat>
            <c:strRef>
              <c:f>GraphData!$A$253:$A$258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GraphData!$G$253:$G$258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OUT (right axis)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GraphData!$A$253:$A$258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GraphData!$C$253:$C$258</c:f>
              <c:numCache>
                <c:formatCode>General</c:formatCode>
                <c:ptCount val="6"/>
                <c:pt idx="0">
                  <c:v>160913.0099999998</c:v>
                </c:pt>
                <c:pt idx="1">
                  <c:v>27911417.86</c:v>
                </c:pt>
                <c:pt idx="2">
                  <c:v>150862.4499999985</c:v>
                </c:pt>
                <c:pt idx="3">
                  <c:v>153314.4399984963</c:v>
                </c:pt>
                <c:pt idx="4">
                  <c:v>62435.82999999993</c:v>
                </c:pt>
                <c:pt idx="5">
                  <c:v>75514.03999999975</c:v>
                </c:pt>
              </c:numCache>
            </c:numRef>
          </c:val>
        </c:ser>
        <c:gapWidth val="80"/>
        <c:axId val="50180003"/>
        <c:axId val="50180004"/>
      </c:barChart>
      <c:catAx>
        <c:axId val="5018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in val="0"/>
        </c:scaling>
        <c:axPos val="l"/>
        <c:majorGridlines>
          <c:spPr>
            <a:ln>
              <a:solidFill>
                <a:srgbClr val="DDE3E5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D66B28"/>
                    </a:solidFill>
                  </a:defRPr>
                </a:pPr>
                <a:r>
                  <a:rPr lang="en-US" sz="900" baseline="0">
                    <a:solidFill>
                      <a:srgbClr val="D66B28"/>
                    </a:solidFill>
                  </a:rPr>
                  <a:t>IN — BRL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80001"/>
        <c:crosses val="autoZero"/>
        <c:crossBetween val="between"/>
      </c:valAx>
      <c:valAx>
        <c:axId val="50180004"/>
        <c:scaling>
          <c:orientation val="minMax"/>
          <c:min val="0"/>
        </c:scaling>
        <c:axPos val="r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548300"/>
                    </a:solidFill>
                  </a:defRPr>
                </a:pPr>
                <a:r>
                  <a:rPr lang="en-US" sz="900" baseline="0">
                    <a:solidFill>
                      <a:srgbClr val="548300"/>
                    </a:solidFill>
                  </a:rPr>
                  <a:t>OUT — BRL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80003"/>
        <c:crosses val="max"/>
        <c:crossBetween val="between"/>
      </c:valAx>
      <c:catAx>
        <c:axId val="50180003"/>
        <c:scaling>
          <c:orientation val="minMax"/>
        </c:scaling>
        <c:delete val="1"/>
        <c:axPos val="b"/>
        <c:tickLblPos val="none"/>
        <c:crossAx val="50180004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/>
      <c:txPr>
        <a:bodyPr/>
        <a:lstStyle/>
        <a:p>
          <a:pPr>
            <a:defRPr sz="900" baseline="0"/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Denmark: Monthly inflow in DKK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GraphData!$A$264:$A$269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GraphData!$B$264:$B$269</c:f>
              <c:numCache>
                <c:formatCode>General</c:formatCode>
                <c:ptCount val="6"/>
                <c:pt idx="0">
                  <c:v>99722.84000000005</c:v>
                </c:pt>
                <c:pt idx="1">
                  <c:v>133360.3</c:v>
                </c:pt>
                <c:pt idx="2">
                  <c:v>73694.54999999997</c:v>
                </c:pt>
                <c:pt idx="3">
                  <c:v>67214.93999999992</c:v>
                </c:pt>
                <c:pt idx="4">
                  <c:v>62933.94000000001</c:v>
                </c:pt>
                <c:pt idx="5">
                  <c:v>35497.24999999999</c:v>
                </c:pt>
              </c:numCache>
            </c:numRef>
          </c:val>
        </c:ser>
        <c:ser>
          <c:idx val="1"/>
          <c:order val="1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GraphData!$A$264:$A$269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GraphData!$C$264:$C$269</c:f>
              <c:numCache>
                <c:formatCode>General</c:formatCode>
                <c:ptCount val="6"/>
                <c:pt idx="0">
                  <c:v>1.455191522836685e-11</c:v>
                </c:pt>
                <c:pt idx="1">
                  <c:v>-2.91038304567337e-11</c:v>
                </c:pt>
                <c:pt idx="2">
                  <c:v>1.01863406598568e-10</c:v>
                </c:pt>
                <c:pt idx="3">
                  <c:v>7.275957614183426e-11</c:v>
                </c:pt>
                <c:pt idx="4">
                  <c:v>645.8900000002759</c:v>
                </c:pt>
                <c:pt idx="5">
                  <c:v>15520.82000000002</c:v>
                </c:pt>
              </c:numCache>
            </c:numRef>
          </c:val>
        </c:ser>
        <c:ser>
          <c:idx val="2"/>
          <c:order val="2"/>
          <c:tx>
            <c:v>Public authority refund</c:v>
          </c:tx>
          <c:spPr>
            <a:solidFill>
              <a:srgbClr val="6CAED6"/>
            </a:solidFill>
            <a:ln>
              <a:noFill/>
            </a:ln>
          </c:spPr>
          <c:cat>
            <c:strRef>
              <c:f>GraphData!$A$264:$A$269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GraphData!$D$264:$D$269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Other processing without refund</c:v>
          </c:tx>
          <c:spPr>
            <a:solidFill>
              <a:srgbClr val="B4A7D6"/>
            </a:solidFill>
            <a:ln>
              <a:noFill/>
            </a:ln>
          </c:spPr>
          <c:cat>
            <c:strRef>
              <c:f>GraphData!$A$264:$A$269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GraphData!$E$264:$E$269</c:f>
              <c:numCache>
                <c:formatCode>General</c:formatCode>
                <c:ptCount val="6"/>
                <c:pt idx="0">
                  <c:v>12670.51</c:v>
                </c:pt>
                <c:pt idx="1">
                  <c:v>35916.32</c:v>
                </c:pt>
                <c:pt idx="2">
                  <c:v>15427.32</c:v>
                </c:pt>
                <c:pt idx="3">
                  <c:v>7237.440000000001</c:v>
                </c:pt>
                <c:pt idx="4">
                  <c:v>16845.81999999999</c:v>
                </c:pt>
                <c:pt idx="5">
                  <c:v>4271.81</c:v>
                </c:pt>
              </c:numCache>
            </c:numRef>
          </c:val>
        </c:ser>
        <c:gapWidth val="70"/>
        <c:overlap val="100"/>
        <c:axId val="50190001"/>
        <c:axId val="5019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GraphData!$A$264:$A$269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GraphData!$F$264:$F$269</c:f>
              <c:numCache>
                <c:formatCode>General</c:formatCode>
                <c:ptCount val="6"/>
                <c:pt idx="0">
                  <c:v>0.9999999999999999</c:v>
                </c:pt>
                <c:pt idx="1">
                  <c:v>1</c:v>
                </c:pt>
                <c:pt idx="2">
                  <c:v>0.9999999999999989</c:v>
                </c:pt>
                <c:pt idx="3">
                  <c:v>0.999999999999999</c:v>
                </c:pt>
                <c:pt idx="4">
                  <c:v>0.9919691043839836</c:v>
                </c:pt>
                <c:pt idx="5">
                  <c:v>0.7192828054609629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GraphData!$A$264:$A$269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GraphData!$G$264:$G$269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0.9855985598559855</c:v>
                </c:pt>
                <c:pt idx="5">
                  <c:v>0.5851851851851851</c:v>
                </c:pt>
              </c:numCache>
            </c:numRef>
          </c:val>
        </c:ser>
        <c:marker val="1"/>
        <c:axId val="60190001"/>
        <c:axId val="60190002"/>
      </c:lineChart>
      <c:catAx>
        <c:axId val="501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90001"/>
        <c:crosses val="autoZero"/>
        <c:crossBetween val="between"/>
      </c:valAx>
      <c:valAx>
        <c:axId val="6019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90001"/>
        <c:crosses val="max"/>
        <c:crossBetween val="between"/>
        <c:majorUnit val="0.2"/>
      </c:valAx>
      <c:catAx>
        <c:axId val="60190001"/>
        <c:scaling>
          <c:orientation val="minMax"/>
        </c:scaling>
        <c:delete val="1"/>
        <c:axPos val="b"/>
        <c:tickLblPos val="none"/>
        <c:crossAx val="6019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Norway: Monthly inflow in NOK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GraphData!$A$281:$A$286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GraphData!$B$281:$B$286</c:f>
              <c:numCache>
                <c:formatCode>General</c:formatCode>
                <c:ptCount val="6"/>
                <c:pt idx="0">
                  <c:v>44529.71000000001</c:v>
                </c:pt>
                <c:pt idx="1">
                  <c:v>119196.88</c:v>
                </c:pt>
                <c:pt idx="2">
                  <c:v>48189.56999999999</c:v>
                </c:pt>
                <c:pt idx="3">
                  <c:v>35319.84</c:v>
                </c:pt>
                <c:pt idx="4">
                  <c:v>38392.78000000001</c:v>
                </c:pt>
                <c:pt idx="5">
                  <c:v>29683.47</c:v>
                </c:pt>
              </c:numCache>
            </c:numRef>
          </c:val>
        </c:ser>
        <c:ser>
          <c:idx val="1"/>
          <c:order val="1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GraphData!$A$281:$A$286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GraphData!$C$281:$C$286</c:f>
              <c:numCache>
                <c:formatCode>General</c:formatCode>
                <c:ptCount val="6"/>
                <c:pt idx="0">
                  <c:v>4050.930000000008</c:v>
                </c:pt>
                <c:pt idx="1">
                  <c:v>2.91038304567337e-11</c:v>
                </c:pt>
                <c:pt idx="2">
                  <c:v>0</c:v>
                </c:pt>
                <c:pt idx="3">
                  <c:v>-2.91038304567337e-11</c:v>
                </c:pt>
                <c:pt idx="4">
                  <c:v>1746.190000000002</c:v>
                </c:pt>
                <c:pt idx="5">
                  <c:v>16286.97000000002</c:v>
                </c:pt>
              </c:numCache>
            </c:numRef>
          </c:val>
        </c:ser>
        <c:ser>
          <c:idx val="2"/>
          <c:order val="2"/>
          <c:tx>
            <c:v>Public authority refund</c:v>
          </c:tx>
          <c:spPr>
            <a:solidFill>
              <a:srgbClr val="6CAED6"/>
            </a:solidFill>
            <a:ln>
              <a:noFill/>
            </a:ln>
          </c:spPr>
          <c:cat>
            <c:strRef>
              <c:f>GraphData!$A$281:$A$286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GraphData!$D$281:$D$286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Other processing without refund</c:v>
          </c:tx>
          <c:spPr>
            <a:solidFill>
              <a:srgbClr val="B4A7D6"/>
            </a:solidFill>
            <a:ln>
              <a:noFill/>
            </a:ln>
          </c:spPr>
          <c:cat>
            <c:strRef>
              <c:f>GraphData!$A$281:$A$286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GraphData!$E$281:$E$286</c:f>
              <c:numCache>
                <c:formatCode>General</c:formatCode>
                <c:ptCount val="6"/>
                <c:pt idx="0">
                  <c:v>13050.29</c:v>
                </c:pt>
                <c:pt idx="1">
                  <c:v>27796.83</c:v>
                </c:pt>
                <c:pt idx="2">
                  <c:v>7371.159999999999</c:v>
                </c:pt>
                <c:pt idx="3">
                  <c:v>7222.72</c:v>
                </c:pt>
                <c:pt idx="4">
                  <c:v>2935.37</c:v>
                </c:pt>
                <c:pt idx="5">
                  <c:v>333.07</c:v>
                </c:pt>
              </c:numCache>
            </c:numRef>
          </c:val>
        </c:ser>
        <c:gapWidth val="70"/>
        <c:overlap val="100"/>
        <c:axId val="50200001"/>
        <c:axId val="5020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GraphData!$A$281:$A$286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GraphData!$F$281:$F$286</c:f>
              <c:numCache>
                <c:formatCode>General</c:formatCode>
                <c:ptCount val="6"/>
                <c:pt idx="0">
                  <c:v>0.9342711524878822</c:v>
                </c:pt>
                <c:pt idx="1">
                  <c:v>0.9999999999999998</c:v>
                </c:pt>
                <c:pt idx="2">
                  <c:v>1</c:v>
                </c:pt>
                <c:pt idx="3">
                  <c:v>1.000000000000001</c:v>
                </c:pt>
                <c:pt idx="4">
                  <c:v>0.9594610155373245</c:v>
                </c:pt>
                <c:pt idx="5">
                  <c:v>0.6482562553033234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GraphData!$A$281:$A$286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GraphData!$G$281:$G$286</c:f>
              <c:numCache>
                <c:formatCode>General</c:formatCode>
                <c:ptCount val="6"/>
                <c:pt idx="0">
                  <c:v>0.9932432432432432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0.8131868131868132</c:v>
                </c:pt>
                <c:pt idx="5">
                  <c:v>0.2032520325203252</c:v>
                </c:pt>
              </c:numCache>
            </c:numRef>
          </c:val>
        </c:ser>
        <c:marker val="1"/>
        <c:axId val="60200001"/>
        <c:axId val="60200002"/>
      </c:lineChart>
      <c:catAx>
        <c:axId val="5020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200001"/>
        <c:crosses val="autoZero"/>
        <c:crossBetween val="between"/>
      </c:valAx>
      <c:valAx>
        <c:axId val="6020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200001"/>
        <c:crosses val="max"/>
        <c:crossBetween val="between"/>
        <c:majorUnit val="0.2"/>
      </c:valAx>
      <c:catAx>
        <c:axId val="60200001"/>
        <c:scaling>
          <c:orientation val="minMax"/>
        </c:scaling>
        <c:delete val="1"/>
        <c:axPos val="b"/>
        <c:tickLblPos val="none"/>
        <c:crossAx val="6020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Sweden: Monthly inflow in SEK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GraphData!$A$298:$A$303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GraphData!$B$298:$B$303</c:f>
              <c:numCache>
                <c:formatCode>General</c:formatCode>
                <c:ptCount val="6"/>
                <c:pt idx="0">
                  <c:v>368266.0900000003</c:v>
                </c:pt>
                <c:pt idx="1">
                  <c:v>129130.2099999999</c:v>
                </c:pt>
                <c:pt idx="2">
                  <c:v>221743.1099999998</c:v>
                </c:pt>
                <c:pt idx="3">
                  <c:v>240575.4300000002</c:v>
                </c:pt>
                <c:pt idx="4">
                  <c:v>114417.87</c:v>
                </c:pt>
                <c:pt idx="5">
                  <c:v>146150.0899999998</c:v>
                </c:pt>
              </c:numCache>
            </c:numRef>
          </c:val>
        </c:ser>
        <c:ser>
          <c:idx val="1"/>
          <c:order val="1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GraphData!$A$298:$A$303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GraphData!$C$298:$C$303</c:f>
              <c:numCache>
                <c:formatCode>General</c:formatCode>
                <c:ptCount val="6"/>
                <c:pt idx="0">
                  <c:v>-2.328306436538696e-10</c:v>
                </c:pt>
                <c:pt idx="1">
                  <c:v>3370.850000000006</c:v>
                </c:pt>
                <c:pt idx="2">
                  <c:v>2249.690000000061</c:v>
                </c:pt>
                <c:pt idx="3">
                  <c:v>4242.030000000057</c:v>
                </c:pt>
                <c:pt idx="4">
                  <c:v>3246.610000000001</c:v>
                </c:pt>
                <c:pt idx="5">
                  <c:v>159517.4400000001</c:v>
                </c:pt>
              </c:numCache>
            </c:numRef>
          </c:val>
        </c:ser>
        <c:ser>
          <c:idx val="2"/>
          <c:order val="2"/>
          <c:tx>
            <c:v>Public authority refund</c:v>
          </c:tx>
          <c:spPr>
            <a:solidFill>
              <a:srgbClr val="6CAED6"/>
            </a:solidFill>
            <a:ln>
              <a:noFill/>
            </a:ln>
          </c:spPr>
          <c:cat>
            <c:strRef>
              <c:f>GraphData!$A$298:$A$303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GraphData!$D$298:$D$303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Other processing without refund</c:v>
          </c:tx>
          <c:spPr>
            <a:solidFill>
              <a:srgbClr val="B4A7D6"/>
            </a:solidFill>
            <a:ln>
              <a:noFill/>
            </a:ln>
          </c:spPr>
          <c:cat>
            <c:strRef>
              <c:f>GraphData!$A$298:$A$303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GraphData!$E$298:$E$303</c:f>
              <c:numCache>
                <c:formatCode>General</c:formatCode>
                <c:ptCount val="6"/>
                <c:pt idx="0">
                  <c:v>16140.74</c:v>
                </c:pt>
                <c:pt idx="1">
                  <c:v>6916.57</c:v>
                </c:pt>
                <c:pt idx="2">
                  <c:v>9133.240000000005</c:v>
                </c:pt>
                <c:pt idx="3">
                  <c:v>5510.730000000005</c:v>
                </c:pt>
                <c:pt idx="4">
                  <c:v>7751.849999999999</c:v>
                </c:pt>
                <c:pt idx="5">
                  <c:v>5055.880000000003</c:v>
                </c:pt>
              </c:numCache>
            </c:numRef>
          </c:val>
        </c:ser>
        <c:gapWidth val="70"/>
        <c:overlap val="100"/>
        <c:axId val="50210001"/>
        <c:axId val="5021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GraphData!$A$298:$A$303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GraphData!$F$298:$F$303</c:f>
              <c:numCache>
                <c:formatCode>General</c:formatCode>
                <c:ptCount val="6"/>
                <c:pt idx="0">
                  <c:v>1.000000000000001</c:v>
                </c:pt>
                <c:pt idx="1">
                  <c:v>0.9758219243864639</c:v>
                </c:pt>
                <c:pt idx="2">
                  <c:v>0.9903498982782015</c:v>
                </c:pt>
                <c:pt idx="3">
                  <c:v>0.9830541258657283</c:v>
                </c:pt>
                <c:pt idx="4">
                  <c:v>0.9741133391480998</c:v>
                </c:pt>
                <c:pt idx="5">
                  <c:v>0.4866256134354339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GraphData!$A$298:$A$303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GraphData!$G$298:$G$303</c:f>
              <c:numCache>
                <c:formatCode>General</c:formatCode>
                <c:ptCount val="6"/>
                <c:pt idx="0">
                  <c:v>1</c:v>
                </c:pt>
                <c:pt idx="1">
                  <c:v>0.9961389961389961</c:v>
                </c:pt>
                <c:pt idx="2">
                  <c:v>0.9811023622047244</c:v>
                </c:pt>
                <c:pt idx="3">
                  <c:v>0.955637707948244</c:v>
                </c:pt>
                <c:pt idx="4">
                  <c:v>0.9183673469387755</c:v>
                </c:pt>
                <c:pt idx="5">
                  <c:v>0.5702005730659025</c:v>
                </c:pt>
              </c:numCache>
            </c:numRef>
          </c:val>
        </c:ser>
        <c:marker val="1"/>
        <c:axId val="60210001"/>
        <c:axId val="60210002"/>
      </c:lineChart>
      <c:catAx>
        <c:axId val="502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210001"/>
        <c:crosses val="autoZero"/>
        <c:crossBetween val="between"/>
      </c:valAx>
      <c:valAx>
        <c:axId val="6021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210001"/>
        <c:crosses val="max"/>
        <c:crossBetween val="between"/>
        <c:majorUnit val="0.2"/>
      </c:valAx>
      <c:catAx>
        <c:axId val="60210001"/>
        <c:scaling>
          <c:orientation val="minMax"/>
        </c:scaling>
        <c:delete val="1"/>
        <c:axPos val="b"/>
        <c:tickLblPos val="none"/>
        <c:crossAx val="6021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0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7</xdr:row>
      <xdr:rowOff>19050</xdr:rowOff>
    </xdr:from>
    <xdr:to>
      <xdr:col>31</xdr:col>
      <xdr:colOff>85725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</xdr:colOff>
      <xdr:row>23</xdr:row>
      <xdr:rowOff>19050</xdr:rowOff>
    </xdr:from>
    <xdr:to>
      <xdr:col>31</xdr:col>
      <xdr:colOff>85725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51</xdr:row>
      <xdr:rowOff>19050</xdr:rowOff>
    </xdr:from>
    <xdr:to>
      <xdr:col>13</xdr:col>
      <xdr:colOff>171450</xdr:colOff>
      <xdr:row>65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67</xdr:row>
      <xdr:rowOff>19050</xdr:rowOff>
    </xdr:from>
    <xdr:to>
      <xdr:col>13</xdr:col>
      <xdr:colOff>171450</xdr:colOff>
      <xdr:row>81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7</xdr:row>
      <xdr:rowOff>19050</xdr:rowOff>
    </xdr:from>
    <xdr:to>
      <xdr:col>31</xdr:col>
      <xdr:colOff>85725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</xdr:colOff>
      <xdr:row>23</xdr:row>
      <xdr:rowOff>19050</xdr:rowOff>
    </xdr:from>
    <xdr:to>
      <xdr:col>31</xdr:col>
      <xdr:colOff>85725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19050</xdr:rowOff>
    </xdr:from>
    <xdr:to>
      <xdr:col>13</xdr:col>
      <xdr:colOff>171450</xdr:colOff>
      <xdr:row>21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19050</xdr:rowOff>
    </xdr:from>
    <xdr:to>
      <xdr:col>13</xdr:col>
      <xdr:colOff>171450</xdr:colOff>
      <xdr:row>37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15</xdr:col>
      <xdr:colOff>228600</xdr:colOff>
      <xdr:row>23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dicateurs" displayName="Indicateurs" ref="A5:AB47" totalsRowShown="0">
  <autoFilter ref="A5:AB47"/>
  <tableColumns count="28">
    <tableColumn id="1" name="Trimestre"/>
    <tableColumn id="2" name="Code pays"/>
    <tableColumn id="3" name="Pays"/>
    <tableColumn id="4" name="Devise"/>
    <tableColumn id="5" name="Taux local pour 1 EUR"/>
    <tableColumn id="6" name="total"/>
    <tableColumn id="7" name="processed"/>
    <tableColumn id="8" name="remaining"/>
    <tableColumn id="9" name="unreachable"/>
    <tableColumn id="10" name="identified"/>
    <tableColumn id="11" name="cst"/>
    <tableColumn id="12" name="including_cst"/>
    <tableColumn id="13" name="remaining_eur"/>
    <tableColumn id="14" name="identified_eur"/>
    <tableColumn id="15" name="including_cst_eur"/>
    <tableColumn id="16" name="contracts"/>
    <tableColumn id="17" name="flow_eur"/>
    <tableColumn id="18" name="processed_eur"/>
    <tableColumn id="19" name="count"/>
    <tableColumn id="20" name="processed_count"/>
    <tableColumn id="21" name="efficiency_amount"/>
    <tableColumn id="22" name="efficiency_count"/>
    <tableColumn id="23" name="monthly_average"/>
    <tableColumn id="24" name="oldest_amount"/>
    <tableColumn id="25" name="oldest_count"/>
    <tableColumn id="26" name="quarter_flow_eur"/>
    <tableColumn id="27" name="quarter_processed_eur"/>
    <tableColumn id="28" name="quarter_effici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luxDetail" displayName="FluxDetail" ref="A5:V161" totalsRowShown="0">
  <autoFilter ref="A5:V161"/>
  <tableColumns count="22">
    <tableColumn id="1" name="Trimestre"/>
    <tableColumn id="2" name="Code pays"/>
    <tableColumn id="3" name="Pays"/>
    <tableColumn id="4" name="Devise"/>
    <tableColumn id="5" name="Mois de cohorte"/>
    <tableColumn id="6" name="Flux local"/>
    <tableColumn id="7" name="Contrats entrants"/>
    <tableColumn id="8" name="Remboursé client local"/>
    <tableColumn id="9" name="Injoignables local"/>
    <tableColumn id="10" name="Faux positifs local"/>
    <tableColumn id="11" name="Autorités local"/>
    <tableColumn id="12" name="Autres sans remboursement local"/>
    <tableColumn id="13" name="Traité calculé local"/>
    <tableColumn id="14" name="Contrats traités"/>
    <tableColumn id="15" name="Reste local"/>
    <tableColumn id="16" name="Contrats restants"/>
    <tableColumn id="17" name="Taux local pour 1 EUR"/>
    <tableColumn id="18" name="Flux EUR"/>
    <tableColumn id="19" name="Traité EUR"/>
    <tableColumn id="20" name="Efficacité montant"/>
    <tableColumn id="21" name="Efficacité nombre"/>
    <tableColumn id="22" name="Traité déclaré lo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ockDetail" displayName="StockDetail" ref="A5:S83" totalsRowShown="0">
  <autoFilter ref="A5:S83"/>
  <tableColumns count="19">
    <tableColumn id="1" name="Trimestre"/>
    <tableColumn id="2" name="Code pays"/>
    <tableColumn id="3" name="Pays"/>
    <tableColumn id="4" name="Devise"/>
    <tableColumn id="5" name="Millésime"/>
    <tableColumn id="6" name="Stock initial local"/>
    <tableColumn id="7" name="Remboursé client local"/>
    <tableColumn id="8" name="Injoignables local"/>
    <tableColumn id="9" name="Faux positifs local"/>
    <tableColumn id="10" name="Autorités local"/>
    <tableColumn id="11" name="Autres sans remboursement local"/>
    <tableColumn id="12" name="Traité calculé local"/>
    <tableColumn id="13" name="A traiter local"/>
    <tableColumn id="14" name="Stock identifié local"/>
    <tableColumn id="15" name="Traité déclaré local"/>
    <tableColumn id="16" name="A traiter déclaré local"/>
    <tableColumn id="17" name="Taux local pour 1 EUR"/>
    <tableColumn id="18" name="A traiter EUR"/>
    <tableColumn id="19" name="Stock identifié 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ockRepartition" displayName="StockRepartition" ref="A5:J433" totalsRowShown="0">
  <autoFilter ref="A5:J433"/>
  <tableColumns count="10">
    <tableColumn id="1" name="Trimestre"/>
    <tableColumn id="2" name="Code pays"/>
    <tableColumn id="3" name="Pays"/>
    <tableColumn id="4" name="Devise"/>
    <tableColumn id="5" name="Répartition"/>
    <tableColumn id="6" name="Catégorie"/>
    <tableColumn id="7" name="Contrats"/>
    <tableColumn id="8" name="Montant local"/>
    <tableColumn id="9" name="Taux local pour 1 EUR"/>
    <tableColumn id="10" name="Montant EU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uxChange" displayName="TauxChange" ref="A5:E20" totalsRowShown="0">
  <autoFilter ref="A5:E20"/>
  <tableColumns count="5">
    <tableColumn id="1" name="Trimestre"/>
    <tableColumn id="2" name="Devise"/>
    <tableColumn id="3" name="Date des taux"/>
    <tableColumn id="4" name="Devise locale pour 1 EUR"/>
    <tableColumn id="5" name="Type de taux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esentationSourceTotals" displayName="PresentationSourceTotals" ref="A5:E33" totalsRowShown="0">
  <autoFilter ref="A5:E33"/>
  <tableColumns count="5">
    <tableColumn id="1" name="Period"/>
    <tableColumn id="2" name="Country"/>
    <tableColumn id="3" name="Distribution"/>
    <tableColumn id="4" name="Reported count"/>
    <tableColumn id="5" name="Reported amount loc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1:AF91"/>
  <sheetViews>
    <sheetView showGridLines="0" tabSelected="1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1" width="6" customWidth="1"/>
    <col min="32" max="32" width="11.28515625" customWidth="1"/>
  </cols>
  <sheetData>
    <row r="1" spans="1:32" ht="13.5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3.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3.5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3.5" customHeight="1">
      <c r="A5" s="2"/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3.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3.5" customHeight="1">
      <c r="A7" s="2"/>
    </row>
    <row r="8" spans="1:32" ht="13.5" customHeight="1">
      <c r="A8" s="2"/>
      <c r="B8" s="4" t="s">
        <v>3</v>
      </c>
      <c r="C8" s="4"/>
      <c r="D8" s="4"/>
      <c r="E8" s="4"/>
      <c r="F8" s="4"/>
      <c r="G8" s="4"/>
      <c r="H8" s="4" t="s">
        <v>4</v>
      </c>
      <c r="I8" s="4"/>
      <c r="J8" s="4"/>
      <c r="K8" s="4" t="s">
        <v>5</v>
      </c>
      <c r="L8" s="4"/>
      <c r="M8" s="4"/>
      <c r="N8" s="4" t="s">
        <v>6</v>
      </c>
      <c r="O8" s="4"/>
      <c r="P8" s="4"/>
    </row>
    <row r="9" spans="1:32" ht="13.5" customHeight="1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2" ht="13.5" customHeight="1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32" ht="13.5" customHeight="1">
      <c r="A11" s="2"/>
      <c r="B11" s="5" t="s">
        <v>7</v>
      </c>
      <c r="C11" s="5"/>
      <c r="D11" s="5"/>
      <c r="E11" s="5"/>
      <c r="F11" s="5"/>
      <c r="G11" s="5"/>
      <c r="H11" s="6">
        <f>IF(ISNUMBER('GraphData'!B7),'GraphData'!B7,"n.d.")</f>
        <v>1787812.0</v>
      </c>
      <c r="I11" s="6"/>
      <c r="J11" s="6"/>
      <c r="K11" s="6">
        <f>IF(ISNUMBER('GraphData'!C7),'GraphData'!C7,"n.d.")</f>
        <v>1793165.0</v>
      </c>
      <c r="L11" s="6"/>
      <c r="M11" s="6"/>
      <c r="N11" s="7">
        <f>IF(ISNUMBER('GraphData'!D7),'GraphData'!D7,"n.d.")</f>
        <v>0.0029941626971963496</v>
      </c>
      <c r="O11" s="7"/>
      <c r="P11" s="7"/>
    </row>
    <row r="12" spans="1:32" ht="13.5" customHeight="1">
      <c r="A12" s="2"/>
      <c r="B12" s="5" t="s">
        <v>8</v>
      </c>
      <c r="C12" s="5"/>
      <c r="D12" s="5"/>
      <c r="E12" s="5"/>
      <c r="F12" s="5"/>
      <c r="G12" s="5"/>
      <c r="H12" s="6">
        <f>IF(ISNUMBER('GraphData'!B8),'GraphData'!B8,"n.d.")</f>
        <v>3485465.29</v>
      </c>
      <c r="I12" s="6"/>
      <c r="J12" s="6"/>
      <c r="K12" s="6">
        <f>IF(ISNUMBER('GraphData'!C8),'GraphData'!C8,"n.d.")</f>
        <v>2793036.0</v>
      </c>
      <c r="L12" s="6"/>
      <c r="M12" s="6"/>
      <c r="N12" s="7">
        <f>IF(ISNUMBER('GraphData'!D8),'GraphData'!D8,"n.d.")</f>
        <v>-0.1986619381884592</v>
      </c>
      <c r="O12" s="7"/>
      <c r="P12" s="7"/>
    </row>
    <row r="13" spans="1:32" ht="13.5" customHeight="1">
      <c r="A13" s="2"/>
      <c r="B13" s="5" t="s">
        <v>9</v>
      </c>
      <c r="C13" s="5"/>
      <c r="D13" s="5"/>
      <c r="E13" s="5"/>
      <c r="F13" s="5"/>
      <c r="G13" s="5"/>
      <c r="H13" s="6">
        <f>IF(ISNUMBER('GraphData'!B9),'GraphData'!B9,"n.d.")</f>
        <v>136664.0</v>
      </c>
      <c r="I13" s="6"/>
      <c r="J13" s="6"/>
      <c r="K13" s="6">
        <f>IF(ISNUMBER('GraphData'!C9),'GraphData'!C9,"n.d.")</f>
        <v>147601.0</v>
      </c>
      <c r="L13" s="6"/>
      <c r="M13" s="6"/>
      <c r="N13" s="7">
        <f>IF(ISNUMBER('GraphData'!D9),'GraphData'!D9,"n.d.")</f>
        <v>0.08002839079786922</v>
      </c>
      <c r="O13" s="7"/>
      <c r="P13" s="7"/>
    </row>
    <row r="14" spans="1:32" ht="13.5" customHeight="1">
      <c r="A14" s="2"/>
      <c r="B14" s="5" t="s">
        <v>10</v>
      </c>
      <c r="C14" s="5"/>
      <c r="D14" s="5"/>
      <c r="E14" s="5"/>
      <c r="F14" s="5"/>
      <c r="G14" s="5"/>
      <c r="H14" s="6">
        <f>IF(ISNUMBER('GraphData'!B10),'GraphData'!B10,"n.d.")</f>
        <v>3023244.0</v>
      </c>
      <c r="I14" s="6"/>
      <c r="J14" s="6"/>
      <c r="K14" s="6">
        <f>IF(ISNUMBER('GraphData'!C10),'GraphData'!C10,"n.d.")</f>
        <v>3434403.0</v>
      </c>
      <c r="L14" s="6"/>
      <c r="M14" s="6"/>
      <c r="N14" s="7">
        <f>IF(ISNUMBER('GraphData'!D10),'GraphData'!D10,"n.d.")</f>
        <v>0.13599927759717706</v>
      </c>
      <c r="O14" s="7"/>
      <c r="P14" s="7"/>
    </row>
    <row r="15" spans="1:32" ht="13.5" customHeight="1">
      <c r="A15" s="2"/>
      <c r="B15" s="5" t="s">
        <v>11</v>
      </c>
      <c r="C15" s="5"/>
      <c r="D15" s="5"/>
      <c r="E15" s="5"/>
      <c r="F15" s="5"/>
      <c r="G15" s="5"/>
      <c r="H15" s="6">
        <f>IF(ISNUMBER('GraphData'!B11),'GraphData'!B11,"n.d.")</f>
        <v>593413.0</v>
      </c>
      <c r="I15" s="6"/>
      <c r="J15" s="6"/>
      <c r="K15" s="6">
        <f>IF(ISNUMBER('GraphData'!C11),'GraphData'!C11,"n.d.")</f>
        <v>607594.0</v>
      </c>
      <c r="L15" s="6"/>
      <c r="M15" s="6"/>
      <c r="N15" s="7">
        <f>IF(ISNUMBER('GraphData'!D11),'GraphData'!D11,"n.d.")</f>
        <v>0.023897353108206256</v>
      </c>
      <c r="O15" s="7"/>
      <c r="P15" s="7"/>
    </row>
    <row r="16" spans="1:32" ht="13.5" customHeight="1">
      <c r="A16" s="2"/>
      <c r="B16" s="5" t="s">
        <v>12</v>
      </c>
      <c r="C16" s="5"/>
      <c r="D16" s="5"/>
      <c r="E16" s="5"/>
      <c r="F16" s="5"/>
      <c r="G16" s="5"/>
      <c r="H16" s="6">
        <f>IF(ISNUMBER('GraphData'!B12),'GraphData'!B12,"n.d.")</f>
        <v>3317587.0</v>
      </c>
      <c r="I16" s="6"/>
      <c r="J16" s="6"/>
      <c r="K16" s="6">
        <f>IF(ISNUMBER('GraphData'!C12),'GraphData'!C12,"n.d.")</f>
        <v>2883642.0</v>
      </c>
      <c r="L16" s="6"/>
      <c r="M16" s="6"/>
      <c r="N16" s="7">
        <f>IF(ISNUMBER('GraphData'!D12),'GraphData'!D12,"n.d.")</f>
        <v>-0.13080139269897068</v>
      </c>
      <c r="O16" s="7"/>
      <c r="P16" s="7"/>
    </row>
    <row r="17" spans="1:16" ht="13.5" customHeight="1">
      <c r="A17" s="2"/>
      <c r="B17" s="5" t="s">
        <v>13</v>
      </c>
      <c r="C17" s="5"/>
      <c r="D17" s="5"/>
      <c r="E17" s="5"/>
      <c r="F17" s="5"/>
      <c r="G17" s="5"/>
      <c r="H17" s="6">
        <f>IF(ISNUMBER('GraphData'!B13),'GraphData'!B13,"n.d.")</f>
        <v>2860611.2859695945</v>
      </c>
      <c r="I17" s="6"/>
      <c r="J17" s="6"/>
      <c r="K17" s="6">
        <f>IF(ISNUMBER('GraphData'!C13),'GraphData'!C13,"n.d.")</f>
        <v>3483914.102135074</v>
      </c>
      <c r="L17" s="6"/>
      <c r="M17" s="6"/>
      <c r="N17" s="7">
        <f>IF(ISNUMBER('GraphData'!D13),'GraphData'!D13,"n.d.")</f>
        <v>0.21789147628081632</v>
      </c>
      <c r="O17" s="7"/>
      <c r="P17" s="7"/>
    </row>
    <row r="18" spans="1:16" ht="13.5" customHeight="1">
      <c r="A18" s="2"/>
      <c r="B18" s="5" t="s">
        <v>14</v>
      </c>
      <c r="C18" s="5"/>
      <c r="D18" s="5"/>
      <c r="E18" s="5"/>
      <c r="F18" s="5"/>
      <c r="G18" s="5"/>
      <c r="H18" s="6">
        <f>IF(ISNUMBER('GraphData'!B14),'GraphData'!B14,"n.d.")</f>
        <v>1918750.9251320725</v>
      </c>
      <c r="I18" s="6"/>
      <c r="J18" s="6"/>
      <c r="K18" s="6">
        <f>IF(ISNUMBER('GraphData'!C14),'GraphData'!C14,"n.d.")</f>
        <v>2048298.5804297782</v>
      </c>
      <c r="L18" s="6"/>
      <c r="M18" s="6"/>
      <c r="N18" s="7">
        <f>IF(ISNUMBER('GraphData'!D14),'GraphData'!D14,"n.d.")</f>
        <v>0.06751666076136931</v>
      </c>
      <c r="O18" s="7"/>
      <c r="P18" s="7"/>
    </row>
    <row r="19" spans="1:16" ht="13.5" customHeight="1">
      <c r="A19" s="2"/>
      <c r="B19" s="5" t="s">
        <v>15</v>
      </c>
      <c r="C19" s="5"/>
      <c r="D19" s="5"/>
      <c r="E19" s="5"/>
      <c r="F19" s="5"/>
      <c r="G19" s="5"/>
      <c r="H19" s="6">
        <f>IF(ISNUMBER('GraphData'!B15),'GraphData'!B15,"n.d.")</f>
        <v>48887.51859338581</v>
      </c>
      <c r="I19" s="6"/>
      <c r="J19" s="6"/>
      <c r="K19" s="8">
        <f>IF(ISNUMBER('GraphData'!C15),'GraphData'!C15,"n.d.")</f>
        <v>0.0</v>
      </c>
      <c r="L19" s="8"/>
      <c r="M19" s="8"/>
      <c r="N19" s="7">
        <f>IF(ISNUMBER('GraphData'!D15),'GraphData'!D15,"n.d.")</f>
        <v>-1.0</v>
      </c>
      <c r="O19" s="7"/>
      <c r="P19" s="7"/>
    </row>
    <row r="20" spans="1:16" ht="13.5" customHeight="1">
      <c r="A20" s="2"/>
      <c r="B20" s="5" t="s">
        <v>16</v>
      </c>
      <c r="C20" s="5"/>
      <c r="D20" s="5"/>
      <c r="E20" s="5"/>
      <c r="F20" s="5"/>
      <c r="G20" s="5"/>
      <c r="H20" s="6">
        <f>IF(ISNUMBER('GraphData'!B16),'GraphData'!B16,"n.d.")</f>
        <v>3814713.4834877667</v>
      </c>
      <c r="I20" s="6"/>
      <c r="J20" s="6"/>
      <c r="K20" s="6">
        <f>IF(ISNUMBER('GraphData'!C16),'GraphData'!C16,"n.d.")</f>
        <v>3775169.5956442077</v>
      </c>
      <c r="L20" s="6"/>
      <c r="M20" s="6"/>
      <c r="N20" s="7">
        <f>IF(ISNUMBER('GraphData'!D16),'GraphData'!D16,"n.d.")</f>
        <v>-0.010366148864056842</v>
      </c>
      <c r="O20" s="7"/>
      <c r="P20" s="7"/>
    </row>
    <row r="21" spans="1:16" ht="13.5" customHeight="1">
      <c r="A21" s="2"/>
      <c r="B21" s="5" t="s">
        <v>17</v>
      </c>
      <c r="C21" s="5"/>
      <c r="D21" s="5"/>
      <c r="E21" s="5"/>
      <c r="F21" s="5"/>
      <c r="G21" s="5"/>
      <c r="H21" s="6">
        <f>IF(ISNUMBER('GraphData'!B17),'GraphData'!B17,"n.d.")</f>
        <v>24384.544526181482</v>
      </c>
      <c r="I21" s="6"/>
      <c r="J21" s="6"/>
      <c r="K21" s="6">
        <f>IF(ISNUMBER('GraphData'!C17),'GraphData'!C17,"n.d.")</f>
        <v>2162.4936681183713</v>
      </c>
      <c r="L21" s="6"/>
      <c r="M21" s="6"/>
      <c r="N21" s="7">
        <f>IF(ISNUMBER('GraphData'!D17),'GraphData'!D17,"n.d.")</f>
        <v>-0.9113170366665443</v>
      </c>
      <c r="O21" s="7"/>
      <c r="P21" s="7"/>
    </row>
    <row r="22" spans="1:16" ht="13.5" customHeight="1">
      <c r="A22" s="2"/>
      <c r="B22" s="5" t="s">
        <v>18</v>
      </c>
      <c r="C22" s="5"/>
      <c r="D22" s="5"/>
      <c r="E22" s="5"/>
      <c r="F22" s="5"/>
      <c r="G22" s="5"/>
      <c r="H22" s="6">
        <f>IF(ISNUMBER('GraphData'!B18),'GraphData'!B18,"n.d.")</f>
        <v>11211.458965318663</v>
      </c>
      <c r="I22" s="6"/>
      <c r="J22" s="6"/>
      <c r="K22" s="6">
        <f>IF(ISNUMBER('GraphData'!C18),'GraphData'!C18,"n.d.")</f>
        <v>2025.348040871968</v>
      </c>
      <c r="L22" s="6"/>
      <c r="M22" s="6"/>
      <c r="N22" s="7">
        <f>IF(ISNUMBER('GraphData'!D18),'GraphData'!D18,"n.d.")</f>
        <v>-0.8193501802809835</v>
      </c>
      <c r="O22" s="7"/>
      <c r="P22" s="7"/>
    </row>
    <row r="23" spans="1:16" ht="13.5" customHeight="1">
      <c r="A23" s="2"/>
      <c r="B23" s="5" t="s">
        <v>19</v>
      </c>
      <c r="C23" s="5"/>
      <c r="D23" s="5"/>
      <c r="E23" s="5"/>
      <c r="F23" s="5"/>
      <c r="G23" s="5"/>
      <c r="H23" s="6">
        <f>IF(ISNUMBER('GraphData'!B19),'GraphData'!B19,"n.d.")</f>
        <v>13809.270919825338</v>
      </c>
      <c r="I23" s="6"/>
      <c r="J23" s="6"/>
      <c r="K23" s="6">
        <f>IF(ISNUMBER('GraphData'!C19),'GraphData'!C19,"n.d.")</f>
        <v>15218.245515046927</v>
      </c>
      <c r="L23" s="6"/>
      <c r="M23" s="6"/>
      <c r="N23" s="7">
        <f>IF(ISNUMBER('GraphData'!D19),'GraphData'!D19,"n.d.")</f>
        <v>0.10203106329087865</v>
      </c>
      <c r="O23" s="7"/>
      <c r="P23" s="7"/>
    </row>
    <row r="24" spans="1:16" ht="13.5" customHeight="1">
      <c r="A24" s="2"/>
      <c r="B24" s="9" t="s">
        <v>20</v>
      </c>
      <c r="C24" s="9"/>
      <c r="D24" s="9"/>
      <c r="E24" s="9"/>
      <c r="F24" s="9"/>
      <c r="G24" s="9"/>
      <c r="H24" s="9">
        <f>IF(COUNT(H11:H23)=13,SUM(H11:H23),"n.d.")</f>
        <v>21036553.777594145</v>
      </c>
      <c r="I24" s="9"/>
      <c r="J24" s="9"/>
      <c r="K24" s="9">
        <f>IF(COUNT(K11:K23)=13,SUM(K11:K23),"n.d.")</f>
        <v>20986229.365433097</v>
      </c>
      <c r="L24" s="9"/>
      <c r="M24" s="9"/>
      <c r="N24" s="10">
        <f>IF(OR(COUNT(H24,K24)&lt;&gt;2,H24=0),"n.d.",K24/H24-1)</f>
        <v>-0.002392236518067356</v>
      </c>
      <c r="O24" s="10"/>
      <c r="P24" s="10"/>
    </row>
    <row r="25" spans="1:16" ht="13.5" customHeight="1">
      <c r="A25" s="2"/>
    </row>
    <row r="26" spans="1:16" ht="13.5" customHeight="1">
      <c r="A26" s="2"/>
    </row>
    <row r="27" spans="1:16" ht="13.5" customHeight="1">
      <c r="A27" s="2"/>
      <c r="B27" s="11" t="s">
        <v>21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ht="13.5" customHeight="1">
      <c r="A28" s="2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ht="13.5" customHeight="1">
      <c r="A29" s="2"/>
      <c r="B29" s="11" t="s">
        <v>22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 ht="13.5" customHeight="1">
      <c r="A30" s="2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ht="13.5" customHeight="1">
      <c r="A31" s="2"/>
    </row>
    <row r="32" spans="1:16" ht="13.5" customHeight="1">
      <c r="A32" s="2"/>
    </row>
    <row r="33" spans="1:32" ht="13.5" customHeight="1">
      <c r="A33" s="2"/>
    </row>
    <row r="34" spans="1:32" ht="13.5" customHeight="1">
      <c r="A34" s="2"/>
    </row>
    <row r="35" spans="1:32" ht="13.5" customHeight="1">
      <c r="A35" s="2"/>
    </row>
    <row r="36" spans="1:32" ht="13.5" customHeight="1">
      <c r="A36" s="2"/>
    </row>
    <row r="37" spans="1:32" ht="13.5" customHeight="1">
      <c r="A37" s="2"/>
    </row>
    <row r="38" spans="1:32" ht="13.5" customHeight="1">
      <c r="A38" s="2"/>
    </row>
    <row r="39" spans="1:32" ht="13.5" customHeight="1">
      <c r="A39" s="2"/>
    </row>
    <row r="40" spans="1:32" ht="13.5" customHeight="1">
      <c r="A40" s="2"/>
    </row>
    <row r="41" spans="1:32" ht="13.5" customHeight="1">
      <c r="A41" s="2"/>
    </row>
    <row r="42" spans="1:32" ht="13.5" customHeight="1">
      <c r="A42" s="2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6" spans="1:32" ht="13.5" customHeight="1">
      <c r="A46" s="2"/>
      <c r="B46" s="3" t="s">
        <v>24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3.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3.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3.5" customHeight="1">
      <c r="A49" s="2"/>
      <c r="B49" s="1" t="s">
        <v>25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3.5" customHeight="1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3.5" customHeight="1">
      <c r="A51" s="2"/>
    </row>
    <row r="52" spans="1:32" ht="13.5" customHeight="1">
      <c r="A52" s="2"/>
      <c r="O52" s="4" t="s">
        <v>26</v>
      </c>
      <c r="P52" s="4"/>
      <c r="Q52" s="4"/>
      <c r="R52" s="4"/>
      <c r="S52" s="4"/>
      <c r="T52" s="4" t="s">
        <v>27</v>
      </c>
      <c r="U52" s="4"/>
      <c r="V52" s="4" t="s">
        <v>28</v>
      </c>
      <c r="W52" s="4"/>
      <c r="X52" s="4" t="s">
        <v>29</v>
      </c>
      <c r="Y52" s="4"/>
      <c r="Z52" s="4" t="s">
        <v>30</v>
      </c>
      <c r="AA52" s="4"/>
      <c r="AB52" s="4" t="s">
        <v>31</v>
      </c>
      <c r="AC52" s="4"/>
      <c r="AD52" s="4" t="s">
        <v>32</v>
      </c>
      <c r="AE52" s="4"/>
      <c r="AF52" s="4" t="s">
        <v>33</v>
      </c>
    </row>
    <row r="53" spans="1:32" ht="13.5" customHeight="1">
      <c r="A53" s="2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3.5" customHeight="1">
      <c r="A54" s="2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3.5" customHeight="1">
      <c r="A55" s="2"/>
      <c r="O55" s="9" t="s">
        <v>34</v>
      </c>
      <c r="P55" s="9"/>
      <c r="Q55" s="9"/>
      <c r="R55" s="9"/>
      <c r="S55" s="9"/>
      <c r="T55" s="9">
        <f>IF(COUNT(T56,T57,T58,T59,T60,T61,T62,T63,T64,T65,T66,T67)=12,SUM(T56,T57,T58,T59,T60,T61,T62,T63,T64,T65,T66,T67),"n.d.")</f>
        <v>9829247.629962156</v>
      </c>
      <c r="U55" s="9"/>
      <c r="V55" s="9">
        <f>IF(COUNT('GraphData'!B25,'GraphData'!C25,'GraphData'!D25,'GraphData'!E25,'GraphData'!F25,'GraphData'!G25,'GraphData'!H25,'GraphData'!I25,'GraphData'!J25,'GraphData'!K25,'GraphData'!L25,'GraphData'!M25)=12,SUM('GraphData'!B25,'GraphData'!C25,'GraphData'!D25,'GraphData'!E25,'GraphData'!F25,'GraphData'!G25,'GraphData'!H25,'GraphData'!I25,'GraphData'!J25,'GraphData'!K25,'GraphData'!L25,'GraphData'!M25),"n.d.")</f>
        <v>11804479.087249244</v>
      </c>
      <c r="W55" s="9"/>
      <c r="X55" s="9">
        <f>IF(COUNT('GraphData'!B26,'GraphData'!C26,'GraphData'!D26,'GraphData'!E26,'GraphData'!F26,'GraphData'!G26,'GraphData'!H26,'GraphData'!I26,'GraphData'!J26,'GraphData'!K26,'GraphData'!L26,'GraphData'!M26)=12,SUM('GraphData'!B26,'GraphData'!C26,'GraphData'!D26,'GraphData'!E26,'GraphData'!F26,'GraphData'!G26,'GraphData'!H26,'GraphData'!I26,'GraphData'!J26,'GraphData'!K26,'GraphData'!L26,'GraphData'!M26),"n.d.")</f>
        <v>10798115.58375864</v>
      </c>
      <c r="Y55" s="9"/>
      <c r="Z55" s="9">
        <f>IF(COUNT('GraphData'!B27,'GraphData'!C27,'GraphData'!D27,'GraphData'!E27,'GraphData'!F27,'GraphData'!G27,'GraphData'!H27,'GraphData'!I27,'GraphData'!J27,'GraphData'!K27,'GraphData'!L27,'GraphData'!M27)=12,SUM('GraphData'!B27,'GraphData'!C27,'GraphData'!D27,'GraphData'!E27,'GraphData'!F27,'GraphData'!G27,'GraphData'!H27,'GraphData'!I27,'GraphData'!J27,'GraphData'!K27,'GraphData'!L27,'GraphData'!M27),"n.d.")</f>
        <v>10593314.088462425</v>
      </c>
      <c r="AA55" s="9"/>
      <c r="AB55" s="9">
        <f>IF(COUNT('GraphData'!B28,'GraphData'!C28,'GraphData'!D28,'GraphData'!E28,'GraphData'!F28,'GraphData'!G28,'GraphData'!H28,'GraphData'!I28,'GraphData'!J28,'GraphData'!K28,'GraphData'!L28,'GraphData'!M28)=12,SUM('GraphData'!B28,'GraphData'!C28,'GraphData'!D28,'GraphData'!E28,'GraphData'!F28,'GraphData'!G28,'GraphData'!H28,'GraphData'!I28,'GraphData'!J28,'GraphData'!K28,'GraphData'!L28,'GraphData'!M28),"n.d.")</f>
        <v>9884156.903506575</v>
      </c>
      <c r="AC55" s="9"/>
      <c r="AD55" s="9">
        <f>IF(COUNT('GraphData'!B29,'GraphData'!C29,'GraphData'!D29,'GraphData'!E29,'GraphData'!F29,'GraphData'!G29,'GraphData'!H29,'GraphData'!I29,'GraphData'!J29,'GraphData'!K29,'GraphData'!L29,'GraphData'!M29)=12,SUM('GraphData'!B29,'GraphData'!C29,'GraphData'!D29,'GraphData'!E29,'GraphData'!F29,'GraphData'!G29,'GraphData'!H29,'GraphData'!I29,'GraphData'!J29,'GraphData'!K29,'GraphData'!L29,'GraphData'!M29),"n.d.")</f>
        <v>7472083.247633056</v>
      </c>
      <c r="AE55" s="9"/>
      <c r="AF55" s="9">
        <f>IF(COUNT('GraphData'!B30,'GraphData'!C30,'GraphData'!D30,'GraphData'!E30,'GraphData'!F30,'GraphData'!G30,'GraphData'!H30,'GraphData'!I30,'GraphData'!J30,'GraphData'!K30,'GraphData'!L30,'GraphData'!M30)=12,SUM('GraphData'!B30,'GraphData'!C30,'GraphData'!D30,'GraphData'!E30,'GraphData'!F30,'GraphData'!G30,'GraphData'!H30,'GraphData'!I30,'GraphData'!J30,'GraphData'!K30,'GraphData'!L30,'GraphData'!M30),"n.d.")</f>
        <v>8423336.869162997</v>
      </c>
    </row>
    <row r="56" spans="1:32" ht="13.5" customHeight="1">
      <c r="A56" s="2"/>
      <c r="O56" s="5" t="s">
        <v>7</v>
      </c>
      <c r="P56" s="5"/>
      <c r="Q56" s="5"/>
      <c r="R56" s="5"/>
      <c r="S56" s="5"/>
      <c r="T56" s="6">
        <f>IF(OR(COUNTIFS('Consolidation'!$A$6:$A$47,"2026Q3",'Consolidation'!$B$6:$B$47,"ES")&lt;&gt;1,COUNTIFS('Consolidation'!$A$6:$A$47,"2026Q3",'Consolidation'!$B$6:$B$47,"ES",'Consolidation'!$W$6:$W$47,"n.d.")&gt;0),"n.d.",SUMIFS('Consolidation'!$W$6:$W$47,'Consolidation'!$A$6:$A$47,"2026Q3",'Consolidation'!$B$6:$B$47,"ES"))</f>
        <v>3416903.3333333335</v>
      </c>
      <c r="U56" s="6"/>
      <c r="V56" s="6">
        <f>IF(ISNUMBER('GraphData'!B25),'GraphData'!B25,"n.d.")</f>
        <v>3475518.0</v>
      </c>
      <c r="W56" s="6"/>
      <c r="X56" s="6">
        <f>IF(ISNUMBER('GraphData'!B26),'GraphData'!B26,"n.d.")</f>
        <v>3162844.0</v>
      </c>
      <c r="Y56" s="6"/>
      <c r="Z56" s="6">
        <f>IF(ISNUMBER('GraphData'!B27),'GraphData'!B27,"n.d.")</f>
        <v>4107101.0</v>
      </c>
      <c r="AA56" s="6"/>
      <c r="AB56" s="6">
        <f>IF(ISNUMBER('GraphData'!B28),'GraphData'!B28,"n.d.")</f>
        <v>3892550.0</v>
      </c>
      <c r="AC56" s="6"/>
      <c r="AD56" s="6">
        <f>IF(ISNUMBER('GraphData'!B29),'GraphData'!B29,"n.d.")</f>
        <v>2506521.0</v>
      </c>
      <c r="AE56" s="6"/>
      <c r="AF56" s="6">
        <f>IF(ISNUMBER('GraphData'!B30),'GraphData'!B30,"n.d.")</f>
        <v>3356886.0</v>
      </c>
    </row>
    <row r="57" spans="1:32" ht="13.5" customHeight="1">
      <c r="A57" s="2"/>
      <c r="O57" s="5" t="s">
        <v>8</v>
      </c>
      <c r="P57" s="5"/>
      <c r="Q57" s="5"/>
      <c r="R57" s="5"/>
      <c r="S57" s="5"/>
      <c r="T57" s="6">
        <f>IF(COUNT(IF(OR(COUNTIFS('Consolidation'!$A$6:$A$47,"2026Q3",'Consolidation'!$B$6:$B$47,"DE")&lt;&gt;1,COUNTIFS('Consolidation'!$A$6:$A$47,"2026Q3",'Consolidation'!$B$6:$B$47,"DE",'Consolidation'!$W$6:$W$47,"n.d.")&gt;0),"n.d.",SUMIFS('Consolidation'!$W$6:$W$47,'Consolidation'!$A$6:$A$47,"2026Q3",'Consolidation'!$B$6:$B$47,"DE")),IF(OR(COUNTIFS('Consolidation'!$A$6:$A$47,"2026Q3",'Consolidation'!$B$6:$B$47,"AT")&lt;&gt;1,COUNTIFS('Consolidation'!$A$6:$A$47,"2026Q3",'Consolidation'!$B$6:$B$47,"AT",'Consolidation'!$W$6:$W$47,"n.d.")&gt;0),"n.d.",SUMIFS('Consolidation'!$W$6:$W$47,'Consolidation'!$A$6:$A$47,"2026Q3",'Consolidation'!$B$6:$B$47,"AT")))=2,SUM(IF(OR(COUNTIFS('Consolidation'!$A$6:$A$47,"2026Q3",'Consolidation'!$B$6:$B$47,"DE")&lt;&gt;1,COUNTIFS('Consolidation'!$A$6:$A$47,"2026Q3",'Consolidation'!$B$6:$B$47,"DE",'Consolidation'!$W$6:$W$47,"n.d.")&gt;0),"n.d.",SUMIFS('Consolidation'!$W$6:$W$47,'Consolidation'!$A$6:$A$47,"2026Q3",'Consolidation'!$B$6:$B$47,"DE")),IF(OR(COUNTIFS('Consolidation'!$A$6:$A$47,"2026Q3",'Consolidation'!$B$6:$B$47,"AT")&lt;&gt;1,COUNTIFS('Consolidation'!$A$6:$A$47,"2026Q3",'Consolidation'!$B$6:$B$47,"AT",'Consolidation'!$W$6:$W$47,"n.d.")&gt;0),"n.d.",SUMIFS('Consolidation'!$W$6:$W$47,'Consolidation'!$A$6:$A$47,"2026Q3",'Consolidation'!$B$6:$B$47,"AT"))),"n.d.")</f>
        <v>843920.0</v>
      </c>
      <c r="U57" s="6"/>
      <c r="V57" s="6">
        <f>IF(ISNUMBER('GraphData'!C25),'GraphData'!C25,"n.d.")</f>
        <v>781466.0</v>
      </c>
      <c r="W57" s="6"/>
      <c r="X57" s="6">
        <f>IF(ISNUMBER('GraphData'!C26),'GraphData'!C26,"n.d.")</f>
        <v>689718.0</v>
      </c>
      <c r="Y57" s="6"/>
      <c r="Z57" s="6">
        <f>IF(ISNUMBER('GraphData'!C27),'GraphData'!C27,"n.d.")</f>
        <v>808135.0</v>
      </c>
      <c r="AA57" s="6"/>
      <c r="AB57" s="6">
        <f>IF(ISNUMBER('GraphData'!C28),'GraphData'!C28,"n.d.")</f>
        <v>954954.0</v>
      </c>
      <c r="AC57" s="6"/>
      <c r="AD57" s="6">
        <f>IF(ISNUMBER('GraphData'!C29),'GraphData'!C29,"n.d.")</f>
        <v>977254.0</v>
      </c>
      <c r="AE57" s="6"/>
      <c r="AF57" s="6">
        <f>IF(ISNUMBER('GraphData'!C30),'GraphData'!C30,"n.d.")</f>
        <v>851993.0</v>
      </c>
    </row>
    <row r="58" spans="1:32" ht="13.5" customHeight="1">
      <c r="A58" s="2"/>
      <c r="O58" s="5" t="s">
        <v>9</v>
      </c>
      <c r="P58" s="5"/>
      <c r="Q58" s="5"/>
      <c r="R58" s="5"/>
      <c r="S58" s="5"/>
      <c r="T58" s="6">
        <f>IF(OR(COUNTIFS('Consolidation'!$A$6:$A$47,"2026Q3",'Consolidation'!$B$6:$B$47,"BE")&lt;&gt;1,COUNTIFS('Consolidation'!$A$6:$A$47,"2026Q3",'Consolidation'!$B$6:$B$47,"BE",'Consolidation'!$W$6:$W$47,"n.d.")&gt;0),"n.d.",SUMIFS('Consolidation'!$W$6:$W$47,'Consolidation'!$A$6:$A$47,"2026Q3",'Consolidation'!$B$6:$B$47,"BE"))</f>
        <v>86982.16666666667</v>
      </c>
      <c r="U58" s="6"/>
      <c r="V58" s="6">
        <f>IF(ISNUMBER('GraphData'!D25),'GraphData'!D25,"n.d.")</f>
        <v>105005.0</v>
      </c>
      <c r="W58" s="6"/>
      <c r="X58" s="6">
        <f>IF(ISNUMBER('GraphData'!D26),'GraphData'!D26,"n.d.")</f>
        <v>68164.0</v>
      </c>
      <c r="Y58" s="6"/>
      <c r="Z58" s="6">
        <f>IF(ISNUMBER('GraphData'!D27),'GraphData'!D27,"n.d.")</f>
        <v>104341.0</v>
      </c>
      <c r="AA58" s="6"/>
      <c r="AB58" s="6">
        <f>IF(ISNUMBER('GraphData'!D28),'GraphData'!D28,"n.d.")</f>
        <v>71809.0</v>
      </c>
      <c r="AC58" s="6"/>
      <c r="AD58" s="6">
        <f>IF(ISNUMBER('GraphData'!D29),'GraphData'!D29,"n.d.")</f>
        <v>119870.0</v>
      </c>
      <c r="AE58" s="6"/>
      <c r="AF58" s="6">
        <f>IF(ISNUMBER('GraphData'!D30),'GraphData'!D30,"n.d.")</f>
        <v>52704.0</v>
      </c>
    </row>
    <row r="59" spans="1:32" ht="13.5" customHeight="1">
      <c r="A59" s="2"/>
      <c r="O59" s="5" t="s">
        <v>10</v>
      </c>
      <c r="P59" s="5"/>
      <c r="Q59" s="5"/>
      <c r="R59" s="5"/>
      <c r="S59" s="5"/>
      <c r="T59" s="6">
        <f>IF(OR(COUNTIFS('Consolidation'!$A$6:$A$47,"2026Q3",'Consolidation'!$B$6:$B$47,"IT")&lt;&gt;1,COUNTIFS('Consolidation'!$A$6:$A$47,"2026Q3",'Consolidation'!$B$6:$B$47,"IT",'Consolidation'!$W$6:$W$47,"n.d.")&gt;0),"n.d.",SUMIFS('Consolidation'!$W$6:$W$47,'Consolidation'!$A$6:$A$47,"2026Q3",'Consolidation'!$B$6:$B$47,"IT"))</f>
        <v>1092477.8333333333</v>
      </c>
      <c r="U59" s="6"/>
      <c r="V59" s="6">
        <f>IF(ISNUMBER('GraphData'!E25),'GraphData'!E25,"n.d.")</f>
        <v>1199204.0</v>
      </c>
      <c r="W59" s="6"/>
      <c r="X59" s="6">
        <f>IF(ISNUMBER('GraphData'!E26),'GraphData'!E26,"n.d.")</f>
        <v>1425617.0</v>
      </c>
      <c r="Y59" s="6"/>
      <c r="Z59" s="6">
        <f>IF(ISNUMBER('GraphData'!E27),'GraphData'!E27,"n.d.")</f>
        <v>977488.0</v>
      </c>
      <c r="AA59" s="6"/>
      <c r="AB59" s="6">
        <f>IF(ISNUMBER('GraphData'!E28),'GraphData'!E28,"n.d.")</f>
        <v>1234017.0</v>
      </c>
      <c r="AC59" s="6"/>
      <c r="AD59" s="6">
        <f>IF(ISNUMBER('GraphData'!E29),'GraphData'!E29,"n.d.")</f>
        <v>898183.0</v>
      </c>
      <c r="AE59" s="6"/>
      <c r="AF59" s="6">
        <f>IF(ISNUMBER('GraphData'!E30),'GraphData'!E30,"n.d.")</f>
        <v>820358.0</v>
      </c>
    </row>
    <row r="60" spans="1:32" ht="13.5" customHeight="1">
      <c r="A60" s="2"/>
      <c r="O60" s="5" t="s">
        <v>11</v>
      </c>
      <c r="P60" s="5"/>
      <c r="Q60" s="5"/>
      <c r="R60" s="5"/>
      <c r="S60" s="5"/>
      <c r="T60" s="6">
        <f>IF(OR(COUNTIFS('Consolidation'!$A$6:$A$47,"2026Q3",'Consolidation'!$B$6:$B$47,"PT")&lt;&gt;1,COUNTIFS('Consolidation'!$A$6:$A$47,"2026Q3",'Consolidation'!$B$6:$B$47,"PT",'Consolidation'!$W$6:$W$47,"n.d.")&gt;0),"n.d.",SUMIFS('Consolidation'!$W$6:$W$47,'Consolidation'!$A$6:$A$47,"2026Q3",'Consolidation'!$B$6:$B$47,"PT"))</f>
        <v>2355231.6666666665</v>
      </c>
      <c r="U60" s="6"/>
      <c r="V60" s="6">
        <f>IF(ISNUMBER('GraphData'!F25),'GraphData'!F25,"n.d.")</f>
        <v>4060466.0</v>
      </c>
      <c r="W60" s="6"/>
      <c r="X60" s="6">
        <f>IF(ISNUMBER('GraphData'!F26),'GraphData'!F26,"n.d.")</f>
        <v>3650675.0</v>
      </c>
      <c r="Y60" s="6"/>
      <c r="Z60" s="6">
        <f>IF(ISNUMBER('GraphData'!F27),'GraphData'!F27,"n.d.")</f>
        <v>2534318.0</v>
      </c>
      <c r="AA60" s="6"/>
      <c r="AB60" s="6">
        <f>IF(ISNUMBER('GraphData'!F28),'GraphData'!F28,"n.d.")</f>
        <v>1649935.0</v>
      </c>
      <c r="AC60" s="6"/>
      <c r="AD60" s="6">
        <f>IF(ISNUMBER('GraphData'!F29),'GraphData'!F29,"n.d.")</f>
        <v>1234586.0</v>
      </c>
      <c r="AE60" s="6"/>
      <c r="AF60" s="6">
        <f>IF(ISNUMBER('GraphData'!F30),'GraphData'!F30,"n.d.")</f>
        <v>1001410.0</v>
      </c>
    </row>
    <row r="61" spans="1:32" ht="13.5" customHeight="1">
      <c r="A61" s="2"/>
      <c r="O61" s="5" t="s">
        <v>12</v>
      </c>
      <c r="P61" s="5"/>
      <c r="Q61" s="5"/>
      <c r="R61" s="5"/>
      <c r="S61" s="5"/>
      <c r="T61" s="6">
        <f>IF(OR(COUNTIFS('Consolidation'!$A$6:$A$47,"2026Q3",'Consolidation'!$B$6:$B$47,"FR")&lt;&gt;1,COUNTIFS('Consolidation'!$A$6:$A$47,"2026Q3",'Consolidation'!$B$6:$B$47,"FR",'Consolidation'!$W$6:$W$47,"n.d.")&gt;0),"n.d.",SUMIFS('Consolidation'!$W$6:$W$47,'Consolidation'!$A$6:$A$47,"2026Q3",'Consolidation'!$B$6:$B$47,"FR"))</f>
        <v>1574089.1666666667</v>
      </c>
      <c r="U61" s="6"/>
      <c r="V61" s="6">
        <f>IF(ISNUMBER('GraphData'!G25),'GraphData'!G25,"n.d.")</f>
        <v>1825315.0</v>
      </c>
      <c r="W61" s="6"/>
      <c r="X61" s="6">
        <f>IF(ISNUMBER('GraphData'!G26),'GraphData'!G26,"n.d.")</f>
        <v>1394486.0</v>
      </c>
      <c r="Y61" s="6"/>
      <c r="Z61" s="6">
        <f>IF(ISNUMBER('GraphData'!G27),'GraphData'!G27,"n.d.")</f>
        <v>1738908.0</v>
      </c>
      <c r="AA61" s="6"/>
      <c r="AB61" s="6">
        <f>IF(ISNUMBER('GraphData'!G28),'GraphData'!G28,"n.d.")</f>
        <v>1680101.0</v>
      </c>
      <c r="AC61" s="6"/>
      <c r="AD61" s="6">
        <f>IF(ISNUMBER('GraphData'!G29),'GraphData'!G29,"n.d.")</f>
        <v>1332248.0</v>
      </c>
      <c r="AE61" s="6"/>
      <c r="AF61" s="6">
        <f>IF(ISNUMBER('GraphData'!G30),'GraphData'!G30,"n.d.")</f>
        <v>1473477.0</v>
      </c>
    </row>
    <row r="62" spans="1:32" ht="13.5" customHeight="1">
      <c r="A62" s="2"/>
      <c r="O62" s="5" t="s">
        <v>13</v>
      </c>
      <c r="P62" s="5"/>
      <c r="Q62" s="5"/>
      <c r="R62" s="5"/>
      <c r="S62" s="5"/>
      <c r="T62" s="6">
        <f>IF(OR(COUNTIFS('Consolidation'!$A$6:$A$47,"2026Q3",'Consolidation'!$B$6:$B$47,"UK")&lt;&gt;1,COUNTIFS('Consolidation'!$A$6:$A$47,"2026Q3",'Consolidation'!$B$6:$B$47,"UK",'Consolidation'!$W$6:$W$47,"n.d.")&gt;0),"n.d.",SUMIFS('Consolidation'!$W$6:$W$47,'Consolidation'!$A$6:$A$47,"2026Q3",'Consolidation'!$B$6:$B$47,"UK"))</f>
        <v>211307.18130173243</v>
      </c>
      <c r="U62" s="6"/>
      <c r="V62" s="6">
        <f>IF(ISNUMBER('GraphData'!H25),'GraphData'!H25,"n.d.")</f>
        <v>120964.31436859925</v>
      </c>
      <c r="W62" s="6"/>
      <c r="X62" s="6">
        <f>IF(ISNUMBER('GraphData'!H26),'GraphData'!H26,"n.d.")</f>
        <v>170612.39652958023</v>
      </c>
      <c r="Y62" s="6"/>
      <c r="Z62" s="6">
        <f>IF(ISNUMBER('GraphData'!H27),'GraphData'!H27,"n.d.")</f>
        <v>93546.15777669192</v>
      </c>
      <c r="AA62" s="6"/>
      <c r="AB62" s="6">
        <f>IF(ISNUMBER('GraphData'!H28),'GraphData'!H28,"n.d.")</f>
        <v>134405.9641085598</v>
      </c>
      <c r="AC62" s="6"/>
      <c r="AD62" s="6">
        <f>IF(ISNUMBER('GraphData'!H29),'GraphData'!H29,"n.d.")</f>
        <v>157081.79899856725</v>
      </c>
      <c r="AE62" s="6"/>
      <c r="AF62" s="6">
        <f>IF(ISNUMBER('GraphData'!H30),'GraphData'!H30,"n.d.")</f>
        <v>591232.4560283961</v>
      </c>
    </row>
    <row r="63" spans="1:32" ht="13.5" customHeight="1">
      <c r="A63" s="2"/>
      <c r="O63" s="5" t="s">
        <v>14</v>
      </c>
      <c r="P63" s="5"/>
      <c r="Q63" s="5"/>
      <c r="R63" s="5"/>
      <c r="S63" s="5"/>
      <c r="T63" s="6">
        <f>IF(OR(COUNTIFS('Consolidation'!$A$6:$A$47,"2026Q3",'Consolidation'!$B$6:$B$47,"ZA")&lt;&gt;1,COUNTIFS('Consolidation'!$A$6:$A$47,"2026Q3",'Consolidation'!$B$6:$B$47,"ZA",'Consolidation'!$W$6:$W$47,"n.d.")&gt;0),"n.d.",SUMIFS('Consolidation'!$W$6:$W$47,'Consolidation'!$A$6:$A$47,"2026Q3",'Consolidation'!$B$6:$B$47,"ZA"))</f>
        <v>206027.81471800187</v>
      </c>
      <c r="U63" s="6"/>
      <c r="V63" s="6">
        <f>IF(ISNUMBER('GraphData'!I25),'GraphData'!I25,"n.d.")</f>
        <v>178090.78156742858</v>
      </c>
      <c r="W63" s="6"/>
      <c r="X63" s="6">
        <f>IF(ISNUMBER('GraphData'!I26),'GraphData'!I26,"n.d.")</f>
        <v>185044.78696990738</v>
      </c>
      <c r="Y63" s="6"/>
      <c r="Z63" s="6">
        <f>IF(ISNUMBER('GraphData'!I27),'GraphData'!I27,"n.d.")</f>
        <v>190318.60934937032</v>
      </c>
      <c r="AA63" s="6"/>
      <c r="AB63" s="6">
        <f>IF(ISNUMBER('GraphData'!I28),'GraphData'!I28,"n.d.")</f>
        <v>228755.46189623384</v>
      </c>
      <c r="AC63" s="6"/>
      <c r="AD63" s="6">
        <f>IF(ISNUMBER('GraphData'!I29),'GraphData'!I29,"n.d.")</f>
        <v>220324.51090989122</v>
      </c>
      <c r="AE63" s="6"/>
      <c r="AF63" s="6">
        <f>IF(ISNUMBER('GraphData'!I30),'GraphData'!I30,"n.d.")</f>
        <v>233632.7376151798</v>
      </c>
    </row>
    <row r="64" spans="1:32" ht="13.5" customHeight="1">
      <c r="A64" s="2"/>
      <c r="O64" s="5" t="s">
        <v>16</v>
      </c>
      <c r="P64" s="5"/>
      <c r="Q64" s="5"/>
      <c r="R64" s="5"/>
      <c r="S64" s="5"/>
      <c r="T64" s="6">
        <f>IF(OR(COUNTIFS('Consolidation'!$A$6:$A$47,"2026Q3",'Consolidation'!$B$6:$B$47,"BR")&lt;&gt;1,COUNTIFS('Consolidation'!$A$6:$A$47,"2026Q3",'Consolidation'!$B$6:$B$47,"BR",'Consolidation'!$W$6:$W$47,"n.d.")&gt;0),"n.d.",SUMIFS('Consolidation'!$W$6:$W$47,'Consolidation'!$A$6:$A$47,"2026Q3",'Consolidation'!$B$6:$B$47,"BR"))</f>
        <v>2094.2987143932305</v>
      </c>
      <c r="U64" s="6"/>
      <c r="V64" s="6">
        <f>IF(ISNUMBER('GraphData'!J25),'GraphData'!J25,"n.d.")</f>
        <v>3875.6448537628958</v>
      </c>
      <c r="W64" s="6"/>
      <c r="X64" s="6">
        <f>IF(ISNUMBER('GraphData'!J26),'GraphData'!J26,"n.d.")</f>
        <v>2540.0568331291265</v>
      </c>
      <c r="Y64" s="6"/>
      <c r="Z64" s="6">
        <f>IF(ISNUMBER('GraphData'!J27),'GraphData'!J27,"n.d.")</f>
        <v>1589.981347668489</v>
      </c>
      <c r="AA64" s="6"/>
      <c r="AB64" s="6">
        <f>IF(ISNUMBER('GraphData'!J28),'GraphData'!J28,"n.d.")</f>
        <v>1700.7757294769858</v>
      </c>
      <c r="AC64" s="6"/>
      <c r="AD64" s="6">
        <f>IF(ISNUMBER('GraphData'!J29),'GraphData'!J29,"n.d.")</f>
        <v>250.3239217965882</v>
      </c>
      <c r="AE64" s="6"/>
      <c r="AF64" s="6">
        <f>IF(ISNUMBER('GraphData'!J30),'GraphData'!J30,"n.d.")</f>
        <v>2609.0096005252976</v>
      </c>
    </row>
    <row r="65" spans="1:32" ht="13.5" customHeight="1">
      <c r="A65" s="2"/>
      <c r="O65" s="5" t="s">
        <v>17</v>
      </c>
      <c r="P65" s="5"/>
      <c r="Q65" s="5"/>
      <c r="R65" s="5"/>
      <c r="S65" s="5"/>
      <c r="T65" s="6">
        <f>IF(OR(COUNTIFS('Consolidation'!$A$6:$A$47,"2026Q3",'Consolidation'!$B$6:$B$47,"DK")&lt;&gt;1,COUNTIFS('Consolidation'!$A$6:$A$47,"2026Q3",'Consolidation'!$B$6:$B$47,"DK",'Consolidation'!$W$6:$W$47,"n.d.")&gt;0),"n.d.",SUMIFS('Consolidation'!$W$6:$W$47,'Consolidation'!$A$6:$A$47,"2026Q3",'Consolidation'!$B$6:$B$47,"DK"))</f>
        <v>12951.73622015745</v>
      </c>
      <c r="U65" s="6"/>
      <c r="V65" s="6">
        <f>IF(ISNUMBER('GraphData'!K25),'GraphData'!K25,"n.d.")</f>
        <v>15033.974612869479</v>
      </c>
      <c r="W65" s="6"/>
      <c r="X65" s="6">
        <f>IF(ISNUMBER('GraphData'!K26),'GraphData'!K26,"n.d.")</f>
        <v>22642.802333344032</v>
      </c>
      <c r="Y65" s="6"/>
      <c r="Z65" s="6">
        <f>IF(ISNUMBER('GraphData'!K27),'GraphData'!K27,"n.d.")</f>
        <v>11921.131730938301</v>
      </c>
      <c r="AA65" s="6"/>
      <c r="AB65" s="6">
        <f>IF(ISNUMBER('GraphData'!K28),'GraphData'!K28,"n.d.")</f>
        <v>9958.909408676853</v>
      </c>
      <c r="AC65" s="6"/>
      <c r="AD65" s="6">
        <f>IF(ISNUMBER('GraphData'!K29),'GraphData'!K29,"n.d.")</f>
        <v>10757.906765155854</v>
      </c>
      <c r="AE65" s="6"/>
      <c r="AF65" s="6">
        <f>IF(ISNUMBER('GraphData'!K30),'GraphData'!K30,"n.d.")</f>
        <v>7395.692469960186</v>
      </c>
    </row>
    <row r="66" spans="1:32" ht="13.5" customHeight="1">
      <c r="A66" s="2"/>
      <c r="O66" s="5" t="s">
        <v>18</v>
      </c>
      <c r="P66" s="5"/>
      <c r="Q66" s="5"/>
      <c r="R66" s="5"/>
      <c r="S66" s="5"/>
      <c r="T66" s="6">
        <f>IF(OR(COUNTIFS('Consolidation'!$A$6:$A$47,"2026Q3",'Consolidation'!$B$6:$B$47,"NO")&lt;&gt;1,COUNTIFS('Consolidation'!$A$6:$A$47,"2026Q3",'Consolidation'!$B$6:$B$47,"NO",'Consolidation'!$W$6:$W$47,"n.d.")&gt;0),"n.d.",SUMIFS('Consolidation'!$W$6:$W$47,'Consolidation'!$A$6:$A$47,"2026Q3",'Consolidation'!$B$6:$B$47,"NO"))</f>
        <v>6054.525116656991</v>
      </c>
      <c r="U66" s="6"/>
      <c r="V66" s="6">
        <f>IF(ISNUMBER('GraphData'!L25),'GraphData'!L25,"n.d.")</f>
        <v>5652.2176522836235</v>
      </c>
      <c r="W66" s="6"/>
      <c r="X66" s="6">
        <f>IF(ISNUMBER('GraphData'!L26),'GraphData'!L26,"n.d.")</f>
        <v>13480.900619813134</v>
      </c>
      <c r="Y66" s="6"/>
      <c r="Z66" s="6">
        <f>IF(ISNUMBER('GraphData'!L27),'GraphData'!L27,"n.d.")</f>
        <v>5095.5151720047725</v>
      </c>
      <c r="AA66" s="6"/>
      <c r="AB66" s="6">
        <f>IF(ISNUMBER('GraphData'!L28),'GraphData'!L28,"n.d.")</f>
        <v>3901.6092829580048</v>
      </c>
      <c r="AC66" s="6"/>
      <c r="AD66" s="6">
        <f>IF(ISNUMBER('GraphData'!L29),'GraphData'!L29,"n.d.")</f>
        <v>3950.379215573521</v>
      </c>
      <c r="AE66" s="6"/>
      <c r="AF66" s="6">
        <f>IF(ISNUMBER('GraphData'!L30),'GraphData'!L30,"n.d.")</f>
        <v>4246.528757308892</v>
      </c>
    </row>
    <row r="67" spans="1:32" ht="13.5" customHeight="1">
      <c r="A67" s="2"/>
      <c r="O67" s="5" t="s">
        <v>19</v>
      </c>
      <c r="P67" s="5"/>
      <c r="Q67" s="5"/>
      <c r="R67" s="5"/>
      <c r="S67" s="5"/>
      <c r="T67" s="6">
        <f>IF(OR(COUNTIFS('Consolidation'!$A$6:$A$47,"2026Q3",'Consolidation'!$B$6:$B$47,"SE")&lt;&gt;1,COUNTIFS('Consolidation'!$A$6:$A$47,"2026Q3",'Consolidation'!$B$6:$B$47,"SE",'Consolidation'!$W$6:$W$47,"n.d.")&gt;0),"n.d.",SUMIFS('Consolidation'!$W$6:$W$47,'Consolidation'!$A$6:$A$47,"2026Q3",'Consolidation'!$B$6:$B$47,"SE"))</f>
        <v>21207.907224547645</v>
      </c>
      <c r="U67" s="6"/>
      <c r="V67" s="6">
        <f>IF(ISNUMBER('GraphData'!M25),'GraphData'!M25,"n.d.")</f>
        <v>33888.15419430023</v>
      </c>
      <c r="W67" s="6"/>
      <c r="X67" s="6">
        <f>IF(ISNUMBER('GraphData'!M26),'GraphData'!M26,"n.d.")</f>
        <v>12290.640472865412</v>
      </c>
      <c r="Y67" s="6"/>
      <c r="Z67" s="6">
        <f>IF(ISNUMBER('GraphData'!M27),'GraphData'!M27,"n.d.")</f>
        <v>20551.693085751358</v>
      </c>
      <c r="AA67" s="6"/>
      <c r="AB67" s="6">
        <f>IF(ISNUMBER('GraphData'!M28),'GraphData'!M28,"n.d.")</f>
        <v>22068.183080670267</v>
      </c>
      <c r="AC67" s="6"/>
      <c r="AD67" s="6">
        <f>IF(ISNUMBER('GraphData'!M29),'GraphData'!M29,"n.d.")</f>
        <v>11056.327822071327</v>
      </c>
      <c r="AE67" s="6"/>
      <c r="AF67" s="6">
        <f>IF(ISNUMBER('GraphData'!M30),'GraphData'!M30,"n.d.")</f>
        <v>27392.444691627265</v>
      </c>
    </row>
    <row r="68" spans="1:32" ht="13.5" customHeight="1">
      <c r="A68" s="2"/>
    </row>
    <row r="69" spans="1:32" ht="13.5" customHeight="1">
      <c r="A69" s="2"/>
    </row>
    <row r="70" spans="1:32" ht="13.5" customHeight="1">
      <c r="A70" s="2"/>
      <c r="O70" s="4" t="s">
        <v>35</v>
      </c>
      <c r="P70" s="4"/>
      <c r="Q70" s="4"/>
      <c r="R70" s="4"/>
      <c r="S70" s="4"/>
      <c r="T70" s="4" t="s">
        <v>36</v>
      </c>
      <c r="U70" s="4"/>
      <c r="V70" s="4"/>
      <c r="W70" s="4"/>
      <c r="X70" s="4"/>
      <c r="Y70" s="4"/>
      <c r="Z70" s="4" t="s">
        <v>37</v>
      </c>
      <c r="AA70" s="4"/>
      <c r="AB70" s="4"/>
      <c r="AC70" s="4"/>
      <c r="AD70" s="4"/>
      <c r="AE70" s="4"/>
      <c r="AF70" s="4"/>
    </row>
    <row r="71" spans="1:32" ht="13.5" customHeight="1">
      <c r="A71" s="2"/>
      <c r="O71" s="4"/>
      <c r="P71" s="4"/>
      <c r="Q71" s="4"/>
      <c r="R71" s="4"/>
      <c r="S71" s="4"/>
      <c r="T71" s="4" t="s">
        <v>38</v>
      </c>
      <c r="U71" s="4"/>
      <c r="V71" s="4"/>
      <c r="W71" s="4" t="s">
        <v>5</v>
      </c>
      <c r="X71" s="4"/>
      <c r="Y71" s="4"/>
      <c r="Z71" s="4" t="s">
        <v>38</v>
      </c>
      <c r="AA71" s="4"/>
      <c r="AB71" s="4"/>
      <c r="AC71" s="4" t="s">
        <v>5</v>
      </c>
      <c r="AD71" s="4"/>
      <c r="AE71" s="4"/>
      <c r="AF71" s="4"/>
    </row>
    <row r="72" spans="1:32" ht="13.5" customHeight="1">
      <c r="A72" s="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3.5" customHeight="1">
      <c r="A73" s="2"/>
      <c r="O73" s="5" t="s">
        <v>7</v>
      </c>
      <c r="P73" s="5"/>
      <c r="Q73" s="5"/>
      <c r="R73" s="5"/>
      <c r="S73" s="5"/>
      <c r="T73" s="7">
        <f>'GraphData'!D36</f>
        <v>0.9931642617902213</v>
      </c>
      <c r="U73" s="7"/>
      <c r="V73" s="7"/>
      <c r="W73" s="7">
        <f>'GraphData'!E36</f>
        <v>0.9859807948052636</v>
      </c>
      <c r="X73" s="7"/>
      <c r="Y73" s="7"/>
      <c r="Z73" s="7">
        <f>'GraphData'!B36</f>
        <v>0.9894054395951929</v>
      </c>
      <c r="AA73" s="7"/>
      <c r="AB73" s="7"/>
      <c r="AC73" s="7">
        <f>'GraphData'!C36</f>
        <v>0.9539307475107742</v>
      </c>
      <c r="AD73" s="7"/>
      <c r="AE73" s="7"/>
      <c r="AF73" s="7"/>
    </row>
    <row r="74" spans="1:32" ht="13.5" customHeight="1">
      <c r="A74" s="2"/>
      <c r="O74" s="5" t="s">
        <v>8</v>
      </c>
      <c r="P74" s="5"/>
      <c r="Q74" s="5"/>
      <c r="R74" s="5"/>
      <c r="S74" s="5"/>
      <c r="T74" s="7">
        <f>'GraphData'!D37</f>
        <v>0.7104560896824842</v>
      </c>
      <c r="U74" s="7"/>
      <c r="V74" s="7"/>
      <c r="W74" s="7">
        <f>'GraphData'!E37</f>
        <v>0.8537773876278687</v>
      </c>
      <c r="X74" s="7"/>
      <c r="Y74" s="7"/>
      <c r="Z74" s="7">
        <f>'GraphData'!B37</f>
        <v>0.6015087641446638</v>
      </c>
      <c r="AA74" s="7"/>
      <c r="AB74" s="7"/>
      <c r="AC74" s="7">
        <f>'GraphData'!C37</f>
        <v>0.581422283993514</v>
      </c>
      <c r="AD74" s="7"/>
      <c r="AE74" s="7"/>
      <c r="AF74" s="7"/>
    </row>
    <row r="75" spans="1:32" ht="13.5" customHeight="1">
      <c r="A75" s="2"/>
      <c r="O75" s="5" t="s">
        <v>9</v>
      </c>
      <c r="P75" s="5"/>
      <c r="Q75" s="5"/>
      <c r="R75" s="5"/>
      <c r="S75" s="5"/>
      <c r="T75" s="7">
        <f>'GraphData'!D38</f>
        <v>1.0</v>
      </c>
      <c r="U75" s="7"/>
      <c r="V75" s="7"/>
      <c r="W75" s="7">
        <f>'GraphData'!E38</f>
        <v>1.0</v>
      </c>
      <c r="X75" s="7"/>
      <c r="Y75" s="7"/>
      <c r="Z75" s="7">
        <f>'GraphData'!B38</f>
        <v>1.0</v>
      </c>
      <c r="AA75" s="7"/>
      <c r="AB75" s="7"/>
      <c r="AC75" s="7">
        <f>'GraphData'!C38</f>
        <v>1.0</v>
      </c>
      <c r="AD75" s="7"/>
      <c r="AE75" s="7"/>
      <c r="AF75" s="7"/>
    </row>
    <row r="76" spans="1:32" ht="13.5" customHeight="1">
      <c r="A76" s="2"/>
      <c r="O76" s="5" t="s">
        <v>10</v>
      </c>
      <c r="P76" s="5"/>
      <c r="Q76" s="5"/>
      <c r="R76" s="5"/>
      <c r="S76" s="5"/>
      <c r="T76" s="7">
        <f>'GraphData'!D39</f>
        <v>0.984378465262362</v>
      </c>
      <c r="U76" s="7"/>
      <c r="V76" s="7"/>
      <c r="W76" s="7">
        <f>'GraphData'!E39</f>
        <v>0.97577393004026</v>
      </c>
      <c r="X76" s="7"/>
      <c r="Y76" s="7"/>
      <c r="Z76" s="7">
        <f>'GraphData'!B39</f>
        <v>0.9484958979033729</v>
      </c>
      <c r="AA76" s="7"/>
      <c r="AB76" s="7"/>
      <c r="AC76" s="7">
        <f>'GraphData'!C39</f>
        <v>0.9370393767108866</v>
      </c>
      <c r="AD76" s="7"/>
      <c r="AE76" s="7"/>
      <c r="AF76" s="7"/>
    </row>
    <row r="77" spans="1:32" ht="13.5" customHeight="1">
      <c r="A77" s="2"/>
      <c r="O77" s="5" t="s">
        <v>11</v>
      </c>
      <c r="P77" s="5"/>
      <c r="Q77" s="5"/>
      <c r="R77" s="5"/>
      <c r="S77" s="5"/>
      <c r="T77" s="7">
        <f>'GraphData'!D40</f>
        <v>0.9911539948773356</v>
      </c>
      <c r="U77" s="7"/>
      <c r="V77" s="7"/>
      <c r="W77" s="7">
        <f>'GraphData'!E40</f>
        <v>0.996970298482982</v>
      </c>
      <c r="X77" s="7"/>
      <c r="Y77" s="7"/>
      <c r="Z77" s="7">
        <f>'GraphData'!B40</f>
        <v>0.6078777189888301</v>
      </c>
      <c r="AA77" s="7"/>
      <c r="AB77" s="7"/>
      <c r="AC77" s="7">
        <f>'GraphData'!C40</f>
        <v>0.9398592450415867</v>
      </c>
      <c r="AD77" s="7"/>
      <c r="AE77" s="7"/>
      <c r="AF77" s="7"/>
    </row>
    <row r="78" spans="1:32" ht="13.5" customHeight="1">
      <c r="A78" s="2"/>
      <c r="O78" s="5" t="s">
        <v>12</v>
      </c>
      <c r="P78" s="5"/>
      <c r="Q78" s="5"/>
      <c r="R78" s="5"/>
      <c r="S78" s="5"/>
      <c r="T78" s="7">
        <f>'GraphData'!D41</f>
        <v>0.9777348442295094</v>
      </c>
      <c r="U78" s="7"/>
      <c r="V78" s="7"/>
      <c r="W78" s="7">
        <f>'GraphData'!E41</f>
        <v>1.0</v>
      </c>
      <c r="X78" s="7"/>
      <c r="Y78" s="7"/>
      <c r="Z78" s="7">
        <f>'GraphData'!B41</f>
        <v>0.9403706688154714</v>
      </c>
      <c r="AA78" s="7"/>
      <c r="AB78" s="7"/>
      <c r="AC78" s="7">
        <f>'GraphData'!C41</f>
        <v>1.0</v>
      </c>
      <c r="AD78" s="7"/>
      <c r="AE78" s="7"/>
      <c r="AF78" s="7"/>
    </row>
    <row r="79" spans="1:32" ht="13.5" customHeight="1">
      <c r="A79" s="2"/>
      <c r="O79" s="5" t="s">
        <v>13</v>
      </c>
      <c r="P79" s="5"/>
      <c r="Q79" s="5"/>
      <c r="R79" s="5"/>
      <c r="S79" s="5"/>
      <c r="T79" s="7">
        <f>'GraphData'!D42</f>
        <v>0.6731999072202525</v>
      </c>
      <c r="U79" s="7"/>
      <c r="V79" s="7"/>
      <c r="W79" s="7">
        <f>'GraphData'!E42</f>
        <v>0.793132474166957</v>
      </c>
      <c r="X79" s="7"/>
      <c r="Y79" s="7"/>
      <c r="Z79" s="7">
        <f>'GraphData'!B42</f>
        <v>0.30129752564876283</v>
      </c>
      <c r="AA79" s="7"/>
      <c r="AB79" s="7"/>
      <c r="AC79" s="7">
        <f>'GraphData'!C42</f>
        <v>0.6951945080091533</v>
      </c>
      <c r="AD79" s="7"/>
      <c r="AE79" s="7"/>
      <c r="AF79" s="7"/>
    </row>
    <row r="80" spans="1:32" ht="13.5" customHeight="1">
      <c r="A80" s="2"/>
      <c r="O80" s="5" t="s">
        <v>14</v>
      </c>
      <c r="P80" s="5"/>
      <c r="Q80" s="5"/>
      <c r="R80" s="5"/>
      <c r="S80" s="5"/>
      <c r="T80" s="7">
        <f>'GraphData'!D43</f>
        <v>0.6493430482328113</v>
      </c>
      <c r="U80" s="7"/>
      <c r="V80" s="7"/>
      <c r="W80" s="7">
        <f>'GraphData'!E43</f>
        <v>0.6926903849986122</v>
      </c>
      <c r="X80" s="7"/>
      <c r="Y80" s="7"/>
      <c r="Z80" s="7">
        <f>'GraphData'!B43</f>
        <v>0.8549981233579382</v>
      </c>
      <c r="AA80" s="7"/>
      <c r="AB80" s="7"/>
      <c r="AC80" s="7">
        <f>'GraphData'!C43</f>
        <v>0.8571001494768311</v>
      </c>
      <c r="AD80" s="7"/>
      <c r="AE80" s="7"/>
      <c r="AF80" s="7"/>
    </row>
    <row r="81" spans="1:32" ht="13.5" customHeight="1">
      <c r="A81" s="2"/>
      <c r="O81" s="5" t="s">
        <v>16</v>
      </c>
      <c r="P81" s="5"/>
      <c r="Q81" s="5"/>
      <c r="R81" s="5"/>
      <c r="S81" s="5"/>
      <c r="T81" s="7" t="s">
        <v>39</v>
      </c>
      <c r="U81" s="7"/>
      <c r="V81" s="7"/>
      <c r="W81" s="7" t="s">
        <v>39</v>
      </c>
      <c r="X81" s="7"/>
      <c r="Y81" s="7"/>
      <c r="Z81" s="7" t="s">
        <v>39</v>
      </c>
      <c r="AA81" s="7"/>
      <c r="AB81" s="7"/>
      <c r="AC81" s="7" t="s">
        <v>39</v>
      </c>
      <c r="AD81" s="7"/>
      <c r="AE81" s="7"/>
      <c r="AF81" s="7"/>
    </row>
    <row r="82" spans="1:32" ht="13.5" customHeight="1">
      <c r="A82" s="2"/>
      <c r="O82" s="5" t="s">
        <v>17</v>
      </c>
      <c r="P82" s="5"/>
      <c r="Q82" s="5"/>
      <c r="R82" s="5"/>
      <c r="S82" s="5"/>
      <c r="T82" s="7">
        <f>'GraphData'!D45</f>
        <v>1.0</v>
      </c>
      <c r="U82" s="7"/>
      <c r="V82" s="7"/>
      <c r="W82" s="7">
        <f>'GraphData'!E45</f>
        <v>0.9999999999999999</v>
      </c>
      <c r="X82" s="7"/>
      <c r="Y82" s="7"/>
      <c r="Z82" s="7">
        <f>'GraphData'!B45</f>
        <v>1.0</v>
      </c>
      <c r="AA82" s="7"/>
      <c r="AB82" s="7"/>
      <c r="AC82" s="7">
        <f>'GraphData'!C45</f>
        <v>1.0</v>
      </c>
      <c r="AD82" s="7"/>
      <c r="AE82" s="7"/>
      <c r="AF82" s="7"/>
    </row>
    <row r="83" spans="1:32" ht="13.5" customHeight="1">
      <c r="A83" s="2"/>
      <c r="O83" s="5" t="s">
        <v>18</v>
      </c>
      <c r="P83" s="5"/>
      <c r="Q83" s="5"/>
      <c r="R83" s="5"/>
      <c r="S83" s="5"/>
      <c r="T83" s="7">
        <f>'GraphData'!D46</f>
        <v>0.9410164877948007</v>
      </c>
      <c r="U83" s="7"/>
      <c r="V83" s="7"/>
      <c r="W83" s="7">
        <f>'GraphData'!E46</f>
        <v>0.9342711524878822</v>
      </c>
      <c r="X83" s="7"/>
      <c r="Y83" s="7"/>
      <c r="Z83" s="7">
        <f>'GraphData'!B46</f>
        <v>0.9924812030075187</v>
      </c>
      <c r="AA83" s="7"/>
      <c r="AB83" s="7"/>
      <c r="AC83" s="7">
        <f>'GraphData'!C46</f>
        <v>0.9932432432432432</v>
      </c>
      <c r="AD83" s="7"/>
      <c r="AE83" s="7"/>
      <c r="AF83" s="7"/>
    </row>
    <row r="84" spans="1:32" ht="13.5" customHeight="1">
      <c r="A84" s="2"/>
      <c r="O84" s="5" t="s">
        <v>19</v>
      </c>
      <c r="P84" s="5"/>
      <c r="Q84" s="5"/>
      <c r="R84" s="5"/>
      <c r="S84" s="5"/>
      <c r="T84" s="7">
        <f>'GraphData'!D47</f>
        <v>0.9999999999999999</v>
      </c>
      <c r="U84" s="7"/>
      <c r="V84" s="7"/>
      <c r="W84" s="7">
        <f>'GraphData'!E47</f>
        <v>1.0000000000000007</v>
      </c>
      <c r="X84" s="7"/>
      <c r="Y84" s="7"/>
      <c r="Z84" s="7">
        <f>'GraphData'!B47</f>
        <v>1.0</v>
      </c>
      <c r="AA84" s="7"/>
      <c r="AB84" s="7"/>
      <c r="AC84" s="7">
        <f>'GraphData'!C47</f>
        <v>1.0</v>
      </c>
      <c r="AD84" s="7"/>
      <c r="AE84" s="7"/>
      <c r="AF84" s="7"/>
    </row>
    <row r="85" spans="1:32" ht="13.5" customHeight="1">
      <c r="A85" s="2"/>
    </row>
    <row r="86" spans="1:32" ht="13.5" customHeight="1">
      <c r="A86" s="2"/>
      <c r="O86" s="1" t="s">
        <v>40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3.5" customHeight="1">
      <c r="A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3.5" customHeight="1">
      <c r="A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3.5" customHeight="1">
      <c r="A89" s="2"/>
    </row>
    <row r="90" spans="1:32" ht="13.5" customHeight="1">
      <c r="A90" s="2"/>
    </row>
    <row r="91" spans="1:32" ht="13.5" customHeight="1">
      <c r="A91" s="2"/>
      <c r="B91" s="12" t="s">
        <v>23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</sheetData>
  <mergeCells count="236">
    <mergeCell ref="B1:AF1"/>
    <mergeCell ref="B2:AF4"/>
    <mergeCell ref="B42:AF42"/>
    <mergeCell ref="B5:AF6"/>
    <mergeCell ref="B8:G10"/>
    <mergeCell ref="H8:J10"/>
    <mergeCell ref="K8:M10"/>
    <mergeCell ref="N8:P10"/>
    <mergeCell ref="B11:G11"/>
    <mergeCell ref="H11:J11"/>
    <mergeCell ref="K11:M11"/>
    <mergeCell ref="N11:P11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15:G15"/>
    <mergeCell ref="H15:J15"/>
    <mergeCell ref="K15:M15"/>
    <mergeCell ref="N15:P15"/>
    <mergeCell ref="B16:G16"/>
    <mergeCell ref="H16:J16"/>
    <mergeCell ref="K16:M16"/>
    <mergeCell ref="N16:P16"/>
    <mergeCell ref="B17:G17"/>
    <mergeCell ref="H17:J17"/>
    <mergeCell ref="K17:M17"/>
    <mergeCell ref="N17:P17"/>
    <mergeCell ref="B18:G18"/>
    <mergeCell ref="H18:J18"/>
    <mergeCell ref="K18:M18"/>
    <mergeCell ref="N18:P18"/>
    <mergeCell ref="B19:G19"/>
    <mergeCell ref="H19:J19"/>
    <mergeCell ref="K19:M19"/>
    <mergeCell ref="N19:P19"/>
    <mergeCell ref="B20:G20"/>
    <mergeCell ref="H20:J20"/>
    <mergeCell ref="K20:M20"/>
    <mergeCell ref="N20:P20"/>
    <mergeCell ref="B21:G21"/>
    <mergeCell ref="H21:J21"/>
    <mergeCell ref="K21:M21"/>
    <mergeCell ref="N21:P21"/>
    <mergeCell ref="B22:G22"/>
    <mergeCell ref="H22:J22"/>
    <mergeCell ref="K22:M22"/>
    <mergeCell ref="N22:P22"/>
    <mergeCell ref="B23:G23"/>
    <mergeCell ref="H23:J23"/>
    <mergeCell ref="K23:M23"/>
    <mergeCell ref="N23:P23"/>
    <mergeCell ref="B24:G24"/>
    <mergeCell ref="H24:J24"/>
    <mergeCell ref="K24:M24"/>
    <mergeCell ref="N24:P24"/>
    <mergeCell ref="B27:P28"/>
    <mergeCell ref="B29:P30"/>
    <mergeCell ref="B46:AF48"/>
    <mergeCell ref="B91:AF91"/>
    <mergeCell ref="B49:AF50"/>
    <mergeCell ref="O52:S54"/>
    <mergeCell ref="T52:U54"/>
    <mergeCell ref="V52:W54"/>
    <mergeCell ref="X52:Y54"/>
    <mergeCell ref="Z52:AA54"/>
    <mergeCell ref="AB52:AC54"/>
    <mergeCell ref="AD52:AE54"/>
    <mergeCell ref="AF52:AF54"/>
    <mergeCell ref="O55:S55"/>
    <mergeCell ref="T55:U55"/>
    <mergeCell ref="V55:W55"/>
    <mergeCell ref="X55:Y55"/>
    <mergeCell ref="Z55:AA55"/>
    <mergeCell ref="AB55:AC55"/>
    <mergeCell ref="AD55:AE55"/>
    <mergeCell ref="O56:S56"/>
    <mergeCell ref="T56:U56"/>
    <mergeCell ref="V56:W56"/>
    <mergeCell ref="X56:Y56"/>
    <mergeCell ref="Z56:AA56"/>
    <mergeCell ref="AB56:AC56"/>
    <mergeCell ref="AD56:AE56"/>
    <mergeCell ref="O57:S57"/>
    <mergeCell ref="T57:U57"/>
    <mergeCell ref="V57:W57"/>
    <mergeCell ref="X57:Y57"/>
    <mergeCell ref="Z57:AA57"/>
    <mergeCell ref="AB57:AC57"/>
    <mergeCell ref="AD57:AE57"/>
    <mergeCell ref="O58:S58"/>
    <mergeCell ref="T58:U58"/>
    <mergeCell ref="V58:W58"/>
    <mergeCell ref="X58:Y58"/>
    <mergeCell ref="Z58:AA58"/>
    <mergeCell ref="AB58:AC58"/>
    <mergeCell ref="AD58:AE58"/>
    <mergeCell ref="O59:S59"/>
    <mergeCell ref="T59:U59"/>
    <mergeCell ref="V59:W59"/>
    <mergeCell ref="X59:Y59"/>
    <mergeCell ref="Z59:AA59"/>
    <mergeCell ref="AB59:AC59"/>
    <mergeCell ref="AD59:AE59"/>
    <mergeCell ref="O60:S60"/>
    <mergeCell ref="T60:U60"/>
    <mergeCell ref="V60:W60"/>
    <mergeCell ref="X60:Y60"/>
    <mergeCell ref="Z60:AA60"/>
    <mergeCell ref="AB60:AC60"/>
    <mergeCell ref="AD60:AE60"/>
    <mergeCell ref="O61:S61"/>
    <mergeCell ref="T61:U61"/>
    <mergeCell ref="V61:W61"/>
    <mergeCell ref="X61:Y61"/>
    <mergeCell ref="Z61:AA61"/>
    <mergeCell ref="AB61:AC61"/>
    <mergeCell ref="AD61:AE61"/>
    <mergeCell ref="O62:S62"/>
    <mergeCell ref="T62:U62"/>
    <mergeCell ref="V62:W62"/>
    <mergeCell ref="X62:Y62"/>
    <mergeCell ref="Z62:AA62"/>
    <mergeCell ref="AB62:AC62"/>
    <mergeCell ref="AD62:AE62"/>
    <mergeCell ref="O63:S63"/>
    <mergeCell ref="T63:U63"/>
    <mergeCell ref="V63:W63"/>
    <mergeCell ref="X63:Y63"/>
    <mergeCell ref="Z63:AA63"/>
    <mergeCell ref="AB63:AC63"/>
    <mergeCell ref="AD63:AE63"/>
    <mergeCell ref="O64:S64"/>
    <mergeCell ref="T64:U64"/>
    <mergeCell ref="V64:W64"/>
    <mergeCell ref="X64:Y64"/>
    <mergeCell ref="Z64:AA64"/>
    <mergeCell ref="AB64:AC64"/>
    <mergeCell ref="AD64:AE64"/>
    <mergeCell ref="O65:S65"/>
    <mergeCell ref="T65:U65"/>
    <mergeCell ref="V65:W65"/>
    <mergeCell ref="X65:Y65"/>
    <mergeCell ref="Z65:AA65"/>
    <mergeCell ref="AB65:AC65"/>
    <mergeCell ref="AD65:AE65"/>
    <mergeCell ref="O66:S66"/>
    <mergeCell ref="T66:U66"/>
    <mergeCell ref="V66:W66"/>
    <mergeCell ref="X66:Y66"/>
    <mergeCell ref="Z66:AA66"/>
    <mergeCell ref="AB66:AC66"/>
    <mergeCell ref="AD66:AE66"/>
    <mergeCell ref="O67:S67"/>
    <mergeCell ref="T67:U67"/>
    <mergeCell ref="V67:W67"/>
    <mergeCell ref="X67:Y67"/>
    <mergeCell ref="Z67:AA67"/>
    <mergeCell ref="AB67:AC67"/>
    <mergeCell ref="AD67:AE67"/>
    <mergeCell ref="O70:S72"/>
    <mergeCell ref="T70:Y70"/>
    <mergeCell ref="Z70:AF70"/>
    <mergeCell ref="T71:V72"/>
    <mergeCell ref="W71:Y72"/>
    <mergeCell ref="Z71:AB72"/>
    <mergeCell ref="AC71:AF72"/>
    <mergeCell ref="O73:S73"/>
    <mergeCell ref="T73:V73"/>
    <mergeCell ref="W73:Y73"/>
    <mergeCell ref="Z73:AB73"/>
    <mergeCell ref="AC73:AF73"/>
    <mergeCell ref="O74:S74"/>
    <mergeCell ref="T74:V74"/>
    <mergeCell ref="W74:Y74"/>
    <mergeCell ref="Z74:AB74"/>
    <mergeCell ref="AC74:AF74"/>
    <mergeCell ref="O75:S75"/>
    <mergeCell ref="T75:V75"/>
    <mergeCell ref="W75:Y75"/>
    <mergeCell ref="Z75:AB75"/>
    <mergeCell ref="AC75:AF75"/>
    <mergeCell ref="O76:S76"/>
    <mergeCell ref="T76:V76"/>
    <mergeCell ref="W76:Y76"/>
    <mergeCell ref="Z76:AB76"/>
    <mergeCell ref="AC76:AF76"/>
    <mergeCell ref="O77:S77"/>
    <mergeCell ref="T77:V77"/>
    <mergeCell ref="W77:Y77"/>
    <mergeCell ref="Z77:AB77"/>
    <mergeCell ref="AC77:AF77"/>
    <mergeCell ref="O78:S78"/>
    <mergeCell ref="T78:V78"/>
    <mergeCell ref="W78:Y78"/>
    <mergeCell ref="Z78:AB78"/>
    <mergeCell ref="AC78:AF78"/>
    <mergeCell ref="O79:S79"/>
    <mergeCell ref="T79:V79"/>
    <mergeCell ref="W79:Y79"/>
    <mergeCell ref="Z79:AB79"/>
    <mergeCell ref="AC79:AF79"/>
    <mergeCell ref="O80:S80"/>
    <mergeCell ref="T80:V80"/>
    <mergeCell ref="W80:Y80"/>
    <mergeCell ref="Z80:AB80"/>
    <mergeCell ref="AC80:AF80"/>
    <mergeCell ref="O81:S81"/>
    <mergeCell ref="T81:V81"/>
    <mergeCell ref="W81:Y81"/>
    <mergeCell ref="Z81:AB81"/>
    <mergeCell ref="AC81:AF81"/>
    <mergeCell ref="O82:S82"/>
    <mergeCell ref="T82:V82"/>
    <mergeCell ref="W82:Y82"/>
    <mergeCell ref="Z82:AB82"/>
    <mergeCell ref="AC82:AF82"/>
    <mergeCell ref="O83:S83"/>
    <mergeCell ref="T83:V83"/>
    <mergeCell ref="W83:Y83"/>
    <mergeCell ref="Z83:AB83"/>
    <mergeCell ref="AC83:AF83"/>
    <mergeCell ref="O84:S84"/>
    <mergeCell ref="T84:V84"/>
    <mergeCell ref="W84:Y84"/>
    <mergeCell ref="Z84:AB84"/>
    <mergeCell ref="AC84:AF84"/>
    <mergeCell ref="O86:AF88"/>
  </mergeCells>
  <conditionalFormatting sqref="B27:P39">
    <cfRule type="notContainsBlanks" dxfId="2" priority="1">
      <formula>LEN(TRIM(B27))&gt;0</formula>
    </cfRule>
  </conditionalFormatting>
  <pageMargins left="0.15" right="0.15" top="0.2" bottom="0.2" header="0.3" footer="0.3"/>
  <pageSetup paperSize="9" fitToHeight="0" orientation="landscape"/>
  <rowBreaks count="1" manualBreakCount="1">
    <brk id="44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2"/>
      <c r="B2" s="3" t="s">
        <v>41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3.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3.5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3.5" customHeight="1">
      <c r="A5" s="2"/>
      <c r="B5" s="1" t="s">
        <v>42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3.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3.5" customHeight="1">
      <c r="A7" s="2"/>
    </row>
    <row r="8" spans="1:32" ht="13.5" customHeight="1">
      <c r="A8" s="2"/>
      <c r="B8" s="4" t="s">
        <v>3</v>
      </c>
      <c r="C8" s="4"/>
      <c r="D8" s="4"/>
      <c r="E8" s="4"/>
      <c r="F8" s="4"/>
      <c r="G8" s="4"/>
      <c r="H8" s="4" t="s">
        <v>4</v>
      </c>
      <c r="I8" s="4"/>
      <c r="J8" s="4"/>
      <c r="K8" s="4" t="s">
        <v>5</v>
      </c>
      <c r="L8" s="4"/>
      <c r="M8" s="4"/>
      <c r="N8" s="4" t="s">
        <v>6</v>
      </c>
      <c r="O8" s="4"/>
      <c r="P8" s="4"/>
    </row>
    <row r="9" spans="1:32" ht="13.5" customHeight="1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2" ht="13.5" customHeight="1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32" ht="13.5" customHeight="1">
      <c r="A11" s="2"/>
      <c r="B11" s="5" t="s">
        <v>7</v>
      </c>
      <c r="C11" s="5"/>
      <c r="D11" s="5"/>
      <c r="E11" s="5"/>
      <c r="F11" s="5"/>
      <c r="G11" s="5"/>
      <c r="H11" s="6">
        <f>IF(ISNUMBER('GraphData'!B53),'GraphData'!B53,"n.d.")</f>
        <v>1787812.0</v>
      </c>
      <c r="I11" s="6"/>
      <c r="J11" s="6"/>
      <c r="K11" s="6">
        <f>IF(ISNUMBER('GraphData'!C53),'GraphData'!C53,"n.d.")</f>
        <v>1793165.0</v>
      </c>
      <c r="L11" s="6"/>
      <c r="M11" s="6"/>
      <c r="N11" s="7">
        <f>IF(ISNUMBER('GraphData'!D53),'GraphData'!D53,"n.d.")</f>
        <v>0.0029941626971963496</v>
      </c>
      <c r="O11" s="7"/>
      <c r="P11" s="7"/>
    </row>
    <row r="12" spans="1:32" ht="13.5" customHeight="1">
      <c r="A12" s="2"/>
      <c r="B12" s="5" t="s">
        <v>8</v>
      </c>
      <c r="C12" s="5"/>
      <c r="D12" s="5"/>
      <c r="E12" s="5"/>
      <c r="F12" s="5"/>
      <c r="G12" s="5"/>
      <c r="H12" s="6">
        <f>IF(ISNUMBER('GraphData'!B54),'GraphData'!B54,"n.d.")</f>
        <v>3485465.29</v>
      </c>
      <c r="I12" s="6"/>
      <c r="J12" s="6"/>
      <c r="K12" s="6">
        <f>IF(ISNUMBER('GraphData'!C54),'GraphData'!C54,"n.d.")</f>
        <v>2793036.0</v>
      </c>
      <c r="L12" s="6"/>
      <c r="M12" s="6"/>
      <c r="N12" s="7">
        <f>IF(ISNUMBER('GraphData'!D54),'GraphData'!D54,"n.d.")</f>
        <v>-0.1986619381884592</v>
      </c>
      <c r="O12" s="7"/>
      <c r="P12" s="7"/>
    </row>
    <row r="13" spans="1:32" ht="13.5" customHeight="1">
      <c r="A13" s="2"/>
      <c r="B13" s="5" t="s">
        <v>9</v>
      </c>
      <c r="C13" s="5"/>
      <c r="D13" s="5"/>
      <c r="E13" s="5"/>
      <c r="F13" s="5"/>
      <c r="G13" s="5"/>
      <c r="H13" s="6">
        <f>IF(ISNUMBER('GraphData'!B55),'GraphData'!B55,"n.d.")</f>
        <v>136664.0</v>
      </c>
      <c r="I13" s="6"/>
      <c r="J13" s="6"/>
      <c r="K13" s="6">
        <f>IF(ISNUMBER('GraphData'!C55),'GraphData'!C55,"n.d.")</f>
        <v>147601.0</v>
      </c>
      <c r="L13" s="6"/>
      <c r="M13" s="6"/>
      <c r="N13" s="7">
        <f>IF(ISNUMBER('GraphData'!D55),'GraphData'!D55,"n.d.")</f>
        <v>0.08002839079786922</v>
      </c>
      <c r="O13" s="7"/>
      <c r="P13" s="7"/>
    </row>
    <row r="14" spans="1:32" ht="13.5" customHeight="1">
      <c r="A14" s="2"/>
      <c r="B14" s="5" t="s">
        <v>10</v>
      </c>
      <c r="C14" s="5"/>
      <c r="D14" s="5"/>
      <c r="E14" s="5"/>
      <c r="F14" s="5"/>
      <c r="G14" s="5"/>
      <c r="H14" s="6">
        <f>IF(ISNUMBER('GraphData'!B56),'GraphData'!B56,"n.d.")</f>
        <v>3023244.0</v>
      </c>
      <c r="I14" s="6"/>
      <c r="J14" s="6"/>
      <c r="K14" s="6">
        <f>IF(ISNUMBER('GraphData'!C56),'GraphData'!C56,"n.d.")</f>
        <v>3434403.0</v>
      </c>
      <c r="L14" s="6"/>
      <c r="M14" s="6"/>
      <c r="N14" s="7">
        <f>IF(ISNUMBER('GraphData'!D56),'GraphData'!D56,"n.d.")</f>
        <v>0.13599927759717706</v>
      </c>
      <c r="O14" s="7"/>
      <c r="P14" s="7"/>
    </row>
    <row r="15" spans="1:32" ht="13.5" customHeight="1">
      <c r="A15" s="2"/>
      <c r="B15" s="5" t="s">
        <v>11</v>
      </c>
      <c r="C15" s="5"/>
      <c r="D15" s="5"/>
      <c r="E15" s="5"/>
      <c r="F15" s="5"/>
      <c r="G15" s="5"/>
      <c r="H15" s="6">
        <f>IF(ISNUMBER('GraphData'!B57),'GraphData'!B57,"n.d.")</f>
        <v>593413.0</v>
      </c>
      <c r="I15" s="6"/>
      <c r="J15" s="6"/>
      <c r="K15" s="6">
        <f>IF(ISNUMBER('GraphData'!C57),'GraphData'!C57,"n.d.")</f>
        <v>607594.0</v>
      </c>
      <c r="L15" s="6"/>
      <c r="M15" s="6"/>
      <c r="N15" s="7">
        <f>IF(ISNUMBER('GraphData'!D57),'GraphData'!D57,"n.d.")</f>
        <v>0.023897353108206256</v>
      </c>
      <c r="O15" s="7"/>
      <c r="P15" s="7"/>
    </row>
    <row r="16" spans="1:32" ht="13.5" customHeight="1">
      <c r="A16" s="2"/>
      <c r="B16" s="5" t="s">
        <v>12</v>
      </c>
      <c r="C16" s="5"/>
      <c r="D16" s="5"/>
      <c r="E16" s="5"/>
      <c r="F16" s="5"/>
      <c r="G16" s="5"/>
      <c r="H16" s="6">
        <f>IF(ISNUMBER('GraphData'!B58),'GraphData'!B58,"n.d.")</f>
        <v>3317587.0</v>
      </c>
      <c r="I16" s="6"/>
      <c r="J16" s="6"/>
      <c r="K16" s="6">
        <f>IF(ISNUMBER('GraphData'!C58),'GraphData'!C58,"n.d.")</f>
        <v>2883642.0</v>
      </c>
      <c r="L16" s="6"/>
      <c r="M16" s="6"/>
      <c r="N16" s="7">
        <f>IF(ISNUMBER('GraphData'!D58),'GraphData'!D58,"n.d.")</f>
        <v>-0.13080139269897068</v>
      </c>
      <c r="O16" s="7"/>
      <c r="P16" s="7"/>
    </row>
    <row r="17" spans="1:16" ht="13.5" customHeight="1">
      <c r="A17" s="2"/>
      <c r="B17" s="5" t="s">
        <v>13</v>
      </c>
      <c r="C17" s="5"/>
      <c r="D17" s="5"/>
      <c r="E17" s="5"/>
      <c r="F17" s="5"/>
      <c r="G17" s="5"/>
      <c r="H17" s="6">
        <f>IF(ISNUMBER('GraphData'!B59),'GraphData'!B59,"n.d.")</f>
        <v>2860611.2859695945</v>
      </c>
      <c r="I17" s="6"/>
      <c r="J17" s="6"/>
      <c r="K17" s="6">
        <f>IF(ISNUMBER('GraphData'!C59),'GraphData'!C59,"n.d.")</f>
        <v>3483914.102135074</v>
      </c>
      <c r="L17" s="6"/>
      <c r="M17" s="6"/>
      <c r="N17" s="7">
        <f>IF(ISNUMBER('GraphData'!D59),'GraphData'!D59,"n.d.")</f>
        <v>0.21789147628081632</v>
      </c>
      <c r="O17" s="7"/>
      <c r="P17" s="7"/>
    </row>
    <row r="18" spans="1:16" ht="13.5" customHeight="1">
      <c r="A18" s="2"/>
      <c r="B18" s="5" t="s">
        <v>14</v>
      </c>
      <c r="C18" s="5"/>
      <c r="D18" s="5"/>
      <c r="E18" s="5"/>
      <c r="F18" s="5"/>
      <c r="G18" s="5"/>
      <c r="H18" s="6">
        <f>IF(ISNUMBER('GraphData'!B60),'GraphData'!B60,"n.d.")</f>
        <v>1918750.9251320725</v>
      </c>
      <c r="I18" s="6"/>
      <c r="J18" s="6"/>
      <c r="K18" s="6">
        <f>IF(ISNUMBER('GraphData'!C60),'GraphData'!C60,"n.d.")</f>
        <v>2048298.5804297782</v>
      </c>
      <c r="L18" s="6"/>
      <c r="M18" s="6"/>
      <c r="N18" s="7">
        <f>IF(ISNUMBER('GraphData'!D60),'GraphData'!D60,"n.d.")</f>
        <v>0.06751666076136931</v>
      </c>
      <c r="O18" s="7"/>
      <c r="P18" s="7"/>
    </row>
    <row r="19" spans="1:16" ht="13.5" customHeight="1">
      <c r="A19" s="2"/>
      <c r="B19" s="9" t="s">
        <v>20</v>
      </c>
      <c r="C19" s="9"/>
      <c r="D19" s="9"/>
      <c r="E19" s="9"/>
      <c r="F19" s="9"/>
      <c r="G19" s="9"/>
      <c r="H19" s="9">
        <f>IF(COUNT(H11:H18)=8,SUM(H11:H18),"n.d.")</f>
        <v>17123547.501101665</v>
      </c>
      <c r="I19" s="9"/>
      <c r="J19" s="9"/>
      <c r="K19" s="9">
        <f>IF(COUNT(K11:K18)=8,SUM(K11:K18),"n.d.")</f>
        <v>17191653.68256485</v>
      </c>
      <c r="L19" s="9"/>
      <c r="M19" s="9"/>
      <c r="N19" s="10">
        <f>IF(OR(COUNT(H19,K19)&lt;&gt;2,H19=0),"n.d.",K19/H19-1)</f>
        <v>0.003977340645027206</v>
      </c>
      <c r="O19" s="10"/>
      <c r="P19" s="10"/>
    </row>
    <row r="20" spans="1:16" ht="13.5" customHeight="1">
      <c r="A20" s="2"/>
    </row>
    <row r="21" spans="1:16" ht="13.5" customHeight="1">
      <c r="A21" s="2"/>
    </row>
    <row r="22" spans="1:16" ht="13.5" customHeight="1">
      <c r="A22" s="2"/>
    </row>
    <row r="23" spans="1:16" ht="13.5" customHeight="1">
      <c r="A23" s="2"/>
    </row>
    <row r="24" spans="1:16" ht="13.5" customHeight="1">
      <c r="A24" s="2"/>
      <c r="B24" s="11" t="s">
        <v>21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ht="13.5" customHeight="1">
      <c r="A25" s="2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3.5" customHeight="1">
      <c r="A26" s="2"/>
      <c r="B26" s="11" t="s">
        <v>22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ht="13.5" customHeight="1">
      <c r="A27" s="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ht="13.5" customHeight="1">
      <c r="A28" s="2"/>
    </row>
    <row r="29" spans="1:16" ht="13.5" customHeight="1">
      <c r="A29" s="2"/>
    </row>
    <row r="30" spans="1:16" ht="13.5" customHeight="1">
      <c r="A30" s="2"/>
    </row>
    <row r="31" spans="1:16" ht="13.5" customHeight="1">
      <c r="A31" s="2"/>
    </row>
    <row r="32" spans="1:16" ht="13.5" customHeight="1">
      <c r="A32" s="2"/>
    </row>
    <row r="33" spans="1:32" ht="13.5" customHeight="1">
      <c r="A33" s="2"/>
    </row>
    <row r="34" spans="1:32" ht="13.5" customHeight="1">
      <c r="A34" s="2"/>
    </row>
    <row r="35" spans="1:32" ht="13.5" customHeight="1">
      <c r="A35" s="2"/>
    </row>
    <row r="36" spans="1:32" ht="13.5" customHeight="1">
      <c r="A36" s="2"/>
    </row>
    <row r="37" spans="1:32" ht="13.5" customHeight="1">
      <c r="A37" s="2"/>
    </row>
    <row r="38" spans="1:32" ht="13.5" customHeight="1">
      <c r="A38" s="2"/>
    </row>
    <row r="39" spans="1:32" ht="13.5" customHeight="1">
      <c r="A39" s="2"/>
    </row>
    <row r="40" spans="1:32" ht="13.5" customHeight="1">
      <c r="A40" s="2"/>
    </row>
    <row r="41" spans="1:32" ht="13.5" customHeight="1">
      <c r="A41" s="2"/>
    </row>
    <row r="42" spans="1:32" ht="13.5" customHeight="1">
      <c r="A42" s="2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45">
    <mergeCell ref="B2:AF4"/>
    <mergeCell ref="B42:AF42"/>
    <mergeCell ref="B5:AF6"/>
    <mergeCell ref="B8:G10"/>
    <mergeCell ref="H8:J10"/>
    <mergeCell ref="K8:M10"/>
    <mergeCell ref="N8:P10"/>
    <mergeCell ref="B11:G11"/>
    <mergeCell ref="H11:J11"/>
    <mergeCell ref="K11:M11"/>
    <mergeCell ref="N11:P11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15:G15"/>
    <mergeCell ref="H15:J15"/>
    <mergeCell ref="K15:M15"/>
    <mergeCell ref="N15:P15"/>
    <mergeCell ref="B16:G16"/>
    <mergeCell ref="H16:J16"/>
    <mergeCell ref="K16:M16"/>
    <mergeCell ref="N16:P16"/>
    <mergeCell ref="B17:G17"/>
    <mergeCell ref="H17:J17"/>
    <mergeCell ref="K17:M17"/>
    <mergeCell ref="N17:P17"/>
    <mergeCell ref="B18:G18"/>
    <mergeCell ref="H18:J18"/>
    <mergeCell ref="K18:M18"/>
    <mergeCell ref="N18:P18"/>
    <mergeCell ref="B19:G19"/>
    <mergeCell ref="H19:J19"/>
    <mergeCell ref="K19:M19"/>
    <mergeCell ref="N19:P19"/>
    <mergeCell ref="B24:P25"/>
    <mergeCell ref="B26:P27"/>
  </mergeCells>
  <conditionalFormatting sqref="B24:P39">
    <cfRule type="notContainsBlanks" dxfId="2" priority="1">
      <formula>LEN(TRIM(B24))&gt;0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1" width="6" customWidth="1"/>
    <col min="32" max="32" width="11.28515625" customWidth="1"/>
  </cols>
  <sheetData>
    <row r="2" spans="1:32" ht="13.5" customHeight="1">
      <c r="A2" s="2"/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3.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3.5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3.5" customHeight="1">
      <c r="A5" s="2"/>
      <c r="B5" s="1" t="s">
        <v>44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3.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3.5" customHeight="1">
      <c r="A7" s="2"/>
    </row>
    <row r="8" spans="1:32" ht="13.5" customHeight="1">
      <c r="A8" s="2"/>
      <c r="O8" s="4" t="s">
        <v>26</v>
      </c>
      <c r="P8" s="4"/>
      <c r="Q8" s="4"/>
      <c r="R8" s="4"/>
      <c r="S8" s="4"/>
      <c r="T8" s="4" t="s">
        <v>27</v>
      </c>
      <c r="U8" s="4"/>
      <c r="V8" s="4" t="s">
        <v>28</v>
      </c>
      <c r="W8" s="4"/>
      <c r="X8" s="4" t="s">
        <v>29</v>
      </c>
      <c r="Y8" s="4"/>
      <c r="Z8" s="4" t="s">
        <v>30</v>
      </c>
      <c r="AA8" s="4"/>
      <c r="AB8" s="4" t="s">
        <v>31</v>
      </c>
      <c r="AC8" s="4"/>
      <c r="AD8" s="4" t="s">
        <v>32</v>
      </c>
      <c r="AE8" s="4"/>
      <c r="AF8" s="4" t="s">
        <v>33</v>
      </c>
    </row>
    <row r="9" spans="1:32" ht="13.5" customHeight="1">
      <c r="A9" s="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3.5" customHeight="1">
      <c r="A10" s="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3.5" customHeight="1">
      <c r="A11" s="2"/>
      <c r="O11" s="9" t="s">
        <v>34</v>
      </c>
      <c r="P11" s="9"/>
      <c r="Q11" s="9"/>
      <c r="R11" s="9"/>
      <c r="S11" s="9"/>
      <c r="T11" s="9">
        <f>IF(COUNT(T12,T13,T14,T15,T16,T17,T18,T19)=8,SUM(T12,T13,T14,T15,T16,T17,T18,T19),"n.d.")</f>
        <v>9786939.1626864</v>
      </c>
      <c r="U11" s="9"/>
      <c r="V11" s="9">
        <f>IF(COUNT('GraphData'!B66,'GraphData'!C66,'GraphData'!D66,'GraphData'!E66,'GraphData'!F66,'GraphData'!G66,'GraphData'!H66,'GraphData'!I66)=8,SUM('GraphData'!B66,'GraphData'!C66,'GraphData'!D66,'GraphData'!E66,'GraphData'!F66,'GraphData'!G66,'GraphData'!H66,'GraphData'!I66),"n.d.")</f>
        <v>11746029.095936028</v>
      </c>
      <c r="W11" s="9"/>
      <c r="X11" s="9">
        <f>IF(COUNT('GraphData'!B67,'GraphData'!C67,'GraphData'!D67,'GraphData'!E67,'GraphData'!F67,'GraphData'!G67,'GraphData'!H67,'GraphData'!I67)=8,SUM('GraphData'!B67,'GraphData'!C67,'GraphData'!D67,'GraphData'!E67,'GraphData'!F67,'GraphData'!G67,'GraphData'!H67,'GraphData'!I67),"n.d.")</f>
        <v>10747161.183499487</v>
      </c>
      <c r="Y11" s="9"/>
      <c r="Z11" s="9">
        <f>IF(COUNT('GraphData'!B68,'GraphData'!C68,'GraphData'!D68,'GraphData'!E68,'GraphData'!F68,'GraphData'!G68,'GraphData'!H68,'GraphData'!I68)=8,SUM('GraphData'!B68,'GraphData'!C68,'GraphData'!D68,'GraphData'!E68,'GraphData'!F68,'GraphData'!G68,'GraphData'!H68,'GraphData'!I68),"n.d.")</f>
        <v>10554155.767126063</v>
      </c>
      <c r="AA11" s="9"/>
      <c r="AB11" s="9">
        <f>IF(COUNT('GraphData'!B69,'GraphData'!C69,'GraphData'!D69,'GraphData'!E69,'GraphData'!F69,'GraphData'!G69,'GraphData'!H69,'GraphData'!I69)=8,SUM('GraphData'!B69,'GraphData'!C69,'GraphData'!D69,'GraphData'!E69,'GraphData'!F69,'GraphData'!G69,'GraphData'!H69,'GraphData'!I69),"n.d.")</f>
        <v>9846527.426004793</v>
      </c>
      <c r="AC11" s="9"/>
      <c r="AD11" s="9">
        <f>IF(COUNT('GraphData'!B70,'GraphData'!C70,'GraphData'!D70,'GraphData'!E70,'GraphData'!F70,'GraphData'!G70,'GraphData'!H70,'GraphData'!I70)=8,SUM('GraphData'!B70,'GraphData'!C70,'GraphData'!D70,'GraphData'!E70,'GraphData'!F70,'GraphData'!G70,'GraphData'!H70,'GraphData'!I70),"n.d.")</f>
        <v>7446068.309908458</v>
      </c>
      <c r="AE11" s="9"/>
      <c r="AF11" s="9">
        <f>IF(COUNT('GraphData'!B71,'GraphData'!C71,'GraphData'!D71,'GraphData'!E71,'GraphData'!F71,'GraphData'!G71,'GraphData'!H71,'GraphData'!I71)=8,SUM('GraphData'!B71,'GraphData'!C71,'GraphData'!D71,'GraphData'!E71,'GraphData'!F71,'GraphData'!G71,'GraphData'!H71,'GraphData'!I71),"n.d.")</f>
        <v>8381693.1936435755</v>
      </c>
    </row>
    <row r="12" spans="1:32" ht="13.5" customHeight="1">
      <c r="A12" s="2"/>
      <c r="O12" s="5" t="s">
        <v>7</v>
      </c>
      <c r="P12" s="5"/>
      <c r="Q12" s="5"/>
      <c r="R12" s="5"/>
      <c r="S12" s="5"/>
      <c r="T12" s="6">
        <f>IF(OR(COUNTIFS('Consolidation'!$A$6:$A$47,"2026Q3",'Consolidation'!$B$6:$B$47,"ES")&lt;&gt;1,COUNTIFS('Consolidation'!$A$6:$A$47,"2026Q3",'Consolidation'!$B$6:$B$47,"ES",'Consolidation'!$W$6:$W$47,"n.d.")&gt;0),"n.d.",SUMIFS('Consolidation'!$W$6:$W$47,'Consolidation'!$A$6:$A$47,"2026Q3",'Consolidation'!$B$6:$B$47,"ES"))</f>
        <v>3416903.3333333335</v>
      </c>
      <c r="U12" s="6"/>
      <c r="V12" s="6">
        <f>IF(ISNUMBER('GraphData'!B66),'GraphData'!B66,"n.d.")</f>
        <v>3475518.0</v>
      </c>
      <c r="W12" s="6"/>
      <c r="X12" s="6">
        <f>IF(ISNUMBER('GraphData'!B67),'GraphData'!B67,"n.d.")</f>
        <v>3162844.0</v>
      </c>
      <c r="Y12" s="6"/>
      <c r="Z12" s="6">
        <f>IF(ISNUMBER('GraphData'!B68),'GraphData'!B68,"n.d.")</f>
        <v>4107101.0</v>
      </c>
      <c r="AA12" s="6"/>
      <c r="AB12" s="6">
        <f>IF(ISNUMBER('GraphData'!B69),'GraphData'!B69,"n.d.")</f>
        <v>3892550.0</v>
      </c>
      <c r="AC12" s="6"/>
      <c r="AD12" s="6">
        <f>IF(ISNUMBER('GraphData'!B70),'GraphData'!B70,"n.d.")</f>
        <v>2506521.0</v>
      </c>
      <c r="AE12" s="6"/>
      <c r="AF12" s="6">
        <f>IF(ISNUMBER('GraphData'!B71),'GraphData'!B71,"n.d.")</f>
        <v>3356886.0</v>
      </c>
    </row>
    <row r="13" spans="1:32" ht="13.5" customHeight="1">
      <c r="A13" s="2"/>
      <c r="O13" s="5" t="s">
        <v>8</v>
      </c>
      <c r="P13" s="5"/>
      <c r="Q13" s="5"/>
      <c r="R13" s="5"/>
      <c r="S13" s="5"/>
      <c r="T13" s="6">
        <f>IF(COUNT(IF(OR(COUNTIFS('Consolidation'!$A$6:$A$47,"2026Q3",'Consolidation'!$B$6:$B$47,"DE")&lt;&gt;1,COUNTIFS('Consolidation'!$A$6:$A$47,"2026Q3",'Consolidation'!$B$6:$B$47,"DE",'Consolidation'!$W$6:$W$47,"n.d.")&gt;0),"n.d.",SUMIFS('Consolidation'!$W$6:$W$47,'Consolidation'!$A$6:$A$47,"2026Q3",'Consolidation'!$B$6:$B$47,"DE")),IF(OR(COUNTIFS('Consolidation'!$A$6:$A$47,"2026Q3",'Consolidation'!$B$6:$B$47,"AT")&lt;&gt;1,COUNTIFS('Consolidation'!$A$6:$A$47,"2026Q3",'Consolidation'!$B$6:$B$47,"AT",'Consolidation'!$W$6:$W$47,"n.d.")&gt;0),"n.d.",SUMIFS('Consolidation'!$W$6:$W$47,'Consolidation'!$A$6:$A$47,"2026Q3",'Consolidation'!$B$6:$B$47,"AT")))=2,SUM(IF(OR(COUNTIFS('Consolidation'!$A$6:$A$47,"2026Q3",'Consolidation'!$B$6:$B$47,"DE")&lt;&gt;1,COUNTIFS('Consolidation'!$A$6:$A$47,"2026Q3",'Consolidation'!$B$6:$B$47,"DE",'Consolidation'!$W$6:$W$47,"n.d.")&gt;0),"n.d.",SUMIFS('Consolidation'!$W$6:$W$47,'Consolidation'!$A$6:$A$47,"2026Q3",'Consolidation'!$B$6:$B$47,"DE")),IF(OR(COUNTIFS('Consolidation'!$A$6:$A$47,"2026Q3",'Consolidation'!$B$6:$B$47,"AT")&lt;&gt;1,COUNTIFS('Consolidation'!$A$6:$A$47,"2026Q3",'Consolidation'!$B$6:$B$47,"AT",'Consolidation'!$W$6:$W$47,"n.d.")&gt;0),"n.d.",SUMIFS('Consolidation'!$W$6:$W$47,'Consolidation'!$A$6:$A$47,"2026Q3",'Consolidation'!$B$6:$B$47,"AT"))),"n.d.")</f>
        <v>843920.0</v>
      </c>
      <c r="U13" s="6"/>
      <c r="V13" s="6">
        <f>IF(ISNUMBER('GraphData'!C66),'GraphData'!C66,"n.d.")</f>
        <v>781466.0</v>
      </c>
      <c r="W13" s="6"/>
      <c r="X13" s="6">
        <f>IF(ISNUMBER('GraphData'!C67),'GraphData'!C67,"n.d.")</f>
        <v>689718.0</v>
      </c>
      <c r="Y13" s="6"/>
      <c r="Z13" s="6">
        <f>IF(ISNUMBER('GraphData'!C68),'GraphData'!C68,"n.d.")</f>
        <v>808135.0</v>
      </c>
      <c r="AA13" s="6"/>
      <c r="AB13" s="6">
        <f>IF(ISNUMBER('GraphData'!C69),'GraphData'!C69,"n.d.")</f>
        <v>954954.0</v>
      </c>
      <c r="AC13" s="6"/>
      <c r="AD13" s="6">
        <f>IF(ISNUMBER('GraphData'!C70),'GraphData'!C70,"n.d.")</f>
        <v>977254.0</v>
      </c>
      <c r="AE13" s="6"/>
      <c r="AF13" s="6">
        <f>IF(ISNUMBER('GraphData'!C71),'GraphData'!C71,"n.d.")</f>
        <v>851993.0</v>
      </c>
    </row>
    <row r="14" spans="1:32" ht="13.5" customHeight="1">
      <c r="A14" s="2"/>
      <c r="O14" s="5" t="s">
        <v>9</v>
      </c>
      <c r="P14" s="5"/>
      <c r="Q14" s="5"/>
      <c r="R14" s="5"/>
      <c r="S14" s="5"/>
      <c r="T14" s="6">
        <f>IF(OR(COUNTIFS('Consolidation'!$A$6:$A$47,"2026Q3",'Consolidation'!$B$6:$B$47,"BE")&lt;&gt;1,COUNTIFS('Consolidation'!$A$6:$A$47,"2026Q3",'Consolidation'!$B$6:$B$47,"BE",'Consolidation'!$W$6:$W$47,"n.d.")&gt;0),"n.d.",SUMIFS('Consolidation'!$W$6:$W$47,'Consolidation'!$A$6:$A$47,"2026Q3",'Consolidation'!$B$6:$B$47,"BE"))</f>
        <v>86982.16666666667</v>
      </c>
      <c r="U14" s="6"/>
      <c r="V14" s="6">
        <f>IF(ISNUMBER('GraphData'!D66),'GraphData'!D66,"n.d.")</f>
        <v>105005.0</v>
      </c>
      <c r="W14" s="6"/>
      <c r="X14" s="6">
        <f>IF(ISNUMBER('GraphData'!D67),'GraphData'!D67,"n.d.")</f>
        <v>68164.0</v>
      </c>
      <c r="Y14" s="6"/>
      <c r="Z14" s="6">
        <f>IF(ISNUMBER('GraphData'!D68),'GraphData'!D68,"n.d.")</f>
        <v>104341.0</v>
      </c>
      <c r="AA14" s="6"/>
      <c r="AB14" s="6">
        <f>IF(ISNUMBER('GraphData'!D69),'GraphData'!D69,"n.d.")</f>
        <v>71809.0</v>
      </c>
      <c r="AC14" s="6"/>
      <c r="AD14" s="6">
        <f>IF(ISNUMBER('GraphData'!D70),'GraphData'!D70,"n.d.")</f>
        <v>119870.0</v>
      </c>
      <c r="AE14" s="6"/>
      <c r="AF14" s="6">
        <f>IF(ISNUMBER('GraphData'!D71),'GraphData'!D71,"n.d.")</f>
        <v>52704.0</v>
      </c>
    </row>
    <row r="15" spans="1:32" ht="13.5" customHeight="1">
      <c r="A15" s="2"/>
      <c r="O15" s="5" t="s">
        <v>10</v>
      </c>
      <c r="P15" s="5"/>
      <c r="Q15" s="5"/>
      <c r="R15" s="5"/>
      <c r="S15" s="5"/>
      <c r="T15" s="6">
        <f>IF(OR(COUNTIFS('Consolidation'!$A$6:$A$47,"2026Q3",'Consolidation'!$B$6:$B$47,"IT")&lt;&gt;1,COUNTIFS('Consolidation'!$A$6:$A$47,"2026Q3",'Consolidation'!$B$6:$B$47,"IT",'Consolidation'!$W$6:$W$47,"n.d.")&gt;0),"n.d.",SUMIFS('Consolidation'!$W$6:$W$47,'Consolidation'!$A$6:$A$47,"2026Q3",'Consolidation'!$B$6:$B$47,"IT"))</f>
        <v>1092477.8333333333</v>
      </c>
      <c r="U15" s="6"/>
      <c r="V15" s="6">
        <f>IF(ISNUMBER('GraphData'!E66),'GraphData'!E66,"n.d.")</f>
        <v>1199204.0</v>
      </c>
      <c r="W15" s="6"/>
      <c r="X15" s="6">
        <f>IF(ISNUMBER('GraphData'!E67),'GraphData'!E67,"n.d.")</f>
        <v>1425617.0</v>
      </c>
      <c r="Y15" s="6"/>
      <c r="Z15" s="6">
        <f>IF(ISNUMBER('GraphData'!E68),'GraphData'!E68,"n.d.")</f>
        <v>977488.0</v>
      </c>
      <c r="AA15" s="6"/>
      <c r="AB15" s="6">
        <f>IF(ISNUMBER('GraphData'!E69),'GraphData'!E69,"n.d.")</f>
        <v>1234017.0</v>
      </c>
      <c r="AC15" s="6"/>
      <c r="AD15" s="6">
        <f>IF(ISNUMBER('GraphData'!E70),'GraphData'!E70,"n.d.")</f>
        <v>898183.0</v>
      </c>
      <c r="AE15" s="6"/>
      <c r="AF15" s="6">
        <f>IF(ISNUMBER('GraphData'!E71),'GraphData'!E71,"n.d.")</f>
        <v>820358.0</v>
      </c>
    </row>
    <row r="16" spans="1:32" ht="13.5" customHeight="1">
      <c r="A16" s="2"/>
      <c r="O16" s="5" t="s">
        <v>11</v>
      </c>
      <c r="P16" s="5"/>
      <c r="Q16" s="5"/>
      <c r="R16" s="5"/>
      <c r="S16" s="5"/>
      <c r="T16" s="6">
        <f>IF(OR(COUNTIFS('Consolidation'!$A$6:$A$47,"2026Q3",'Consolidation'!$B$6:$B$47,"PT")&lt;&gt;1,COUNTIFS('Consolidation'!$A$6:$A$47,"2026Q3",'Consolidation'!$B$6:$B$47,"PT",'Consolidation'!$W$6:$W$47,"n.d.")&gt;0),"n.d.",SUMIFS('Consolidation'!$W$6:$W$47,'Consolidation'!$A$6:$A$47,"2026Q3",'Consolidation'!$B$6:$B$47,"PT"))</f>
        <v>2355231.6666666665</v>
      </c>
      <c r="U16" s="6"/>
      <c r="V16" s="6">
        <f>IF(ISNUMBER('GraphData'!F66),'GraphData'!F66,"n.d.")</f>
        <v>4060466.0</v>
      </c>
      <c r="W16" s="6"/>
      <c r="X16" s="6">
        <f>IF(ISNUMBER('GraphData'!F67),'GraphData'!F67,"n.d.")</f>
        <v>3650675.0</v>
      </c>
      <c r="Y16" s="6"/>
      <c r="Z16" s="6">
        <f>IF(ISNUMBER('GraphData'!F68),'GraphData'!F68,"n.d.")</f>
        <v>2534318.0</v>
      </c>
      <c r="AA16" s="6"/>
      <c r="AB16" s="6">
        <f>IF(ISNUMBER('GraphData'!F69),'GraphData'!F69,"n.d.")</f>
        <v>1649935.0</v>
      </c>
      <c r="AC16" s="6"/>
      <c r="AD16" s="6">
        <f>IF(ISNUMBER('GraphData'!F70),'GraphData'!F70,"n.d.")</f>
        <v>1234586.0</v>
      </c>
      <c r="AE16" s="6"/>
      <c r="AF16" s="6">
        <f>IF(ISNUMBER('GraphData'!F71),'GraphData'!F71,"n.d.")</f>
        <v>1001410.0</v>
      </c>
    </row>
    <row r="17" spans="1:32" ht="13.5" customHeight="1">
      <c r="A17" s="2"/>
      <c r="O17" s="5" t="s">
        <v>12</v>
      </c>
      <c r="P17" s="5"/>
      <c r="Q17" s="5"/>
      <c r="R17" s="5"/>
      <c r="S17" s="5"/>
      <c r="T17" s="6">
        <f>IF(OR(COUNTIFS('Consolidation'!$A$6:$A$47,"2026Q3",'Consolidation'!$B$6:$B$47,"FR")&lt;&gt;1,COUNTIFS('Consolidation'!$A$6:$A$47,"2026Q3",'Consolidation'!$B$6:$B$47,"FR",'Consolidation'!$W$6:$W$47,"n.d.")&gt;0),"n.d.",SUMIFS('Consolidation'!$W$6:$W$47,'Consolidation'!$A$6:$A$47,"2026Q3",'Consolidation'!$B$6:$B$47,"FR"))</f>
        <v>1574089.1666666667</v>
      </c>
      <c r="U17" s="6"/>
      <c r="V17" s="6">
        <f>IF(ISNUMBER('GraphData'!G66),'GraphData'!G66,"n.d.")</f>
        <v>1825315.0</v>
      </c>
      <c r="W17" s="6"/>
      <c r="X17" s="6">
        <f>IF(ISNUMBER('GraphData'!G67),'GraphData'!G67,"n.d.")</f>
        <v>1394486.0</v>
      </c>
      <c r="Y17" s="6"/>
      <c r="Z17" s="6">
        <f>IF(ISNUMBER('GraphData'!G68),'GraphData'!G68,"n.d.")</f>
        <v>1738908.0</v>
      </c>
      <c r="AA17" s="6"/>
      <c r="AB17" s="6">
        <f>IF(ISNUMBER('GraphData'!G69),'GraphData'!G69,"n.d.")</f>
        <v>1680101.0</v>
      </c>
      <c r="AC17" s="6"/>
      <c r="AD17" s="6">
        <f>IF(ISNUMBER('GraphData'!G70),'GraphData'!G70,"n.d.")</f>
        <v>1332248.0</v>
      </c>
      <c r="AE17" s="6"/>
      <c r="AF17" s="6">
        <f>IF(ISNUMBER('GraphData'!G71),'GraphData'!G71,"n.d.")</f>
        <v>1473477.0</v>
      </c>
    </row>
    <row r="18" spans="1:32" ht="13.5" customHeight="1">
      <c r="A18" s="2"/>
      <c r="O18" s="5" t="s">
        <v>13</v>
      </c>
      <c r="P18" s="5"/>
      <c r="Q18" s="5"/>
      <c r="R18" s="5"/>
      <c r="S18" s="5"/>
      <c r="T18" s="6">
        <f>IF(OR(COUNTIFS('Consolidation'!$A$6:$A$47,"2026Q3",'Consolidation'!$B$6:$B$47,"UK")&lt;&gt;1,COUNTIFS('Consolidation'!$A$6:$A$47,"2026Q3",'Consolidation'!$B$6:$B$47,"UK",'Consolidation'!$W$6:$W$47,"n.d.")&gt;0),"n.d.",SUMIFS('Consolidation'!$W$6:$W$47,'Consolidation'!$A$6:$A$47,"2026Q3",'Consolidation'!$B$6:$B$47,"UK"))</f>
        <v>211307.18130173243</v>
      </c>
      <c r="U18" s="6"/>
      <c r="V18" s="6">
        <f>IF(ISNUMBER('GraphData'!H66),'GraphData'!H66,"n.d.")</f>
        <v>120964.31436859925</v>
      </c>
      <c r="W18" s="6"/>
      <c r="X18" s="6">
        <f>IF(ISNUMBER('GraphData'!H67),'GraphData'!H67,"n.d.")</f>
        <v>170612.39652958023</v>
      </c>
      <c r="Y18" s="6"/>
      <c r="Z18" s="6">
        <f>IF(ISNUMBER('GraphData'!H68),'GraphData'!H68,"n.d.")</f>
        <v>93546.15777669192</v>
      </c>
      <c r="AA18" s="6"/>
      <c r="AB18" s="6">
        <f>IF(ISNUMBER('GraphData'!H69),'GraphData'!H69,"n.d.")</f>
        <v>134405.9641085598</v>
      </c>
      <c r="AC18" s="6"/>
      <c r="AD18" s="6">
        <f>IF(ISNUMBER('GraphData'!H70),'GraphData'!H70,"n.d.")</f>
        <v>157081.79899856725</v>
      </c>
      <c r="AE18" s="6"/>
      <c r="AF18" s="6">
        <f>IF(ISNUMBER('GraphData'!H71),'GraphData'!H71,"n.d.")</f>
        <v>591232.4560283961</v>
      </c>
    </row>
    <row r="19" spans="1:32" ht="13.5" customHeight="1">
      <c r="A19" s="2"/>
      <c r="O19" s="5" t="s">
        <v>14</v>
      </c>
      <c r="P19" s="5"/>
      <c r="Q19" s="5"/>
      <c r="R19" s="5"/>
      <c r="S19" s="5"/>
      <c r="T19" s="6">
        <f>IF(OR(COUNTIFS('Consolidation'!$A$6:$A$47,"2026Q3",'Consolidation'!$B$6:$B$47,"ZA")&lt;&gt;1,COUNTIFS('Consolidation'!$A$6:$A$47,"2026Q3",'Consolidation'!$B$6:$B$47,"ZA",'Consolidation'!$W$6:$W$47,"n.d.")&gt;0),"n.d.",SUMIFS('Consolidation'!$W$6:$W$47,'Consolidation'!$A$6:$A$47,"2026Q3",'Consolidation'!$B$6:$B$47,"ZA"))</f>
        <v>206027.81471800187</v>
      </c>
      <c r="U19" s="6"/>
      <c r="V19" s="6">
        <f>IF(ISNUMBER('GraphData'!I66),'GraphData'!I66,"n.d.")</f>
        <v>178090.78156742858</v>
      </c>
      <c r="W19" s="6"/>
      <c r="X19" s="6">
        <f>IF(ISNUMBER('GraphData'!I67),'GraphData'!I67,"n.d.")</f>
        <v>185044.78696990738</v>
      </c>
      <c r="Y19" s="6"/>
      <c r="Z19" s="6">
        <f>IF(ISNUMBER('GraphData'!I68),'GraphData'!I68,"n.d.")</f>
        <v>190318.60934937032</v>
      </c>
      <c r="AA19" s="6"/>
      <c r="AB19" s="6">
        <f>IF(ISNUMBER('GraphData'!I69),'GraphData'!I69,"n.d.")</f>
        <v>228755.46189623384</v>
      </c>
      <c r="AC19" s="6"/>
      <c r="AD19" s="6">
        <f>IF(ISNUMBER('GraphData'!I70),'GraphData'!I70,"n.d.")</f>
        <v>220324.51090989122</v>
      </c>
      <c r="AE19" s="6"/>
      <c r="AF19" s="6">
        <f>IF(ISNUMBER('GraphData'!I71),'GraphData'!I71,"n.d.")</f>
        <v>233632.7376151798</v>
      </c>
    </row>
    <row r="20" spans="1:32" ht="13.5" customHeight="1">
      <c r="A20" s="2"/>
    </row>
    <row r="21" spans="1:32" ht="13.5" customHeight="1">
      <c r="A21" s="2"/>
    </row>
    <row r="22" spans="1:32" ht="13.5" customHeight="1">
      <c r="A22" s="2"/>
      <c r="O22" s="4" t="s">
        <v>35</v>
      </c>
      <c r="P22" s="4"/>
      <c r="Q22" s="4"/>
      <c r="R22" s="4"/>
      <c r="S22" s="4"/>
      <c r="T22" s="4" t="s">
        <v>36</v>
      </c>
      <c r="U22" s="4"/>
      <c r="V22" s="4"/>
      <c r="W22" s="4"/>
      <c r="X22" s="4"/>
      <c r="Y22" s="4"/>
      <c r="Z22" s="4" t="s">
        <v>37</v>
      </c>
      <c r="AA22" s="4"/>
      <c r="AB22" s="4"/>
      <c r="AC22" s="4"/>
      <c r="AD22" s="4"/>
      <c r="AE22" s="4"/>
      <c r="AF22" s="4"/>
    </row>
    <row r="23" spans="1:32" ht="13.5" customHeight="1">
      <c r="A23" s="2"/>
      <c r="O23" s="4"/>
      <c r="P23" s="4"/>
      <c r="Q23" s="4"/>
      <c r="R23" s="4"/>
      <c r="S23" s="4"/>
      <c r="T23" s="4" t="s">
        <v>38</v>
      </c>
      <c r="U23" s="4"/>
      <c r="V23" s="4"/>
      <c r="W23" s="4" t="s">
        <v>5</v>
      </c>
      <c r="X23" s="4"/>
      <c r="Y23" s="4"/>
      <c r="Z23" s="4" t="s">
        <v>38</v>
      </c>
      <c r="AA23" s="4"/>
      <c r="AB23" s="4"/>
      <c r="AC23" s="4" t="s">
        <v>5</v>
      </c>
      <c r="AD23" s="4"/>
      <c r="AE23" s="4"/>
      <c r="AF23" s="4"/>
    </row>
    <row r="24" spans="1:32" ht="13.5" customHeight="1">
      <c r="A24" s="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3.5" customHeight="1">
      <c r="A25" s="2"/>
      <c r="O25" s="5" t="s">
        <v>7</v>
      </c>
      <c r="P25" s="5"/>
      <c r="Q25" s="5"/>
      <c r="R25" s="5"/>
      <c r="S25" s="5"/>
      <c r="T25" s="7">
        <f>'GraphData'!D77</f>
        <v>0.9931642617902213</v>
      </c>
      <c r="U25" s="7"/>
      <c r="V25" s="7"/>
      <c r="W25" s="7">
        <f>'GraphData'!E77</f>
        <v>0.9859807948052636</v>
      </c>
      <c r="X25" s="7"/>
      <c r="Y25" s="7"/>
      <c r="Z25" s="7">
        <f>'GraphData'!B77</f>
        <v>0.9894054395951929</v>
      </c>
      <c r="AA25" s="7"/>
      <c r="AB25" s="7"/>
      <c r="AC25" s="7">
        <f>'GraphData'!C77</f>
        <v>0.9539307475107742</v>
      </c>
      <c r="AD25" s="7"/>
      <c r="AE25" s="7"/>
      <c r="AF25" s="7"/>
    </row>
    <row r="26" spans="1:32" ht="13.5" customHeight="1">
      <c r="A26" s="2"/>
      <c r="O26" s="5" t="s">
        <v>8</v>
      </c>
      <c r="P26" s="5"/>
      <c r="Q26" s="5"/>
      <c r="R26" s="5"/>
      <c r="S26" s="5"/>
      <c r="T26" s="7">
        <f>'GraphData'!D78</f>
        <v>0.7104560896824842</v>
      </c>
      <c r="U26" s="7"/>
      <c r="V26" s="7"/>
      <c r="W26" s="7">
        <f>'GraphData'!E78</f>
        <v>0.8537773876278687</v>
      </c>
      <c r="X26" s="7"/>
      <c r="Y26" s="7"/>
      <c r="Z26" s="7">
        <f>'GraphData'!B78</f>
        <v>0.6015087641446638</v>
      </c>
      <c r="AA26" s="7"/>
      <c r="AB26" s="7"/>
      <c r="AC26" s="7">
        <f>'GraphData'!C78</f>
        <v>0.581422283993514</v>
      </c>
      <c r="AD26" s="7"/>
      <c r="AE26" s="7"/>
      <c r="AF26" s="7"/>
    </row>
    <row r="27" spans="1:32" ht="13.5" customHeight="1">
      <c r="A27" s="2"/>
      <c r="O27" s="5" t="s">
        <v>9</v>
      </c>
      <c r="P27" s="5"/>
      <c r="Q27" s="5"/>
      <c r="R27" s="5"/>
      <c r="S27" s="5"/>
      <c r="T27" s="7">
        <f>'GraphData'!D79</f>
        <v>1.0</v>
      </c>
      <c r="U27" s="7"/>
      <c r="V27" s="7"/>
      <c r="W27" s="7">
        <f>'GraphData'!E79</f>
        <v>1.0</v>
      </c>
      <c r="X27" s="7"/>
      <c r="Y27" s="7"/>
      <c r="Z27" s="7">
        <f>'GraphData'!B79</f>
        <v>1.0</v>
      </c>
      <c r="AA27" s="7"/>
      <c r="AB27" s="7"/>
      <c r="AC27" s="7">
        <f>'GraphData'!C79</f>
        <v>1.0</v>
      </c>
      <c r="AD27" s="7"/>
      <c r="AE27" s="7"/>
      <c r="AF27" s="7"/>
    </row>
    <row r="28" spans="1:32" ht="13.5" customHeight="1">
      <c r="A28" s="2"/>
      <c r="O28" s="5" t="s">
        <v>10</v>
      </c>
      <c r="P28" s="5"/>
      <c r="Q28" s="5"/>
      <c r="R28" s="5"/>
      <c r="S28" s="5"/>
      <c r="T28" s="7">
        <f>'GraphData'!D80</f>
        <v>0.984378465262362</v>
      </c>
      <c r="U28" s="7"/>
      <c r="V28" s="7"/>
      <c r="W28" s="7">
        <f>'GraphData'!E80</f>
        <v>0.97577393004026</v>
      </c>
      <c r="X28" s="7"/>
      <c r="Y28" s="7"/>
      <c r="Z28" s="7">
        <f>'GraphData'!B80</f>
        <v>0.9484958979033729</v>
      </c>
      <c r="AA28" s="7"/>
      <c r="AB28" s="7"/>
      <c r="AC28" s="7">
        <f>'GraphData'!C80</f>
        <v>0.9370393767108866</v>
      </c>
      <c r="AD28" s="7"/>
      <c r="AE28" s="7"/>
      <c r="AF28" s="7"/>
    </row>
    <row r="29" spans="1:32" ht="13.5" customHeight="1">
      <c r="A29" s="2"/>
      <c r="O29" s="5" t="s">
        <v>11</v>
      </c>
      <c r="P29" s="5"/>
      <c r="Q29" s="5"/>
      <c r="R29" s="5"/>
      <c r="S29" s="5"/>
      <c r="T29" s="7">
        <f>'GraphData'!D81</f>
        <v>0.9911539948773356</v>
      </c>
      <c r="U29" s="7"/>
      <c r="V29" s="7"/>
      <c r="W29" s="7">
        <f>'GraphData'!E81</f>
        <v>0.996970298482982</v>
      </c>
      <c r="X29" s="7"/>
      <c r="Y29" s="7"/>
      <c r="Z29" s="7">
        <f>'GraphData'!B81</f>
        <v>0.6078777189888301</v>
      </c>
      <c r="AA29" s="7"/>
      <c r="AB29" s="7"/>
      <c r="AC29" s="7">
        <f>'GraphData'!C81</f>
        <v>0.9398592450415867</v>
      </c>
      <c r="AD29" s="7"/>
      <c r="AE29" s="7"/>
      <c r="AF29" s="7"/>
    </row>
    <row r="30" spans="1:32" ht="13.5" customHeight="1">
      <c r="A30" s="2"/>
      <c r="O30" s="5" t="s">
        <v>12</v>
      </c>
      <c r="P30" s="5"/>
      <c r="Q30" s="5"/>
      <c r="R30" s="5"/>
      <c r="S30" s="5"/>
      <c r="T30" s="7">
        <f>'GraphData'!D82</f>
        <v>0.9777348442295094</v>
      </c>
      <c r="U30" s="7"/>
      <c r="V30" s="7"/>
      <c r="W30" s="7">
        <f>'GraphData'!E82</f>
        <v>1.0</v>
      </c>
      <c r="X30" s="7"/>
      <c r="Y30" s="7"/>
      <c r="Z30" s="7">
        <f>'GraphData'!B82</f>
        <v>0.9403706688154714</v>
      </c>
      <c r="AA30" s="7"/>
      <c r="AB30" s="7"/>
      <c r="AC30" s="7">
        <f>'GraphData'!C82</f>
        <v>1.0</v>
      </c>
      <c r="AD30" s="7"/>
      <c r="AE30" s="7"/>
      <c r="AF30" s="7"/>
    </row>
    <row r="31" spans="1:32" ht="13.5" customHeight="1">
      <c r="A31" s="2"/>
      <c r="O31" s="5" t="s">
        <v>13</v>
      </c>
      <c r="P31" s="5"/>
      <c r="Q31" s="5"/>
      <c r="R31" s="5"/>
      <c r="S31" s="5"/>
      <c r="T31" s="7">
        <f>'GraphData'!D83</f>
        <v>0.6731999072202525</v>
      </c>
      <c r="U31" s="7"/>
      <c r="V31" s="7"/>
      <c r="W31" s="7">
        <f>'GraphData'!E83</f>
        <v>0.793132474166957</v>
      </c>
      <c r="X31" s="7"/>
      <c r="Y31" s="7"/>
      <c r="Z31" s="7">
        <f>'GraphData'!B83</f>
        <v>0.30129752564876283</v>
      </c>
      <c r="AA31" s="7"/>
      <c r="AB31" s="7"/>
      <c r="AC31" s="7">
        <f>'GraphData'!C83</f>
        <v>0.6951945080091533</v>
      </c>
      <c r="AD31" s="7"/>
      <c r="AE31" s="7"/>
      <c r="AF31" s="7"/>
    </row>
    <row r="32" spans="1:32" ht="13.5" customHeight="1">
      <c r="A32" s="2"/>
      <c r="O32" s="5" t="s">
        <v>14</v>
      </c>
      <c r="P32" s="5"/>
      <c r="Q32" s="5"/>
      <c r="R32" s="5"/>
      <c r="S32" s="5"/>
      <c r="T32" s="7">
        <f>'GraphData'!D84</f>
        <v>0.6493430482328113</v>
      </c>
      <c r="U32" s="7"/>
      <c r="V32" s="7"/>
      <c r="W32" s="7">
        <f>'GraphData'!E84</f>
        <v>0.6926903849986122</v>
      </c>
      <c r="X32" s="7"/>
      <c r="Y32" s="7"/>
      <c r="Z32" s="7">
        <f>'GraphData'!B84</f>
        <v>0.8549981233579382</v>
      </c>
      <c r="AA32" s="7"/>
      <c r="AB32" s="7"/>
      <c r="AC32" s="7">
        <f>'GraphData'!C84</f>
        <v>0.8571001494768311</v>
      </c>
      <c r="AD32" s="7"/>
      <c r="AE32" s="7"/>
      <c r="AF32" s="7"/>
    </row>
    <row r="33" spans="1:32" ht="13.5" customHeight="1">
      <c r="A33" s="2"/>
    </row>
    <row r="34" spans="1:32" ht="13.5" customHeight="1">
      <c r="A34" s="2"/>
      <c r="O34" s="1" t="s">
        <v>40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3.5" customHeight="1">
      <c r="A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3.5" customHeight="1">
      <c r="A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3.5" customHeight="1">
      <c r="A37" s="2"/>
    </row>
    <row r="38" spans="1:32" ht="13.5" customHeight="1">
      <c r="A38" s="2"/>
    </row>
    <row r="39" spans="1:32" ht="13.5" customHeight="1">
      <c r="A39" s="2"/>
    </row>
    <row r="40" spans="1:32" ht="13.5" customHeight="1">
      <c r="A40" s="2"/>
    </row>
    <row r="41" spans="1:32" ht="13.5" customHeight="1">
      <c r="A41" s="2"/>
    </row>
    <row r="42" spans="1:32" ht="13.5" customHeight="1">
      <c r="A42" s="2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122">
    <mergeCell ref="B2:AF4"/>
    <mergeCell ref="B42:AF42"/>
    <mergeCell ref="B5:AF6"/>
    <mergeCell ref="O8:S10"/>
    <mergeCell ref="T8:U10"/>
    <mergeCell ref="V8:W10"/>
    <mergeCell ref="X8:Y10"/>
    <mergeCell ref="Z8:AA10"/>
    <mergeCell ref="AB8:AC10"/>
    <mergeCell ref="AD8:AE10"/>
    <mergeCell ref="AF8:AF10"/>
    <mergeCell ref="O11:S11"/>
    <mergeCell ref="T11:U11"/>
    <mergeCell ref="V11:W11"/>
    <mergeCell ref="X11:Y11"/>
    <mergeCell ref="Z11:AA11"/>
    <mergeCell ref="AB11:AC11"/>
    <mergeCell ref="AD11:AE11"/>
    <mergeCell ref="O12:S12"/>
    <mergeCell ref="T12:U12"/>
    <mergeCell ref="V12:W12"/>
    <mergeCell ref="X12:Y12"/>
    <mergeCell ref="Z12:AA12"/>
    <mergeCell ref="AB12:AC12"/>
    <mergeCell ref="AD12:AE12"/>
    <mergeCell ref="O13:S13"/>
    <mergeCell ref="T13:U13"/>
    <mergeCell ref="V13:W13"/>
    <mergeCell ref="X13:Y13"/>
    <mergeCell ref="Z13:AA13"/>
    <mergeCell ref="AB13:AC13"/>
    <mergeCell ref="AD13:AE13"/>
    <mergeCell ref="O14:S14"/>
    <mergeCell ref="T14:U14"/>
    <mergeCell ref="V14:W14"/>
    <mergeCell ref="X14:Y14"/>
    <mergeCell ref="Z14:AA14"/>
    <mergeCell ref="AB14:AC14"/>
    <mergeCell ref="AD14:AE14"/>
    <mergeCell ref="O15:S15"/>
    <mergeCell ref="T15:U15"/>
    <mergeCell ref="V15:W15"/>
    <mergeCell ref="X15:Y15"/>
    <mergeCell ref="Z15:AA15"/>
    <mergeCell ref="AB15:AC15"/>
    <mergeCell ref="AD15:AE15"/>
    <mergeCell ref="O16:S16"/>
    <mergeCell ref="T16:U16"/>
    <mergeCell ref="V16:W16"/>
    <mergeCell ref="X16:Y16"/>
    <mergeCell ref="Z16:AA16"/>
    <mergeCell ref="AB16:AC16"/>
    <mergeCell ref="AD16:AE16"/>
    <mergeCell ref="O17:S17"/>
    <mergeCell ref="T17:U17"/>
    <mergeCell ref="V17:W17"/>
    <mergeCell ref="X17:Y17"/>
    <mergeCell ref="Z17:AA17"/>
    <mergeCell ref="AB17:AC17"/>
    <mergeCell ref="AD17:AE17"/>
    <mergeCell ref="O18:S18"/>
    <mergeCell ref="T18:U18"/>
    <mergeCell ref="V18:W18"/>
    <mergeCell ref="X18:Y18"/>
    <mergeCell ref="Z18:AA18"/>
    <mergeCell ref="AB18:AC18"/>
    <mergeCell ref="AD18:AE18"/>
    <mergeCell ref="O19:S19"/>
    <mergeCell ref="T19:U19"/>
    <mergeCell ref="V19:W19"/>
    <mergeCell ref="X19:Y19"/>
    <mergeCell ref="Z19:AA19"/>
    <mergeCell ref="AB19:AC19"/>
    <mergeCell ref="AD19:AE19"/>
    <mergeCell ref="O22:S24"/>
    <mergeCell ref="T22:Y22"/>
    <mergeCell ref="Z22:AF22"/>
    <mergeCell ref="T23:V24"/>
    <mergeCell ref="W23:Y24"/>
    <mergeCell ref="Z23:AB24"/>
    <mergeCell ref="AC23:AF24"/>
    <mergeCell ref="O25:S25"/>
    <mergeCell ref="T25:V25"/>
    <mergeCell ref="W25:Y25"/>
    <mergeCell ref="Z25:AB25"/>
    <mergeCell ref="AC25:AF25"/>
    <mergeCell ref="O26:S26"/>
    <mergeCell ref="T26:V26"/>
    <mergeCell ref="W26:Y26"/>
    <mergeCell ref="Z26:AB26"/>
    <mergeCell ref="AC26:AF26"/>
    <mergeCell ref="O27:S27"/>
    <mergeCell ref="T27:V27"/>
    <mergeCell ref="W27:Y27"/>
    <mergeCell ref="Z27:AB27"/>
    <mergeCell ref="AC27:AF27"/>
    <mergeCell ref="O28:S28"/>
    <mergeCell ref="T28:V28"/>
    <mergeCell ref="W28:Y28"/>
    <mergeCell ref="Z28:AB28"/>
    <mergeCell ref="AC28:AF28"/>
    <mergeCell ref="O29:S29"/>
    <mergeCell ref="T29:V29"/>
    <mergeCell ref="W29:Y29"/>
    <mergeCell ref="Z29:AB29"/>
    <mergeCell ref="AC29:AF29"/>
    <mergeCell ref="O30:S30"/>
    <mergeCell ref="T30:V30"/>
    <mergeCell ref="W30:Y30"/>
    <mergeCell ref="Z30:AB30"/>
    <mergeCell ref="AC30:AF30"/>
    <mergeCell ref="O31:S31"/>
    <mergeCell ref="T31:V31"/>
    <mergeCell ref="W31:Y31"/>
    <mergeCell ref="Z31:AB31"/>
    <mergeCell ref="AC31:AF31"/>
    <mergeCell ref="O32:S32"/>
    <mergeCell ref="T32:V32"/>
    <mergeCell ref="W32:Y32"/>
    <mergeCell ref="Z32:AB32"/>
    <mergeCell ref="AC32:AF32"/>
    <mergeCell ref="O34:AF36"/>
  </mergeCells>
  <pageMargins left="0.15" right="0.15" top="0.2" bottom="0.2" header="0.3" footer="0.3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2"/>
      <c r="B2" s="3" t="s">
        <v>45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3.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3.5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3.5" customHeight="1">
      <c r="A5" s="2"/>
      <c r="B5" s="1" t="s">
        <v>46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3.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3.5" customHeight="1">
      <c r="A7" s="2"/>
    </row>
    <row r="8" spans="1:32" ht="13.5" customHeight="1">
      <c r="A8" s="2"/>
      <c r="B8" s="4" t="s">
        <v>3</v>
      </c>
      <c r="C8" s="4"/>
      <c r="D8" s="4"/>
      <c r="E8" s="4"/>
      <c r="F8" s="4"/>
      <c r="G8" s="4"/>
      <c r="H8" s="4" t="s">
        <v>4</v>
      </c>
      <c r="I8" s="4"/>
      <c r="J8" s="4"/>
      <c r="K8" s="4" t="s">
        <v>5</v>
      </c>
      <c r="L8" s="4"/>
      <c r="M8" s="4"/>
      <c r="N8" s="4" t="s">
        <v>6</v>
      </c>
      <c r="O8" s="4"/>
      <c r="P8" s="4"/>
      <c r="R8" s="4" t="s">
        <v>47</v>
      </c>
      <c r="S8" s="4"/>
      <c r="T8" s="4"/>
      <c r="U8" s="4"/>
      <c r="V8" s="4"/>
      <c r="W8" s="4" t="s">
        <v>48</v>
      </c>
      <c r="X8" s="4"/>
      <c r="Y8" s="4"/>
      <c r="Z8" s="4" t="s">
        <v>49</v>
      </c>
      <c r="AA8" s="4"/>
      <c r="AB8" s="4" t="s">
        <v>50</v>
      </c>
      <c r="AC8" s="4"/>
      <c r="AD8" s="4" t="s">
        <v>51</v>
      </c>
      <c r="AE8" s="4"/>
      <c r="AF8" s="4"/>
    </row>
    <row r="9" spans="1:32" ht="13.5" customHeight="1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3.5" customHeight="1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3.5" customHeight="1">
      <c r="A11" s="2"/>
      <c r="B11" s="5" t="s">
        <v>15</v>
      </c>
      <c r="C11" s="5"/>
      <c r="D11" s="5"/>
      <c r="E11" s="5"/>
      <c r="F11" s="5"/>
      <c r="G11" s="5"/>
      <c r="H11" s="6">
        <f>IF(ISNUMBER('GraphData'!B90),'GraphData'!B90,"n.d.")</f>
        <v>48887.51859338581</v>
      </c>
      <c r="I11" s="6"/>
      <c r="J11" s="6"/>
      <c r="K11" s="8">
        <f>IF(ISNUMBER('GraphData'!C90),'GraphData'!C90,"n.d.")</f>
        <v>0.0</v>
      </c>
      <c r="L11" s="8"/>
      <c r="M11" s="8"/>
      <c r="N11" s="7">
        <f>IF(ISNUMBER('GraphData'!D90),'GraphData'!D90,"n.d.")</f>
        <v>-1.0</v>
      </c>
      <c r="O11" s="7"/>
      <c r="P11" s="7"/>
      <c r="R11" s="5" t="s">
        <v>15</v>
      </c>
      <c r="S11" s="5"/>
      <c r="T11" s="5"/>
      <c r="U11" s="5"/>
      <c r="V11" s="5"/>
      <c r="W11" s="8">
        <f>IF(ISNUMBER('GraphData'!C90),'GraphData'!C90,"n.d.")</f>
        <v>0.0</v>
      </c>
      <c r="X11" s="8"/>
      <c r="Y11" s="8"/>
      <c r="Z11" s="8">
        <f>IF(ISNUMBER('GraphData'!F90),'GraphData'!F90,"n.d.")</f>
        <v>0</v>
      </c>
      <c r="AA11" s="8"/>
      <c r="AB11" s="8">
        <f>IF(ISNUMBER('GraphData'!G90),'GraphData'!G90,"n.d.")</f>
        <v>0</v>
      </c>
      <c r="AC11" s="8"/>
      <c r="AD11" s="8">
        <f>IF(ISNUMBER('GraphData'!H90),'GraphData'!H90,"n.d.")</f>
        <v>0</v>
      </c>
      <c r="AE11" s="8"/>
      <c r="AF11" s="8"/>
    </row>
    <row r="12" spans="1:32" ht="13.5" customHeight="1">
      <c r="A12" s="2"/>
      <c r="B12" s="5" t="s">
        <v>16</v>
      </c>
      <c r="C12" s="5"/>
      <c r="D12" s="5"/>
      <c r="E12" s="5"/>
      <c r="F12" s="5"/>
      <c r="G12" s="5"/>
      <c r="H12" s="6">
        <f>IF(ISNUMBER('GraphData'!B91),'GraphData'!B91,"n.d.")</f>
        <v>3814713.4834877667</v>
      </c>
      <c r="I12" s="6"/>
      <c r="J12" s="6"/>
      <c r="K12" s="6">
        <f>IF(ISNUMBER('GraphData'!C91),'GraphData'!C91,"n.d.")</f>
        <v>3775169.5956442077</v>
      </c>
      <c r="L12" s="6"/>
      <c r="M12" s="6"/>
      <c r="N12" s="7">
        <f>IF(ISNUMBER('GraphData'!D91),'GraphData'!D91,"n.d.")</f>
        <v>-0.010366148864056842</v>
      </c>
      <c r="O12" s="7"/>
      <c r="P12" s="7"/>
      <c r="R12" s="5" t="s">
        <v>16</v>
      </c>
      <c r="S12" s="5"/>
      <c r="T12" s="5"/>
      <c r="U12" s="5"/>
      <c r="V12" s="5"/>
      <c r="W12" s="6">
        <f>IF(ISNUMBER('GraphData'!C91),'GraphData'!C91,"n.d.")</f>
        <v>3775169.5956442077</v>
      </c>
      <c r="X12" s="6"/>
      <c r="Y12" s="6"/>
      <c r="Z12" s="6">
        <f>IF(ISNUMBER('GraphData'!F91),'GraphData'!F91,"n.d.")</f>
        <v>3645132.5948545784</v>
      </c>
      <c r="AA12" s="6"/>
      <c r="AB12" s="6">
        <f>IF(ISNUMBER('GraphData'!G91),'GraphData'!G91,"n.d.")</f>
        <v>112194.00447354038</v>
      </c>
      <c r="AC12" s="6"/>
      <c r="AD12" s="6">
        <f>IF(ISNUMBER('GraphData'!H91),'GraphData'!H91,"n.d.")</f>
        <v>17842.996316089244</v>
      </c>
      <c r="AE12" s="6"/>
      <c r="AF12" s="6"/>
    </row>
    <row r="13" spans="1:32" ht="13.5" customHeight="1">
      <c r="A13" s="2"/>
      <c r="B13" s="5" t="s">
        <v>17</v>
      </c>
      <c r="C13" s="5"/>
      <c r="D13" s="5"/>
      <c r="E13" s="5"/>
      <c r="F13" s="5"/>
      <c r="G13" s="5"/>
      <c r="H13" s="6">
        <f>IF(ISNUMBER('GraphData'!B92),'GraphData'!B92,"n.d.")</f>
        <v>24384.544526181482</v>
      </c>
      <c r="I13" s="6"/>
      <c r="J13" s="6"/>
      <c r="K13" s="6">
        <f>IF(ISNUMBER('GraphData'!C92),'GraphData'!C92,"n.d.")</f>
        <v>2162.4936681183713</v>
      </c>
      <c r="L13" s="6"/>
      <c r="M13" s="6"/>
      <c r="N13" s="7">
        <f>IF(ISNUMBER('GraphData'!D92),'GraphData'!D92,"n.d.")</f>
        <v>-0.9113170366665443</v>
      </c>
      <c r="O13" s="7"/>
      <c r="P13" s="7"/>
      <c r="R13" s="5" t="s">
        <v>17</v>
      </c>
      <c r="S13" s="5"/>
      <c r="T13" s="5"/>
      <c r="U13" s="5"/>
      <c r="V13" s="5"/>
      <c r="W13" s="6">
        <f>IF(ISNUMBER('GraphData'!C92),'GraphData'!C92,"n.d.")</f>
        <v>2162.4936681183713</v>
      </c>
      <c r="X13" s="6"/>
      <c r="Y13" s="6"/>
      <c r="Z13" s="8">
        <f>IF(ISNUMBER('GraphData'!F92),'GraphData'!F92,"n.d.")</f>
        <v>0.0</v>
      </c>
      <c r="AA13" s="8"/>
      <c r="AB13" s="8">
        <f>IF(ISNUMBER('GraphData'!G92),'GraphData'!G92,"n.d.")</f>
        <v>0.0</v>
      </c>
      <c r="AC13" s="8"/>
      <c r="AD13" s="6">
        <f>IF(ISNUMBER('GraphData'!H92),'GraphData'!H92,"n.d.")</f>
        <v>2162.4936681183713</v>
      </c>
      <c r="AE13" s="6"/>
      <c r="AF13" s="6"/>
    </row>
    <row r="14" spans="1:32" ht="13.5" customHeight="1">
      <c r="A14" s="2"/>
      <c r="B14" s="5" t="s">
        <v>18</v>
      </c>
      <c r="C14" s="5"/>
      <c r="D14" s="5"/>
      <c r="E14" s="5"/>
      <c r="F14" s="5"/>
      <c r="G14" s="5"/>
      <c r="H14" s="6">
        <f>IF(ISNUMBER('GraphData'!B93),'GraphData'!B93,"n.d.")</f>
        <v>11211.458965318663</v>
      </c>
      <c r="I14" s="6"/>
      <c r="J14" s="6"/>
      <c r="K14" s="6">
        <f>IF(ISNUMBER('GraphData'!C93),'GraphData'!C93,"n.d.")</f>
        <v>2025.348040871968</v>
      </c>
      <c r="L14" s="6"/>
      <c r="M14" s="6"/>
      <c r="N14" s="7">
        <f>IF(ISNUMBER('GraphData'!D93),'GraphData'!D93,"n.d.")</f>
        <v>-0.8193501802809835</v>
      </c>
      <c r="O14" s="7"/>
      <c r="P14" s="7"/>
      <c r="R14" s="5" t="s">
        <v>18</v>
      </c>
      <c r="S14" s="5"/>
      <c r="T14" s="5"/>
      <c r="U14" s="5"/>
      <c r="V14" s="5"/>
      <c r="W14" s="6">
        <f>IF(ISNUMBER('GraphData'!C93),'GraphData'!C93,"n.d.")</f>
        <v>2025.348040871968</v>
      </c>
      <c r="X14" s="6"/>
      <c r="Y14" s="6"/>
      <c r="Z14" s="8">
        <f>IF(ISNUMBER('GraphData'!F93),'GraphData'!F93,"n.d.")</f>
        <v>0.0</v>
      </c>
      <c r="AA14" s="8"/>
      <c r="AB14" s="8">
        <f>IF(ISNUMBER('GraphData'!G93),'GraphData'!G93,"n.d.")</f>
        <v>0.0</v>
      </c>
      <c r="AC14" s="8"/>
      <c r="AD14" s="6">
        <f>IF(ISNUMBER('GraphData'!H93),'GraphData'!H93,"n.d.")</f>
        <v>2025.348040871968</v>
      </c>
      <c r="AE14" s="6"/>
      <c r="AF14" s="6"/>
    </row>
    <row r="15" spans="1:32" ht="13.5" customHeight="1">
      <c r="A15" s="2"/>
      <c r="B15" s="5" t="s">
        <v>19</v>
      </c>
      <c r="C15" s="5"/>
      <c r="D15" s="5"/>
      <c r="E15" s="5"/>
      <c r="F15" s="5"/>
      <c r="G15" s="5"/>
      <c r="H15" s="6">
        <f>IF(ISNUMBER('GraphData'!B94),'GraphData'!B94,"n.d.")</f>
        <v>13809.270919825338</v>
      </c>
      <c r="I15" s="6"/>
      <c r="J15" s="6"/>
      <c r="K15" s="6">
        <f>IF(ISNUMBER('GraphData'!C94),'GraphData'!C94,"n.d.")</f>
        <v>15218.245515046927</v>
      </c>
      <c r="L15" s="6"/>
      <c r="M15" s="6"/>
      <c r="N15" s="7">
        <f>IF(ISNUMBER('GraphData'!D94),'GraphData'!D94,"n.d.")</f>
        <v>0.10203106329087865</v>
      </c>
      <c r="O15" s="7"/>
      <c r="P15" s="7"/>
      <c r="R15" s="5" t="s">
        <v>19</v>
      </c>
      <c r="S15" s="5"/>
      <c r="T15" s="5"/>
      <c r="U15" s="5"/>
      <c r="V15" s="5"/>
      <c r="W15" s="6">
        <f>IF(ISNUMBER('GraphData'!C94),'GraphData'!C94,"n.d.")</f>
        <v>15218.245515046927</v>
      </c>
      <c r="X15" s="6"/>
      <c r="Y15" s="6"/>
      <c r="Z15" s="8">
        <f>IF(ISNUMBER('GraphData'!F94),'GraphData'!F94,"n.d.")</f>
        <v>0.0</v>
      </c>
      <c r="AA15" s="8"/>
      <c r="AB15" s="8">
        <f>IF(ISNUMBER('GraphData'!G94),'GraphData'!G94,"n.d.")</f>
        <v>0.0</v>
      </c>
      <c r="AC15" s="8"/>
      <c r="AD15" s="6">
        <f>IF(ISNUMBER('GraphData'!H94),'GraphData'!H94,"n.d.")</f>
        <v>15218.245515046927</v>
      </c>
      <c r="AE15" s="6"/>
      <c r="AF15" s="6"/>
    </row>
    <row r="16" spans="1:32" ht="13.5" customHeight="1">
      <c r="A16" s="2"/>
      <c r="B16" s="9" t="s">
        <v>20</v>
      </c>
      <c r="C16" s="9"/>
      <c r="D16" s="9"/>
      <c r="E16" s="9"/>
      <c r="F16" s="9"/>
      <c r="G16" s="9"/>
      <c r="H16" s="9">
        <f>IF(COUNT(H11:H15)=5,SUM(H11:H15),"n.d.")</f>
        <v>3913006.276492478</v>
      </c>
      <c r="I16" s="9"/>
      <c r="J16" s="9"/>
      <c r="K16" s="9">
        <f>IF(COUNT(K11:K15)=5,SUM(K11:K15),"n.d.")</f>
        <v>3794575.682868245</v>
      </c>
      <c r="L16" s="9"/>
      <c r="M16" s="9"/>
      <c r="N16" s="10">
        <f>IF(OR(COUNT(H16,K16)&lt;&gt;2,H16=0),"n.d.",K16/H16-1)</f>
        <v>-0.03026588388976239</v>
      </c>
      <c r="O16" s="10"/>
      <c r="P16" s="10"/>
      <c r="R16" s="9" t="s">
        <v>52</v>
      </c>
      <c r="S16" s="9"/>
      <c r="T16" s="9"/>
      <c r="U16" s="9"/>
      <c r="V16" s="9"/>
      <c r="W16" s="9">
        <f>IF(COUNT(W11:W15)=5,SUM(W11:W15),"n.d.")</f>
        <v>3794575.682868245</v>
      </c>
      <c r="X16" s="9"/>
      <c r="Y16" s="9"/>
      <c r="Z16" s="9">
        <f>IF(COUNT(Z11:Z15)=5,SUM(Z11:Z15),"n.d.")</f>
        <v>3645132.5948545784</v>
      </c>
      <c r="AA16" s="9"/>
      <c r="AB16" s="9">
        <f>IF(COUNT(AB11:AB15)=5,SUM(AB11:AB15),"n.d.")</f>
        <v>112194.00447354038</v>
      </c>
      <c r="AC16" s="9"/>
      <c r="AD16" s="9">
        <f>IF(COUNT(AD11:AD15)=5,SUM(AD11:AD15),"n.d.")</f>
        <v>37249.08354012651</v>
      </c>
      <c r="AE16" s="9"/>
      <c r="AF16" s="9"/>
    </row>
    <row r="17" spans="1:32" ht="13.5" customHeight="1">
      <c r="A17" s="2"/>
    </row>
    <row r="18" spans="1:32" ht="13.5" customHeight="1">
      <c r="A18" s="2"/>
    </row>
    <row r="19" spans="1:32" ht="13.5" customHeight="1">
      <c r="A19" s="2"/>
    </row>
    <row r="20" spans="1:32" ht="13.5" customHeight="1">
      <c r="A20" s="2"/>
    </row>
    <row r="21" spans="1:32" ht="13.5" customHeight="1">
      <c r="A21" s="2"/>
      <c r="R21" s="4" t="s">
        <v>53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5" customHeight="1">
      <c r="A22" s="2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3.5" customHeight="1">
      <c r="A23" s="2"/>
      <c r="R23" s="4" t="s">
        <v>35</v>
      </c>
      <c r="S23" s="4"/>
      <c r="T23" s="4"/>
      <c r="U23" s="4"/>
      <c r="V23" s="4"/>
      <c r="W23" s="4" t="s">
        <v>54</v>
      </c>
      <c r="X23" s="4"/>
      <c r="Y23" s="4"/>
      <c r="Z23" s="4"/>
      <c r="AA23" s="4" t="s">
        <v>55</v>
      </c>
      <c r="AB23" s="4"/>
      <c r="AC23" s="4"/>
      <c r="AD23" s="4"/>
      <c r="AE23" s="4" t="s">
        <v>56</v>
      </c>
      <c r="AF23" s="4"/>
    </row>
    <row r="24" spans="1:32" ht="13.5" customHeight="1">
      <c r="A24" s="2"/>
      <c r="B24" s="11" t="s">
        <v>57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3.5" customHeight="1">
      <c r="A25" s="2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3.5" customHeight="1">
      <c r="A26" s="2"/>
      <c r="B26" s="11" t="s">
        <v>22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R26" s="5" t="s">
        <v>17</v>
      </c>
      <c r="S26" s="5"/>
      <c r="T26" s="5"/>
      <c r="U26" s="5"/>
      <c r="V26" s="5"/>
      <c r="W26" s="6" t="s">
        <v>39</v>
      </c>
      <c r="X26" s="6"/>
      <c r="Y26" s="6"/>
      <c r="Z26" s="6"/>
      <c r="AA26" s="6" t="s">
        <v>39</v>
      </c>
      <c r="AB26" s="6"/>
      <c r="AC26" s="6"/>
      <c r="AD26" s="6"/>
      <c r="AE26" s="7" t="s">
        <v>39</v>
      </c>
      <c r="AF26" s="7"/>
    </row>
    <row r="27" spans="1:32" ht="13.5" customHeight="1">
      <c r="A27" s="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R27" s="5" t="s">
        <v>18</v>
      </c>
      <c r="S27" s="5"/>
      <c r="T27" s="5"/>
      <c r="U27" s="5"/>
      <c r="V27" s="5"/>
      <c r="W27" s="6" t="s">
        <v>39</v>
      </c>
      <c r="X27" s="6"/>
      <c r="Y27" s="6"/>
      <c r="Z27" s="6"/>
      <c r="AA27" s="6" t="s">
        <v>39</v>
      </c>
      <c r="AB27" s="6"/>
      <c r="AC27" s="6"/>
      <c r="AD27" s="6"/>
      <c r="AE27" s="7" t="s">
        <v>39</v>
      </c>
      <c r="AF27" s="7"/>
    </row>
    <row r="28" spans="1:32" ht="13.5" customHeight="1">
      <c r="A28" s="2"/>
      <c r="R28" s="5" t="s">
        <v>19</v>
      </c>
      <c r="S28" s="5"/>
      <c r="T28" s="5"/>
      <c r="U28" s="5"/>
      <c r="V28" s="5"/>
      <c r="W28" s="6" t="s">
        <v>39</v>
      </c>
      <c r="X28" s="6"/>
      <c r="Y28" s="6"/>
      <c r="Z28" s="6"/>
      <c r="AA28" s="6" t="s">
        <v>39</v>
      </c>
      <c r="AB28" s="6"/>
      <c r="AC28" s="6"/>
      <c r="AD28" s="6"/>
      <c r="AE28" s="7" t="s">
        <v>39</v>
      </c>
      <c r="AF28" s="7"/>
    </row>
    <row r="29" spans="1:32" ht="13.5" customHeight="1">
      <c r="A29" s="2"/>
    </row>
    <row r="30" spans="1:32" ht="13.5" customHeight="1">
      <c r="A30" s="2"/>
    </row>
    <row r="31" spans="1:32" ht="13.5" customHeight="1">
      <c r="A31" s="2"/>
      <c r="R31" s="1" t="s">
        <v>58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3.5" customHeight="1">
      <c r="A32" s="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3.5" customHeight="1">
      <c r="A33" s="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3.5" customHeight="1">
      <c r="A34" s="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3.5" customHeight="1">
      <c r="A35" s="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3.5" customHeight="1">
      <c r="A36" s="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3.5" customHeight="1">
      <c r="A37" s="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3.5" customHeight="1">
      <c r="A38" s="2"/>
    </row>
    <row r="39" spans="1:32" ht="13.5" customHeight="1">
      <c r="A39" s="2"/>
    </row>
    <row r="40" spans="1:32" ht="13.5" customHeight="1">
      <c r="A40" s="2"/>
    </row>
    <row r="41" spans="1:32" ht="13.5" customHeight="1">
      <c r="A41" s="2"/>
    </row>
    <row r="42" spans="1:32" ht="13.5" customHeight="1">
      <c r="A42" s="2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86">
    <mergeCell ref="B2:AF4"/>
    <mergeCell ref="B42:AF42"/>
    <mergeCell ref="B5:AF6"/>
    <mergeCell ref="B8:G10"/>
    <mergeCell ref="H8:J10"/>
    <mergeCell ref="K8:M10"/>
    <mergeCell ref="N8:P10"/>
    <mergeCell ref="B11:G11"/>
    <mergeCell ref="H11:J11"/>
    <mergeCell ref="K11:M11"/>
    <mergeCell ref="N11:P11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15:G15"/>
    <mergeCell ref="H15:J15"/>
    <mergeCell ref="K15:M15"/>
    <mergeCell ref="N15:P15"/>
    <mergeCell ref="B16:G16"/>
    <mergeCell ref="H16:J16"/>
    <mergeCell ref="K16:M16"/>
    <mergeCell ref="N16:P16"/>
    <mergeCell ref="B24:P25"/>
    <mergeCell ref="B26:P27"/>
    <mergeCell ref="R8:V10"/>
    <mergeCell ref="W8:Y10"/>
    <mergeCell ref="Z8:AA10"/>
    <mergeCell ref="AB8:AC10"/>
    <mergeCell ref="AD8:AF10"/>
    <mergeCell ref="R11:V11"/>
    <mergeCell ref="W11:Y11"/>
    <mergeCell ref="Z11:AA11"/>
    <mergeCell ref="AB11:AC11"/>
    <mergeCell ref="AD11:AF11"/>
    <mergeCell ref="R12:V12"/>
    <mergeCell ref="W12:Y12"/>
    <mergeCell ref="Z12:AA12"/>
    <mergeCell ref="AB12:AC12"/>
    <mergeCell ref="AD12:AF12"/>
    <mergeCell ref="R13:V13"/>
    <mergeCell ref="W13:Y13"/>
    <mergeCell ref="Z13:AA13"/>
    <mergeCell ref="AB13:AC13"/>
    <mergeCell ref="AD13:AF13"/>
    <mergeCell ref="R14:V14"/>
    <mergeCell ref="W14:Y14"/>
    <mergeCell ref="Z14:AA14"/>
    <mergeCell ref="AB14:AC14"/>
    <mergeCell ref="AD14:AF14"/>
    <mergeCell ref="R15:V15"/>
    <mergeCell ref="W15:Y15"/>
    <mergeCell ref="Z15:AA15"/>
    <mergeCell ref="AB15:AC15"/>
    <mergeCell ref="AD15:AF15"/>
    <mergeCell ref="R16:V16"/>
    <mergeCell ref="W16:Y16"/>
    <mergeCell ref="Z16:AA16"/>
    <mergeCell ref="AB16:AC16"/>
    <mergeCell ref="AD16:AF16"/>
    <mergeCell ref="R21:AF22"/>
    <mergeCell ref="R23:V25"/>
    <mergeCell ref="W23:Z25"/>
    <mergeCell ref="AA23:AD25"/>
    <mergeCell ref="AE23:AF25"/>
    <mergeCell ref="R26:V26"/>
    <mergeCell ref="W26:Z26"/>
    <mergeCell ref="AA26:AD26"/>
    <mergeCell ref="AE26:AF26"/>
    <mergeCell ref="R27:V27"/>
    <mergeCell ref="W27:Z27"/>
    <mergeCell ref="AA27:AD27"/>
    <mergeCell ref="AE27:AF27"/>
    <mergeCell ref="R28:V28"/>
    <mergeCell ref="W28:Z28"/>
    <mergeCell ref="AA28:AD28"/>
    <mergeCell ref="AE28:AF28"/>
    <mergeCell ref="R31:AF37"/>
  </mergeCells>
  <conditionalFormatting sqref="B24:P39">
    <cfRule type="notContainsBlanks" dxfId="2" priority="1">
      <formula>LEN(TRIM(B24))&gt;0</formula>
    </cfRule>
  </conditionalFormatting>
  <pageMargins left="0.15" right="0.15" top="0.2" bottom="0.2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61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65</v>
      </c>
      <c r="S7" s="4"/>
      <c r="T7" s="4"/>
      <c r="U7" s="16" t="s">
        <v>66</v>
      </c>
      <c r="V7" s="16"/>
      <c r="W7" s="16"/>
      <c r="X7" s="8">
        <f>IF((IF(OR(SUMPRODUCT(--('Repartition stock'!$A$6:$A$433="2026Q3"),--('Repartition stock'!$B$6:$B$433="ES"),--('Repartition stock'!$E$6:$E$433="Tranche"),--('Repartition stock'!$F$6:$F$433="0 - 1 €"))=0,SUMPRODUCT(--('Repartition stock'!$A$6:$A$433="2026Q3"),--('Repartition stock'!$B$6:$B$433="ES"),--('Repartition stock'!$E$6:$E$433="Tranche"),--('Repartition stock'!$F$6:$F$433="0 - 1 €"),--('Repartition stock'!$G$6:$G$433="n.d."))&gt;0),"n.d.",SUMPRODUCT(--('Repartition stock'!$A$6:$A$433="2026Q3"),--('Repartition stock'!$B$6:$B$433="ES"),--('Repartition stock'!$E$6:$E$433="Tranche"),--('Repartition stock'!$F$6:$F$433="0 - 1 €"),'Repartition stock'!$G$6:$G$433)))="n.d.",0,IF(OR(SUMPRODUCT(--('Repartition stock'!$A$6:$A$433="2026Q3"),--('Repartition stock'!$B$6:$B$433="ES"),--('Repartition stock'!$E$6:$E$433="Tranche"),--('Repartition stock'!$F$6:$F$433="0 - 1 €"))=0,SUMPRODUCT(--('Repartition stock'!$A$6:$A$433="2026Q3"),--('Repartition stock'!$B$6:$B$433="ES"),--('Repartition stock'!$E$6:$E$433="Tranche"),--('Repartition stock'!$F$6:$F$433="0 - 1 €"),--('Repartition stock'!$G$6:$G$433="n.d."))&gt;0),"n.d.",SUMPRODUCT(--('Repartition stock'!$A$6:$A$433="2026Q3"),--('Repartition stock'!$B$6:$B$433="ES"),--('Repartition stock'!$E$6:$E$433="Tranche"),--('Repartition stock'!$F$6:$F$433="0 - 1 €"),'Repartition stock'!$G$6:$G$433)))</f>
        <v>183.0</v>
      </c>
      <c r="Y7" s="8"/>
      <c r="Z7" s="8">
        <f>IF((IF(OR(SUMPRODUCT(--('Repartition stock'!$A$6:$A$433="2026Q3"),--('Repartition stock'!$B$6:$B$433="ES"),--('Repartition stock'!$E$6:$E$433="Tranche"),--('Repartition stock'!$F$6:$F$433="0 - 1 €"))=0,SUMPRODUCT(--('Repartition stock'!$A$6:$A$433="2026Q3"),--('Repartition stock'!$B$6:$B$433="ES"),--('Repartition stock'!$E$6:$E$433="Tranche"),--('Repartition stock'!$F$6:$F$433="0 - 1 €"),--('Repartition stock'!$J$6:$J$433="n.d."))&gt;0),"n.d.",SUMPRODUCT(--('Repartition stock'!$A$6:$A$433="2026Q3"),--('Repartition stock'!$B$6:$B$433="ES"),--('Repartition stock'!$E$6:$E$433="Tranche"),--('Repartition stock'!$F$6:$F$433="0 - 1 €"),'Repartition stock'!$J$6:$J$433)))="n.d.",0,IF(OR(SUMPRODUCT(--('Repartition stock'!$A$6:$A$433="2026Q3"),--('Repartition stock'!$B$6:$B$433="ES"),--('Repartition stock'!$E$6:$E$433="Tranche"),--('Repartition stock'!$F$6:$F$433="0 - 1 €"))=0,SUMPRODUCT(--('Repartition stock'!$A$6:$A$433="2026Q3"),--('Repartition stock'!$B$6:$B$433="ES"),--('Repartition stock'!$E$6:$E$433="Tranche"),--('Repartition stock'!$F$6:$F$433="0 - 1 €"),--('Repartition stock'!$J$6:$J$433="n.d."))&gt;0),"n.d.",SUMPRODUCT(--('Repartition stock'!$A$6:$A$433="2026Q3"),--('Repartition stock'!$B$6:$B$433="ES"),--('Repartition stock'!$E$6:$E$433="Tranche"),--('Repartition stock'!$F$6:$F$433="0 - 1 €"),'Repartition stock'!$J$6:$J$433)))</f>
        <v>27.0</v>
      </c>
      <c r="AA7" s="8"/>
      <c r="AB7" s="8"/>
      <c r="AC7" s="7">
        <f>IF((IF(OR(COUNT(X7,X12)&lt;&gt;2,X12=0),"n.d.",X7/X12))="n.d.",0,IF(OR(COUNT(X7,X12)&lt;&gt;2,X12=0),"n.d.",X7/X12))</f>
        <v>0.023214512241532412</v>
      </c>
      <c r="AD7" s="7"/>
      <c r="AE7" s="7">
        <f>IF((IF(OR(COUNT(Z7,Z12)&lt;&gt;2,Z12=0),"n.d.",Z7/Z12))="n.d.",0,IF(OR(COUNT(Z7,Z12)&lt;&gt;2,Z12=0),"n.d.",Z7/Z12))</f>
        <v>1.8201760447304892e-05</v>
      </c>
      <c r="AF7" s="7"/>
    </row>
    <row r="8" spans="1:32" ht="13.5" customHeight="1">
      <c r="A8" s="13"/>
      <c r="R8" s="4"/>
      <c r="S8" s="4"/>
      <c r="T8" s="4"/>
      <c r="U8" s="16" t="s">
        <v>67</v>
      </c>
      <c r="V8" s="16"/>
      <c r="W8" s="16"/>
      <c r="X8" s="8">
        <f>IF((IF(OR(SUMPRODUCT(--('Repartition stock'!$A$6:$A$433="2026Q3"),--('Repartition stock'!$B$6:$B$433="ES"),--('Repartition stock'!$E$6:$E$433="Tranche"),--('Repartition stock'!$F$6:$F$433="1 - 10 €"))=0,SUMPRODUCT(--('Repartition stock'!$A$6:$A$433="2026Q3"),--('Repartition stock'!$B$6:$B$433="ES"),--('Repartition stock'!$E$6:$E$433="Tranche"),--('Repartition stock'!$F$6:$F$433="1 - 10 €"),--('Repartition stock'!$G$6:$G$433="n.d."))&gt;0),"n.d.",SUMPRODUCT(--('Repartition stock'!$A$6:$A$433="2026Q3"),--('Repartition stock'!$B$6:$B$433="ES"),--('Repartition stock'!$E$6:$E$433="Tranche"),--('Repartition stock'!$F$6:$F$433="1 - 10 €"),'Repartition stock'!$G$6:$G$433)))="n.d.",0,IF(OR(SUMPRODUCT(--('Repartition stock'!$A$6:$A$433="2026Q3"),--('Repartition stock'!$B$6:$B$433="ES"),--('Repartition stock'!$E$6:$E$433="Tranche"),--('Repartition stock'!$F$6:$F$433="1 - 10 €"))=0,SUMPRODUCT(--('Repartition stock'!$A$6:$A$433="2026Q3"),--('Repartition stock'!$B$6:$B$433="ES"),--('Repartition stock'!$E$6:$E$433="Tranche"),--('Repartition stock'!$F$6:$F$433="1 - 10 €"),--('Repartition stock'!$G$6:$G$433="n.d."))&gt;0),"n.d.",SUMPRODUCT(--('Repartition stock'!$A$6:$A$433="2026Q3"),--('Repartition stock'!$B$6:$B$433="ES"),--('Repartition stock'!$E$6:$E$433="Tranche"),--('Repartition stock'!$F$6:$F$433="1 - 10 €"),'Repartition stock'!$G$6:$G$433)))</f>
        <v>469.0</v>
      </c>
      <c r="Y8" s="8"/>
      <c r="Z8" s="8">
        <f>IF((IF(OR(SUMPRODUCT(--('Repartition stock'!$A$6:$A$433="2026Q3"),--('Repartition stock'!$B$6:$B$433="ES"),--('Repartition stock'!$E$6:$E$433="Tranche"),--('Repartition stock'!$F$6:$F$433="1 - 10 €"))=0,SUMPRODUCT(--('Repartition stock'!$A$6:$A$433="2026Q3"),--('Repartition stock'!$B$6:$B$433="ES"),--('Repartition stock'!$E$6:$E$433="Tranche"),--('Repartition stock'!$F$6:$F$433="1 - 10 €"),--('Repartition stock'!$J$6:$J$433="n.d."))&gt;0),"n.d.",SUMPRODUCT(--('Repartition stock'!$A$6:$A$433="2026Q3"),--('Repartition stock'!$B$6:$B$433="ES"),--('Repartition stock'!$E$6:$E$433="Tranche"),--('Repartition stock'!$F$6:$F$433="1 - 10 €"),'Repartition stock'!$J$6:$J$433)))="n.d.",0,IF(OR(SUMPRODUCT(--('Repartition stock'!$A$6:$A$433="2026Q3"),--('Repartition stock'!$B$6:$B$433="ES"),--('Repartition stock'!$E$6:$E$433="Tranche"),--('Repartition stock'!$F$6:$F$433="1 - 10 €"))=0,SUMPRODUCT(--('Repartition stock'!$A$6:$A$433="2026Q3"),--('Repartition stock'!$B$6:$B$433="ES"),--('Repartition stock'!$E$6:$E$433="Tranche"),--('Repartition stock'!$F$6:$F$433="1 - 10 €"),--('Repartition stock'!$J$6:$J$433="n.d."))&gt;0),"n.d.",SUMPRODUCT(--('Repartition stock'!$A$6:$A$433="2026Q3"),--('Repartition stock'!$B$6:$B$433="ES"),--('Repartition stock'!$E$6:$E$433="Tranche"),--('Repartition stock'!$F$6:$F$433="1 - 10 €"),'Repartition stock'!$J$6:$J$433)))</f>
        <v>2417.0</v>
      </c>
      <c r="AA8" s="8"/>
      <c r="AB8" s="8"/>
      <c r="AC8" s="7">
        <f>IF((IF(OR(COUNT(X8,X12)&lt;&gt;2,X12=0),"n.d.",X8/X12))="n.d.",0,IF(OR(COUNT(X8,X12)&lt;&gt;2,X12=0),"n.d.",X8/X12))</f>
        <v>0.05949511607256121</v>
      </c>
      <c r="AD8" s="7"/>
      <c r="AE8" s="7">
        <f>IF((IF(OR(COUNT(Z8,Z12)&lt;&gt;2,Z12=0),"n.d.",Z8/Z12))="n.d.",0,IF(OR(COUNT(Z8,Z12)&lt;&gt;2,Z12=0),"n.d.",Z8/Z12))</f>
        <v>0.001629394629671701</v>
      </c>
      <c r="AF8" s="7"/>
    </row>
    <row r="9" spans="1:32" ht="13.5" customHeight="1">
      <c r="A9" s="13"/>
      <c r="R9" s="4"/>
      <c r="S9" s="4"/>
      <c r="T9" s="4"/>
      <c r="U9" s="16" t="s">
        <v>68</v>
      </c>
      <c r="V9" s="16"/>
      <c r="W9" s="16"/>
      <c r="X9" s="8">
        <f>IF((IF(OR(SUMPRODUCT(--('Repartition stock'!$A$6:$A$433="2026Q3"),--('Repartition stock'!$B$6:$B$433="ES"),--('Repartition stock'!$E$6:$E$433="Tranche"),--('Repartition stock'!$F$6:$F$433="10 - 100 €"))=0,SUMPRODUCT(--('Repartition stock'!$A$6:$A$433="2026Q3"),--('Repartition stock'!$B$6:$B$433="ES"),--('Repartition stock'!$E$6:$E$433="Tranche"),--('Repartition stock'!$F$6:$F$433="10 - 100 €"),--('Repartition stock'!$G$6:$G$433="n.d."))&gt;0),"n.d.",SUMPRODUCT(--('Repartition stock'!$A$6:$A$433="2026Q3"),--('Repartition stock'!$B$6:$B$433="ES"),--('Repartition stock'!$E$6:$E$433="Tranche"),--('Repartition stock'!$F$6:$F$433="10 - 100 €"),'Repartition stock'!$G$6:$G$433)))="n.d.",0,IF(OR(SUMPRODUCT(--('Repartition stock'!$A$6:$A$433="2026Q3"),--('Repartition stock'!$B$6:$B$433="ES"),--('Repartition stock'!$E$6:$E$433="Tranche"),--('Repartition stock'!$F$6:$F$433="10 - 100 €"))=0,SUMPRODUCT(--('Repartition stock'!$A$6:$A$433="2026Q3"),--('Repartition stock'!$B$6:$B$433="ES"),--('Repartition stock'!$E$6:$E$433="Tranche"),--('Repartition stock'!$F$6:$F$433="10 - 100 €"),--('Repartition stock'!$G$6:$G$433="n.d."))&gt;0),"n.d.",SUMPRODUCT(--('Repartition stock'!$A$6:$A$433="2026Q3"),--('Repartition stock'!$B$6:$B$433="ES"),--('Repartition stock'!$E$6:$E$433="Tranche"),--('Repartition stock'!$F$6:$F$433="10 - 100 €"),'Repartition stock'!$G$6:$G$433)))</f>
        <v>4270.0</v>
      </c>
      <c r="Y9" s="8"/>
      <c r="Z9" s="8">
        <f>IF((IF(OR(SUMPRODUCT(--('Repartition stock'!$A$6:$A$433="2026Q3"),--('Repartition stock'!$B$6:$B$433="ES"),--('Repartition stock'!$E$6:$E$433="Tranche"),--('Repartition stock'!$F$6:$F$433="10 - 100 €"))=0,SUMPRODUCT(--('Repartition stock'!$A$6:$A$433="2026Q3"),--('Repartition stock'!$B$6:$B$433="ES"),--('Repartition stock'!$E$6:$E$433="Tranche"),--('Repartition stock'!$F$6:$F$433="10 - 100 €"),--('Repartition stock'!$J$6:$J$433="n.d."))&gt;0),"n.d.",SUMPRODUCT(--('Repartition stock'!$A$6:$A$433="2026Q3"),--('Repartition stock'!$B$6:$B$433="ES"),--('Repartition stock'!$E$6:$E$433="Tranche"),--('Repartition stock'!$F$6:$F$433="10 - 100 €"),'Repartition stock'!$J$6:$J$433)))="n.d.",0,IF(OR(SUMPRODUCT(--('Repartition stock'!$A$6:$A$433="2026Q3"),--('Repartition stock'!$B$6:$B$433="ES"),--('Repartition stock'!$E$6:$E$433="Tranche"),--('Repartition stock'!$F$6:$F$433="10 - 100 €"))=0,SUMPRODUCT(--('Repartition stock'!$A$6:$A$433="2026Q3"),--('Repartition stock'!$B$6:$B$433="ES"),--('Repartition stock'!$E$6:$E$433="Tranche"),--('Repartition stock'!$F$6:$F$433="10 - 100 €"),--('Repartition stock'!$J$6:$J$433="n.d."))&gt;0),"n.d.",SUMPRODUCT(--('Repartition stock'!$A$6:$A$433="2026Q3"),--('Repartition stock'!$B$6:$B$433="ES"),--('Repartition stock'!$E$6:$E$433="Tranche"),--('Repartition stock'!$F$6:$F$433="10 - 100 €"),'Repartition stock'!$J$6:$J$433)))</f>
        <v>203009.0</v>
      </c>
      <c r="AA9" s="8"/>
      <c r="AB9" s="8"/>
      <c r="AC9" s="7">
        <f>IF((IF(OR(COUNT(X9,X12)&lt;&gt;2,X12=0),"n.d.",X9/X12))="n.d.",0,IF(OR(COUNT(X9,X12)&lt;&gt;2,X12=0),"n.d.",X9/X12))</f>
        <v>0.5416719523024229</v>
      </c>
      <c r="AD9" s="7"/>
      <c r="AE9" s="7">
        <f>IF((IF(OR(COUNT(Z9,Z12)&lt;&gt;2,Z12=0),"n.d.",Z9/Z12))="n.d.",0,IF(OR(COUNT(Z9,Z12)&lt;&gt;2,Z12=0),"n.d.",Z9/Z12))</f>
        <v>0.13685634024618218</v>
      </c>
      <c r="AF9" s="7"/>
    </row>
    <row r="10" spans="1:32" ht="13.5" customHeight="1">
      <c r="A10" s="13"/>
      <c r="R10" s="4"/>
      <c r="S10" s="4"/>
      <c r="T10" s="4"/>
      <c r="U10" s="16" t="s">
        <v>69</v>
      </c>
      <c r="V10" s="16"/>
      <c r="W10" s="16"/>
      <c r="X10" s="8">
        <f>IF((IF(OR(SUMPRODUCT(--('Repartition stock'!$A$6:$A$433="2026Q3"),--('Repartition stock'!$B$6:$B$433="ES"),--('Repartition stock'!$E$6:$E$433="Tranche"),--('Repartition stock'!$F$6:$F$433="100 - 1 000 €"))=0,SUMPRODUCT(--('Repartition stock'!$A$6:$A$433="2026Q3"),--('Repartition stock'!$B$6:$B$433="ES"),--('Repartition stock'!$E$6:$E$433="Tranche"),--('Repartition stock'!$F$6:$F$433="100 - 1 000 €"),--('Repartition stock'!$G$6:$G$433="n.d."))&gt;0),"n.d.",SUMPRODUCT(--('Repartition stock'!$A$6:$A$433="2026Q3"),--('Repartition stock'!$B$6:$B$433="ES"),--('Repartition stock'!$E$6:$E$433="Tranche"),--('Repartition stock'!$F$6:$F$433="100 - 1 000 €"),'Repartition stock'!$G$6:$G$433)))="n.d.",0,IF(OR(SUMPRODUCT(--('Repartition stock'!$A$6:$A$433="2026Q3"),--('Repartition stock'!$B$6:$B$433="ES"),--('Repartition stock'!$E$6:$E$433="Tranche"),--('Repartition stock'!$F$6:$F$433="100 - 1 000 €"))=0,SUMPRODUCT(--('Repartition stock'!$A$6:$A$433="2026Q3"),--('Repartition stock'!$B$6:$B$433="ES"),--('Repartition stock'!$E$6:$E$433="Tranche"),--('Repartition stock'!$F$6:$F$433="100 - 1 000 €"),--('Repartition stock'!$G$6:$G$433="n.d."))&gt;0),"n.d.",SUMPRODUCT(--('Repartition stock'!$A$6:$A$433="2026Q3"),--('Repartition stock'!$B$6:$B$433="ES"),--('Repartition stock'!$E$6:$E$433="Tranche"),--('Repartition stock'!$F$6:$F$433="100 - 1 000 €"),'Repartition stock'!$G$6:$G$433)))</f>
        <v>2772.0</v>
      </c>
      <c r="Y10" s="8"/>
      <c r="Z10" s="8">
        <f>IF((IF(OR(SUMPRODUCT(--('Repartition stock'!$A$6:$A$433="2026Q3"),--('Repartition stock'!$B$6:$B$433="ES"),--('Repartition stock'!$E$6:$E$433="Tranche"),--('Repartition stock'!$F$6:$F$433="100 - 1 000 €"))=0,SUMPRODUCT(--('Repartition stock'!$A$6:$A$433="2026Q3"),--('Repartition stock'!$B$6:$B$433="ES"),--('Repartition stock'!$E$6:$E$433="Tranche"),--('Repartition stock'!$F$6:$F$433="100 - 1 000 €"),--('Repartition stock'!$J$6:$J$433="n.d."))&gt;0),"n.d.",SUMPRODUCT(--('Repartition stock'!$A$6:$A$433="2026Q3"),--('Repartition stock'!$B$6:$B$433="ES"),--('Repartition stock'!$E$6:$E$433="Tranche"),--('Repartition stock'!$F$6:$F$433="100 - 1 000 €"),'Repartition stock'!$J$6:$J$433)))="n.d.",0,IF(OR(SUMPRODUCT(--('Repartition stock'!$A$6:$A$433="2026Q3"),--('Repartition stock'!$B$6:$B$433="ES"),--('Repartition stock'!$E$6:$E$433="Tranche"),--('Repartition stock'!$F$6:$F$433="100 - 1 000 €"))=0,SUMPRODUCT(--('Repartition stock'!$A$6:$A$433="2026Q3"),--('Repartition stock'!$B$6:$B$433="ES"),--('Repartition stock'!$E$6:$E$433="Tranche"),--('Repartition stock'!$F$6:$F$433="100 - 1 000 €"),--('Repartition stock'!$J$6:$J$433="n.d."))&gt;0),"n.d.",SUMPRODUCT(--('Repartition stock'!$A$6:$A$433="2026Q3"),--('Repartition stock'!$B$6:$B$433="ES"),--('Repartition stock'!$E$6:$E$433="Tranche"),--('Repartition stock'!$F$6:$F$433="100 - 1 000 €"),'Repartition stock'!$J$6:$J$433)))</f>
        <v>686886.0</v>
      </c>
      <c r="AA10" s="8"/>
      <c r="AB10" s="8"/>
      <c r="AC10" s="7">
        <f>IF((IF(OR(COUNT(X10,X12)&lt;&gt;2,X12=0),"n.d.",X10/X12))="n.d.",0,IF(OR(COUNT(X10,X12)&lt;&gt;2,X12=0),"n.d.",X10/X12))</f>
        <v>0.35164277559304835</v>
      </c>
      <c r="AD10" s="7"/>
      <c r="AE10" s="7">
        <f>IF((IF(OR(COUNT(Z10,Z12)&lt;&gt;2,Z12=0),"n.d.",Z10/Z12))="n.d.",0,IF(OR(COUNT(Z10,Z12)&lt;&gt;2,Z12=0),"n.d.",Z10/Z12))</f>
        <v>0.4630568306150914</v>
      </c>
      <c r="AF10" s="7"/>
    </row>
    <row r="11" spans="1:32" ht="13.5" customHeight="1">
      <c r="A11" s="13"/>
      <c r="R11" s="4"/>
      <c r="S11" s="4"/>
      <c r="T11" s="4"/>
      <c r="U11" s="16" t="s">
        <v>70</v>
      </c>
      <c r="V11" s="16"/>
      <c r="W11" s="16"/>
      <c r="X11" s="8">
        <f>IF((IF(OR(SUMPRODUCT(--('Repartition stock'!$A$6:$A$433="2026Q3"),--('Repartition stock'!$B$6:$B$433="ES"),--('Repartition stock'!$E$6:$E$433="Tranche"),--('Repartition stock'!$F$6:$F$433="&gt; 1 000 €"))=0,SUMPRODUCT(--('Repartition stock'!$A$6:$A$433="2026Q3"),--('Repartition stock'!$B$6:$B$433="ES"),--('Repartition stock'!$E$6:$E$433="Tranche"),--('Repartition stock'!$F$6:$F$433="&gt; 1 000 €"),--('Repartition stock'!$G$6:$G$433="n.d."))&gt;0),"n.d.",SUMPRODUCT(--('Repartition stock'!$A$6:$A$433="2026Q3"),--('Repartition stock'!$B$6:$B$433="ES"),--('Repartition stock'!$E$6:$E$433="Tranche"),--('Repartition stock'!$F$6:$F$433="&gt; 1 000 €"),'Repartition stock'!$G$6:$G$433)))="n.d.",0,IF(OR(SUMPRODUCT(--('Repartition stock'!$A$6:$A$433="2026Q3"),--('Repartition stock'!$B$6:$B$433="ES"),--('Repartition stock'!$E$6:$E$433="Tranche"),--('Repartition stock'!$F$6:$F$433="&gt; 1 000 €"))=0,SUMPRODUCT(--('Repartition stock'!$A$6:$A$433="2026Q3"),--('Repartition stock'!$B$6:$B$433="ES"),--('Repartition stock'!$E$6:$E$433="Tranche"),--('Repartition stock'!$F$6:$F$433="&gt; 1 000 €"),--('Repartition stock'!$G$6:$G$433="n.d."))&gt;0),"n.d.",SUMPRODUCT(--('Repartition stock'!$A$6:$A$433="2026Q3"),--('Repartition stock'!$B$6:$B$433="ES"),--('Repartition stock'!$E$6:$E$433="Tranche"),--('Repartition stock'!$F$6:$F$433="&gt; 1 000 €"),'Repartition stock'!$G$6:$G$433)))</f>
        <v>189.0</v>
      </c>
      <c r="Y11" s="8"/>
      <c r="Z11" s="8">
        <f>IF((IF(OR(SUMPRODUCT(--('Repartition stock'!$A$6:$A$433="2026Q3"),--('Repartition stock'!$B$6:$B$433="ES"),--('Repartition stock'!$E$6:$E$433="Tranche"),--('Repartition stock'!$F$6:$F$433="&gt; 1 000 €"))=0,SUMPRODUCT(--('Repartition stock'!$A$6:$A$433="2026Q3"),--('Repartition stock'!$B$6:$B$433="ES"),--('Repartition stock'!$E$6:$E$433="Tranche"),--('Repartition stock'!$F$6:$F$433="&gt; 1 000 €"),--('Repartition stock'!$J$6:$J$433="n.d."))&gt;0),"n.d.",SUMPRODUCT(--('Repartition stock'!$A$6:$A$433="2026Q3"),--('Repartition stock'!$B$6:$B$433="ES"),--('Repartition stock'!$E$6:$E$433="Tranche"),--('Repartition stock'!$F$6:$F$433="&gt; 1 000 €"),'Repartition stock'!$J$6:$J$433)))="n.d.",0,IF(OR(SUMPRODUCT(--('Repartition stock'!$A$6:$A$433="2026Q3"),--('Repartition stock'!$B$6:$B$433="ES"),--('Repartition stock'!$E$6:$E$433="Tranche"),--('Repartition stock'!$F$6:$F$433="&gt; 1 000 €"))=0,SUMPRODUCT(--('Repartition stock'!$A$6:$A$433="2026Q3"),--('Repartition stock'!$B$6:$B$433="ES"),--('Repartition stock'!$E$6:$E$433="Tranche"),--('Repartition stock'!$F$6:$F$433="&gt; 1 000 €"),--('Repartition stock'!$J$6:$J$433="n.d."))&gt;0),"n.d.",SUMPRODUCT(--('Repartition stock'!$A$6:$A$433="2026Q3"),--('Repartition stock'!$B$6:$B$433="ES"),--('Repartition stock'!$E$6:$E$433="Tranche"),--('Repartition stock'!$F$6:$F$433="&gt; 1 000 €"),'Repartition stock'!$J$6:$J$433)))</f>
        <v>591034.0</v>
      </c>
      <c r="AA11" s="8"/>
      <c r="AB11" s="8"/>
      <c r="AC11" s="7">
        <f>IF((IF(OR(COUNT(X11,X12)&lt;&gt;2,X12=0),"n.d.",X11/X12))="n.d.",0,IF(OR(COUNT(X11,X12)&lt;&gt;2,X12=0),"n.d.",X11/X12))</f>
        <v>0.023975643790435115</v>
      </c>
      <c r="AD11" s="7"/>
      <c r="AE11" s="7">
        <f>IF((IF(OR(COUNT(Z11,Z12)&lt;&gt;2,Z12=0),"n.d.",Z11/Z12))="n.d.",0,IF(OR(COUNT(Z11,Z12)&lt;&gt;2,Z12=0),"n.d.",Z11/Z12))</f>
        <v>0.3984392327486074</v>
      </c>
      <c r="AF11" s="7"/>
    </row>
    <row r="12" spans="1:32" ht="13.5" customHeight="1">
      <c r="A12" s="13"/>
      <c r="R12" s="17" t="s">
        <v>71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7883.0</v>
      </c>
      <c r="Y12" s="17"/>
      <c r="Z12" s="17">
        <f>IF((IF(COUNT(Z7:Z11)=5,SUM(Z7:Z11),"n.d."))="n.d.",0,IF(COUNT(Z7:Z11)=5,SUM(Z7:Z11),"n.d."))</f>
        <v>1483373.0</v>
      </c>
      <c r="AA12" s="17"/>
      <c r="AB12" s="17"/>
      <c r="AC12" s="10">
        <f>IF((IF(OR(NOT(ISNUMBER(X12)),X12=0),"n.d.",1))="n.d.",0,IF(OR(NOT(ISNUMBER(X12)),X12=0),"n.d.",1))</f>
        <v>1.0</v>
      </c>
      <c r="AD12" s="10"/>
      <c r="AE12" s="10">
        <f>IF((IF(OR(NOT(ISNUMBER(Z12)),Z12=0),"n.d.",1))="n.d.",0,IF(OR(NOT(ISNUMBER(Z12)),Z12=0),"n.d.",1))</f>
        <v>1.0</v>
      </c>
      <c r="AF12" s="10"/>
    </row>
    <row r="13" spans="1:32" ht="13.5" customHeight="1">
      <c r="A13" s="13"/>
    </row>
    <row r="14" spans="1:32" ht="13.5" customHeight="1">
      <c r="A14" s="13"/>
      <c r="R14" s="4" t="s">
        <v>72</v>
      </c>
      <c r="S14" s="4"/>
      <c r="T14" s="4"/>
      <c r="U14" s="16" t="s">
        <v>73</v>
      </c>
      <c r="V14" s="16"/>
      <c r="W14" s="16"/>
      <c r="X14" s="8">
        <f>IF((IF(OR(SUMPRODUCT(--('Repartition stock'!$A$6:$A$433="2026Q3"),--('Repartition stock'!$B$6:$B$433="ES"),--('Repartition stock'!$E$6:$E$433="Millésime"),--('Repartition stock'!$F$6:$F$433="&lt;2018"))=0,SUMPRODUCT(--('Repartition stock'!$A$6:$A$433="2026Q3"),--('Repartition stock'!$B$6:$B$433="ES"),--('Repartition stock'!$E$6:$E$433="Millésime"),--('Repartition stock'!$F$6:$F$433="&lt;2018"),--('Repartition stock'!$G$6:$G$433="n.d."))&gt;0),"n.d.",SUMPRODUCT(--('Repartition stock'!$A$6:$A$433="2026Q3"),--('Repartition stock'!$B$6:$B$433="ES"),--('Repartition stock'!$E$6:$E$433="Millésime"),--('Repartition stock'!$F$6:$F$433="&lt;2018"),'Repartition stock'!$G$6:$G$433)))="n.d.",0,IF(OR(SUMPRODUCT(--('Repartition stock'!$A$6:$A$433="2026Q3"),--('Repartition stock'!$B$6:$B$433="ES"),--('Repartition stock'!$E$6:$E$433="Millésime"),--('Repartition stock'!$F$6:$F$433="&lt;2018"))=0,SUMPRODUCT(--('Repartition stock'!$A$6:$A$433="2026Q3"),--('Repartition stock'!$B$6:$B$433="ES"),--('Repartition stock'!$E$6:$E$433="Millésime"),--('Repartition stock'!$F$6:$F$433="&lt;2018"),--('Repartition stock'!$G$6:$G$433="n.d."))&gt;0),"n.d.",SUMPRODUCT(--('Repartition stock'!$A$6:$A$433="2026Q3"),--('Repartition stock'!$B$6:$B$433="ES"),--('Repartition stock'!$E$6:$E$433="Millésime"),--('Repartition stock'!$F$6:$F$433="&lt;2018"),'Repartition stock'!$G$6:$G$433)))</f>
        <v>0</v>
      </c>
      <c r="Y14" s="8"/>
      <c r="Z14" s="8">
        <f>IF((IF(OR(SUMPRODUCT(--('Repartition stock'!$A$6:$A$433="2026Q3"),--('Repartition stock'!$B$6:$B$433="ES"),--('Repartition stock'!$E$6:$E$433="Millésime"),--('Repartition stock'!$F$6:$F$433="&lt;2018"))=0,SUMPRODUCT(--('Repartition stock'!$A$6:$A$433="2026Q3"),--('Repartition stock'!$B$6:$B$433="ES"),--('Repartition stock'!$E$6:$E$433="Millésime"),--('Repartition stock'!$F$6:$F$433="&lt;2018"),--('Repartition stock'!$J$6:$J$433="n.d."))&gt;0),"n.d.",SUMPRODUCT(--('Repartition stock'!$A$6:$A$433="2026Q3"),--('Repartition stock'!$B$6:$B$433="ES"),--('Repartition stock'!$E$6:$E$433="Millésime"),--('Repartition stock'!$F$6:$F$433="&lt;2018"),'Repartition stock'!$J$6:$J$433)))="n.d.",0,IF(OR(SUMPRODUCT(--('Repartition stock'!$A$6:$A$433="2026Q3"),--('Repartition stock'!$B$6:$B$433="ES"),--('Repartition stock'!$E$6:$E$433="Millésime"),--('Repartition stock'!$F$6:$F$433="&lt;2018"))=0,SUMPRODUCT(--('Repartition stock'!$A$6:$A$433="2026Q3"),--('Repartition stock'!$B$6:$B$433="ES"),--('Repartition stock'!$E$6:$E$433="Millésime"),--('Repartition stock'!$F$6:$F$433="&lt;2018"),--('Repartition stock'!$J$6:$J$433="n.d."))&gt;0),"n.d.",SUMPRODUCT(--('Repartition stock'!$A$6:$A$433="2026Q3"),--('Repartition stock'!$B$6:$B$433="ES"),--('Repartition stock'!$E$6:$E$433="Millésime"),--('Repartition stock'!$F$6:$F$433="&lt;2018"),'Repartition stock'!$J$6:$J$433)))</f>
        <v>0</v>
      </c>
      <c r="AA14" s="8"/>
      <c r="AB14" s="8"/>
      <c r="AC14" s="7">
        <f>IF((IF(OR(COUNT(X14,X24)&lt;&gt;2,X24=0),"n.d.",X14/X24))="n.d.",0,IF(OR(COUNT(X14,X24)&lt;&gt;2,X24=0),"n.d.",X14/X24))</f>
        <v>0</v>
      </c>
      <c r="AD14" s="7"/>
      <c r="AE14" s="7">
        <f>IF((IF(OR(COUNT(Z14,Z24)&lt;&gt;2,Z24=0),"n.d.",Z14/Z24))="n.d.",0,IF(OR(COUNT(Z14,Z24)&lt;&gt;2,Z24=0),"n.d.",Z14/Z24))</f>
        <v>0</v>
      </c>
      <c r="AF14" s="7"/>
    </row>
    <row r="15" spans="1:32" ht="13.5" customHeight="1">
      <c r="A15" s="13"/>
      <c r="R15" s="4"/>
      <c r="S15" s="4"/>
      <c r="T15" s="4"/>
      <c r="U15" s="16" t="s">
        <v>74</v>
      </c>
      <c r="V15" s="16"/>
      <c r="W15" s="16"/>
      <c r="X15" s="8">
        <f>IF((IF(OR(SUMPRODUCT(--('Repartition stock'!$A$6:$A$433="2026Q3"),--('Repartition stock'!$B$6:$B$433="ES"),--('Repartition stock'!$E$6:$E$433="Millésime"),--('Repartition stock'!$F$6:$F$433="2018"))=0,SUMPRODUCT(--('Repartition stock'!$A$6:$A$433="2026Q3"),--('Repartition stock'!$B$6:$B$433="ES"),--('Repartition stock'!$E$6:$E$433="Millésime"),--('Repartition stock'!$F$6:$F$433="2018"),--('Repartition stock'!$G$6:$G$433="n.d."))&gt;0),"n.d.",SUMPRODUCT(--('Repartition stock'!$A$6:$A$433="2026Q3"),--('Repartition stock'!$B$6:$B$433="ES"),--('Repartition stock'!$E$6:$E$433="Millésime"),--('Repartition stock'!$F$6:$F$433="2018"),'Repartition stock'!$G$6:$G$433)))="n.d.",0,IF(OR(SUMPRODUCT(--('Repartition stock'!$A$6:$A$433="2026Q3"),--('Repartition stock'!$B$6:$B$433="ES"),--('Repartition stock'!$E$6:$E$433="Millésime"),--('Repartition stock'!$F$6:$F$433="2018"))=0,SUMPRODUCT(--('Repartition stock'!$A$6:$A$433="2026Q3"),--('Repartition stock'!$B$6:$B$433="ES"),--('Repartition stock'!$E$6:$E$433="Millésime"),--('Repartition stock'!$F$6:$F$433="2018"),--('Repartition stock'!$G$6:$G$433="n.d."))&gt;0),"n.d.",SUMPRODUCT(--('Repartition stock'!$A$6:$A$433="2026Q3"),--('Repartition stock'!$B$6:$B$433="ES"),--('Repartition stock'!$E$6:$E$433="Millésime"),--('Repartition stock'!$F$6:$F$433="2018"),'Repartition stock'!$G$6:$G$433)))</f>
        <v>0</v>
      </c>
      <c r="Y15" s="8"/>
      <c r="Z15" s="8">
        <f>IF((IF(OR(SUMPRODUCT(--('Repartition stock'!$A$6:$A$433="2026Q3"),--('Repartition stock'!$B$6:$B$433="ES"),--('Repartition stock'!$E$6:$E$433="Millésime"),--('Repartition stock'!$F$6:$F$433="2018"))=0,SUMPRODUCT(--('Repartition stock'!$A$6:$A$433="2026Q3"),--('Repartition stock'!$B$6:$B$433="ES"),--('Repartition stock'!$E$6:$E$433="Millésime"),--('Repartition stock'!$F$6:$F$433="2018"),--('Repartition stock'!$J$6:$J$433="n.d."))&gt;0),"n.d.",SUMPRODUCT(--('Repartition stock'!$A$6:$A$433="2026Q3"),--('Repartition stock'!$B$6:$B$433="ES"),--('Repartition stock'!$E$6:$E$433="Millésime"),--('Repartition stock'!$F$6:$F$433="2018"),'Repartition stock'!$J$6:$J$433)))="n.d.",0,IF(OR(SUMPRODUCT(--('Repartition stock'!$A$6:$A$433="2026Q3"),--('Repartition stock'!$B$6:$B$433="ES"),--('Repartition stock'!$E$6:$E$433="Millésime"),--('Repartition stock'!$F$6:$F$433="2018"))=0,SUMPRODUCT(--('Repartition stock'!$A$6:$A$433="2026Q3"),--('Repartition stock'!$B$6:$B$433="ES"),--('Repartition stock'!$E$6:$E$433="Millésime"),--('Repartition stock'!$F$6:$F$433="2018"),--('Repartition stock'!$J$6:$J$433="n.d."))&gt;0),"n.d.",SUMPRODUCT(--('Repartition stock'!$A$6:$A$433="2026Q3"),--('Repartition stock'!$B$6:$B$433="ES"),--('Repartition stock'!$E$6:$E$433="Millésime"),--('Repartition stock'!$F$6:$F$433="2018"),'Repartition stock'!$J$6:$J$433)))</f>
        <v>0</v>
      </c>
      <c r="AA15" s="8"/>
      <c r="AB15" s="8"/>
      <c r="AC15" s="7">
        <f>IF((IF(OR(COUNT(X15,X24)&lt;&gt;2,X24=0),"n.d.",X15/X24))="n.d.",0,IF(OR(COUNT(X15,X24)&lt;&gt;2,X24=0),"n.d.",X15/X24))</f>
        <v>0</v>
      </c>
      <c r="AD15" s="7"/>
      <c r="AE15" s="7">
        <f>IF((IF(OR(COUNT(Z15,Z24)&lt;&gt;2,Z24=0),"n.d.",Z15/Z24))="n.d.",0,IF(OR(COUNT(Z15,Z24)&lt;&gt;2,Z24=0),"n.d.",Z15/Z24))</f>
        <v>0</v>
      </c>
      <c r="AF15" s="7"/>
    </row>
    <row r="16" spans="1:32" ht="13.5" customHeight="1">
      <c r="A16" s="13"/>
      <c r="R16" s="4"/>
      <c r="S16" s="4"/>
      <c r="T16" s="4"/>
      <c r="U16" s="16" t="s">
        <v>75</v>
      </c>
      <c r="V16" s="16"/>
      <c r="W16" s="16"/>
      <c r="X16" s="8">
        <f>IF((IF(OR(SUMPRODUCT(--('Repartition stock'!$A$6:$A$433="2026Q3"),--('Repartition stock'!$B$6:$B$433="ES"),--('Repartition stock'!$E$6:$E$433="Millésime"),--('Repartition stock'!$F$6:$F$433="2019"))=0,SUMPRODUCT(--('Repartition stock'!$A$6:$A$433="2026Q3"),--('Repartition stock'!$B$6:$B$433="ES"),--('Repartition stock'!$E$6:$E$433="Millésime"),--('Repartition stock'!$F$6:$F$433="2019"),--('Repartition stock'!$G$6:$G$433="n.d."))&gt;0),"n.d.",SUMPRODUCT(--('Repartition stock'!$A$6:$A$433="2026Q3"),--('Repartition stock'!$B$6:$B$433="ES"),--('Repartition stock'!$E$6:$E$433="Millésime"),--('Repartition stock'!$F$6:$F$433="2019"),'Repartition stock'!$G$6:$G$433)))="n.d.",0,IF(OR(SUMPRODUCT(--('Repartition stock'!$A$6:$A$433="2026Q3"),--('Repartition stock'!$B$6:$B$433="ES"),--('Repartition stock'!$E$6:$E$433="Millésime"),--('Repartition stock'!$F$6:$F$433="2019"))=0,SUMPRODUCT(--('Repartition stock'!$A$6:$A$433="2026Q3"),--('Repartition stock'!$B$6:$B$433="ES"),--('Repartition stock'!$E$6:$E$433="Millésime"),--('Repartition stock'!$F$6:$F$433="2019"),--('Repartition stock'!$G$6:$G$433="n.d."))&gt;0),"n.d.",SUMPRODUCT(--('Repartition stock'!$A$6:$A$433="2026Q3"),--('Repartition stock'!$B$6:$B$433="ES"),--('Repartition stock'!$E$6:$E$433="Millésime"),--('Repartition stock'!$F$6:$F$433="2019"),'Repartition stock'!$G$6:$G$433)))</f>
        <v>0</v>
      </c>
      <c r="Y16" s="8"/>
      <c r="Z16" s="8">
        <f>IF((IF(OR(SUMPRODUCT(--('Repartition stock'!$A$6:$A$433="2026Q3"),--('Repartition stock'!$B$6:$B$433="ES"),--('Repartition stock'!$E$6:$E$433="Millésime"),--('Repartition stock'!$F$6:$F$433="2019"))=0,SUMPRODUCT(--('Repartition stock'!$A$6:$A$433="2026Q3"),--('Repartition stock'!$B$6:$B$433="ES"),--('Repartition stock'!$E$6:$E$433="Millésime"),--('Repartition stock'!$F$6:$F$433="2019"),--('Repartition stock'!$J$6:$J$433="n.d."))&gt;0),"n.d.",SUMPRODUCT(--('Repartition stock'!$A$6:$A$433="2026Q3"),--('Repartition stock'!$B$6:$B$433="ES"),--('Repartition stock'!$E$6:$E$433="Millésime"),--('Repartition stock'!$F$6:$F$433="2019"),'Repartition stock'!$J$6:$J$433)))="n.d.",0,IF(OR(SUMPRODUCT(--('Repartition stock'!$A$6:$A$433="2026Q3"),--('Repartition stock'!$B$6:$B$433="ES"),--('Repartition stock'!$E$6:$E$433="Millésime"),--('Repartition stock'!$F$6:$F$433="2019"))=0,SUMPRODUCT(--('Repartition stock'!$A$6:$A$433="2026Q3"),--('Repartition stock'!$B$6:$B$433="ES"),--('Repartition stock'!$E$6:$E$433="Millésime"),--('Repartition stock'!$F$6:$F$433="2019"),--('Repartition stock'!$J$6:$J$433="n.d."))&gt;0),"n.d.",SUMPRODUCT(--('Repartition stock'!$A$6:$A$433="2026Q3"),--('Repartition stock'!$B$6:$B$433="ES"),--('Repartition stock'!$E$6:$E$433="Millésime"),--('Repartition stock'!$F$6:$F$433="2019"),'Repartition stock'!$J$6:$J$433)))</f>
        <v>0</v>
      </c>
      <c r="AA16" s="8"/>
      <c r="AB16" s="8"/>
      <c r="AC16" s="7">
        <f>IF((IF(OR(COUNT(X16,X24)&lt;&gt;2,X24=0),"n.d.",X16/X24))="n.d.",0,IF(OR(COUNT(X16,X24)&lt;&gt;2,X24=0),"n.d.",X16/X24))</f>
        <v>0</v>
      </c>
      <c r="AD16" s="7"/>
      <c r="AE16" s="7">
        <f>IF((IF(OR(COUNT(Z16,Z24)&lt;&gt;2,Z24=0),"n.d.",Z16/Z24))="n.d.",0,IF(OR(COUNT(Z16,Z24)&lt;&gt;2,Z24=0),"n.d.",Z16/Z24))</f>
        <v>0</v>
      </c>
      <c r="AF16" s="7"/>
    </row>
    <row r="17" spans="1:32" ht="13.5" customHeight="1">
      <c r="A17" s="13"/>
      <c r="R17" s="4"/>
      <c r="S17" s="4"/>
      <c r="T17" s="4"/>
      <c r="U17" s="16" t="s">
        <v>76</v>
      </c>
      <c r="V17" s="16"/>
      <c r="W17" s="16"/>
      <c r="X17" s="8">
        <f>IF((IF(OR(SUMPRODUCT(--('Repartition stock'!$A$6:$A$433="2026Q3"),--('Repartition stock'!$B$6:$B$433="ES"),--('Repartition stock'!$E$6:$E$433="Millésime"),--('Repartition stock'!$F$6:$F$433="2020"))=0,SUMPRODUCT(--('Repartition stock'!$A$6:$A$433="2026Q3"),--('Repartition stock'!$B$6:$B$433="ES"),--('Repartition stock'!$E$6:$E$433="Millésime"),--('Repartition stock'!$F$6:$F$433="2020"),--('Repartition stock'!$G$6:$G$433="n.d."))&gt;0),"n.d.",SUMPRODUCT(--('Repartition stock'!$A$6:$A$433="2026Q3"),--('Repartition stock'!$B$6:$B$433="ES"),--('Repartition stock'!$E$6:$E$433="Millésime"),--('Repartition stock'!$F$6:$F$433="2020"),'Repartition stock'!$G$6:$G$433)))="n.d.",0,IF(OR(SUMPRODUCT(--('Repartition stock'!$A$6:$A$433="2026Q3"),--('Repartition stock'!$B$6:$B$433="ES"),--('Repartition stock'!$E$6:$E$433="Millésime"),--('Repartition stock'!$F$6:$F$433="2020"))=0,SUMPRODUCT(--('Repartition stock'!$A$6:$A$433="2026Q3"),--('Repartition stock'!$B$6:$B$433="ES"),--('Repartition stock'!$E$6:$E$433="Millésime"),--('Repartition stock'!$F$6:$F$433="2020"),--('Repartition stock'!$G$6:$G$433="n.d."))&gt;0),"n.d.",SUMPRODUCT(--('Repartition stock'!$A$6:$A$433="2026Q3"),--('Repartition stock'!$B$6:$B$433="ES"),--('Repartition stock'!$E$6:$E$433="Millésime"),--('Repartition stock'!$F$6:$F$433="2020"),'Repartition stock'!$G$6:$G$433)))</f>
        <v>1.0</v>
      </c>
      <c r="Y17" s="8"/>
      <c r="Z17" s="8">
        <f>IF((IF(OR(SUMPRODUCT(--('Repartition stock'!$A$6:$A$433="2026Q3"),--('Repartition stock'!$B$6:$B$433="ES"),--('Repartition stock'!$E$6:$E$433="Millésime"),--('Repartition stock'!$F$6:$F$433="2020"))=0,SUMPRODUCT(--('Repartition stock'!$A$6:$A$433="2026Q3"),--('Repartition stock'!$B$6:$B$433="ES"),--('Repartition stock'!$E$6:$E$433="Millésime"),--('Repartition stock'!$F$6:$F$433="2020"),--('Repartition stock'!$J$6:$J$433="n.d."))&gt;0),"n.d.",SUMPRODUCT(--('Repartition stock'!$A$6:$A$433="2026Q3"),--('Repartition stock'!$B$6:$B$433="ES"),--('Repartition stock'!$E$6:$E$433="Millésime"),--('Repartition stock'!$F$6:$F$433="2020"),'Repartition stock'!$J$6:$J$433)))="n.d.",0,IF(OR(SUMPRODUCT(--('Repartition stock'!$A$6:$A$433="2026Q3"),--('Repartition stock'!$B$6:$B$433="ES"),--('Repartition stock'!$E$6:$E$433="Millésime"),--('Repartition stock'!$F$6:$F$433="2020"))=0,SUMPRODUCT(--('Repartition stock'!$A$6:$A$433="2026Q3"),--('Repartition stock'!$B$6:$B$433="ES"),--('Repartition stock'!$E$6:$E$433="Millésime"),--('Repartition stock'!$F$6:$F$433="2020"),--('Repartition stock'!$J$6:$J$433="n.d."))&gt;0),"n.d.",SUMPRODUCT(--('Repartition stock'!$A$6:$A$433="2026Q3"),--('Repartition stock'!$B$6:$B$433="ES"),--('Repartition stock'!$E$6:$E$433="Millésime"),--('Repartition stock'!$F$6:$F$433="2020"),'Repartition stock'!$J$6:$J$433)))</f>
        <v>9.0</v>
      </c>
      <c r="AA17" s="8"/>
      <c r="AB17" s="8"/>
      <c r="AC17" s="7">
        <f>IF((IF(OR(COUNT(X17,X24)&lt;&gt;2,X24=0),"n.d.",X17/X24))="n.d.",0,IF(OR(COUNT(X17,X24)&lt;&gt;2,X24=0),"n.d.",X17/X24))</f>
        <v>0.00012685525815045033</v>
      </c>
      <c r="AD17" s="7"/>
      <c r="AE17" s="7">
        <f>IF((IF(OR(COUNT(Z17,Z24)&lt;&gt;2,Z24=0),"n.d.",Z17/Z24))="n.d.",0,IF(OR(COUNT(Z17,Z24)&lt;&gt;2,Z24=0),"n.d.",Z17/Z24))</f>
        <v>6.06725757261159e-06</v>
      </c>
      <c r="AF17" s="7"/>
    </row>
    <row r="18" spans="1:32" ht="13.5" customHeight="1">
      <c r="A18" s="13"/>
      <c r="R18" s="4"/>
      <c r="S18" s="4"/>
      <c r="T18" s="4"/>
      <c r="U18" s="16" t="s">
        <v>77</v>
      </c>
      <c r="V18" s="16"/>
      <c r="W18" s="16"/>
      <c r="X18" s="8">
        <f>IF((IF(OR(SUMPRODUCT(--('Repartition stock'!$A$6:$A$433="2026Q3"),--('Repartition stock'!$B$6:$B$433="ES"),--('Repartition stock'!$E$6:$E$433="Millésime"),--('Repartition stock'!$F$6:$F$433="2021"))=0,SUMPRODUCT(--('Repartition stock'!$A$6:$A$433="2026Q3"),--('Repartition stock'!$B$6:$B$433="ES"),--('Repartition stock'!$E$6:$E$433="Millésime"),--('Repartition stock'!$F$6:$F$433="2021"),--('Repartition stock'!$G$6:$G$433="n.d."))&gt;0),"n.d.",SUMPRODUCT(--('Repartition stock'!$A$6:$A$433="2026Q3"),--('Repartition stock'!$B$6:$B$433="ES"),--('Repartition stock'!$E$6:$E$433="Millésime"),--('Repartition stock'!$F$6:$F$433="2021"),'Repartition stock'!$G$6:$G$433)))="n.d.",0,IF(OR(SUMPRODUCT(--('Repartition stock'!$A$6:$A$433="2026Q3"),--('Repartition stock'!$B$6:$B$433="ES"),--('Repartition stock'!$E$6:$E$433="Millésime"),--('Repartition stock'!$F$6:$F$433="2021"))=0,SUMPRODUCT(--('Repartition stock'!$A$6:$A$433="2026Q3"),--('Repartition stock'!$B$6:$B$433="ES"),--('Repartition stock'!$E$6:$E$433="Millésime"),--('Repartition stock'!$F$6:$F$433="2021"),--('Repartition stock'!$G$6:$G$433="n.d."))&gt;0),"n.d.",SUMPRODUCT(--('Repartition stock'!$A$6:$A$433="2026Q3"),--('Repartition stock'!$B$6:$B$433="ES"),--('Repartition stock'!$E$6:$E$433="Millésime"),--('Repartition stock'!$F$6:$F$433="2021"),'Repartition stock'!$G$6:$G$433)))</f>
        <v>3.0</v>
      </c>
      <c r="Y18" s="8"/>
      <c r="Z18" s="8">
        <f>IF((IF(OR(SUMPRODUCT(--('Repartition stock'!$A$6:$A$433="2026Q3"),--('Repartition stock'!$B$6:$B$433="ES"),--('Repartition stock'!$E$6:$E$433="Millésime"),--('Repartition stock'!$F$6:$F$433="2021"))=0,SUMPRODUCT(--('Repartition stock'!$A$6:$A$433="2026Q3"),--('Repartition stock'!$B$6:$B$433="ES"),--('Repartition stock'!$E$6:$E$433="Millésime"),--('Repartition stock'!$F$6:$F$433="2021"),--('Repartition stock'!$J$6:$J$433="n.d."))&gt;0),"n.d.",SUMPRODUCT(--('Repartition stock'!$A$6:$A$433="2026Q3"),--('Repartition stock'!$B$6:$B$433="ES"),--('Repartition stock'!$E$6:$E$433="Millésime"),--('Repartition stock'!$F$6:$F$433="2021"),'Repartition stock'!$J$6:$J$433)))="n.d.",0,IF(OR(SUMPRODUCT(--('Repartition stock'!$A$6:$A$433="2026Q3"),--('Repartition stock'!$B$6:$B$433="ES"),--('Repartition stock'!$E$6:$E$433="Millésime"),--('Repartition stock'!$F$6:$F$433="2021"))=0,SUMPRODUCT(--('Repartition stock'!$A$6:$A$433="2026Q3"),--('Repartition stock'!$B$6:$B$433="ES"),--('Repartition stock'!$E$6:$E$433="Millésime"),--('Repartition stock'!$F$6:$F$433="2021"),--('Repartition stock'!$J$6:$J$433="n.d."))&gt;0),"n.d.",SUMPRODUCT(--('Repartition stock'!$A$6:$A$433="2026Q3"),--('Repartition stock'!$B$6:$B$433="ES"),--('Repartition stock'!$E$6:$E$433="Millésime"),--('Repartition stock'!$F$6:$F$433="2021"),'Repartition stock'!$J$6:$J$433)))</f>
        <v>273.0</v>
      </c>
      <c r="AA18" s="8"/>
      <c r="AB18" s="8"/>
      <c r="AC18" s="7">
        <f>IF((IF(OR(COUNT(X18,X24)&lt;&gt;2,X24=0),"n.d.",X18/X24))="n.d.",0,IF(OR(COUNT(X18,X24)&lt;&gt;2,X24=0),"n.d.",X18/X24))</f>
        <v>0.000380565774451351</v>
      </c>
      <c r="AD18" s="7"/>
      <c r="AE18" s="7">
        <f>IF((IF(OR(COUNT(Z18,Z24)&lt;&gt;2,Z24=0),"n.d.",Z18/Z24))="n.d.",0,IF(OR(COUNT(Z18,Z24)&lt;&gt;2,Z24=0),"n.d.",Z18/Z24))</f>
        <v>0.00018404014636921824</v>
      </c>
      <c r="AF18" s="7"/>
    </row>
    <row r="19" spans="1:32" ht="13.5" customHeight="1">
      <c r="A19" s="13"/>
      <c r="R19" s="4"/>
      <c r="S19" s="4"/>
      <c r="T19" s="4"/>
      <c r="U19" s="16" t="s">
        <v>78</v>
      </c>
      <c r="V19" s="16"/>
      <c r="W19" s="16"/>
      <c r="X19" s="8">
        <f>IF((IF(OR(SUMPRODUCT(--('Repartition stock'!$A$6:$A$433="2026Q3"),--('Repartition stock'!$B$6:$B$433="ES"),--('Repartition stock'!$E$6:$E$433="Millésime"),--('Repartition stock'!$F$6:$F$433="2022"))=0,SUMPRODUCT(--('Repartition stock'!$A$6:$A$433="2026Q3"),--('Repartition stock'!$B$6:$B$433="ES"),--('Repartition stock'!$E$6:$E$433="Millésime"),--('Repartition stock'!$F$6:$F$433="2022"),--('Repartition stock'!$G$6:$G$433="n.d."))&gt;0),"n.d.",SUMPRODUCT(--('Repartition stock'!$A$6:$A$433="2026Q3"),--('Repartition stock'!$B$6:$B$433="ES"),--('Repartition stock'!$E$6:$E$433="Millésime"),--('Repartition stock'!$F$6:$F$433="2022"),'Repartition stock'!$G$6:$G$433)))="n.d.",0,IF(OR(SUMPRODUCT(--('Repartition stock'!$A$6:$A$433="2026Q3"),--('Repartition stock'!$B$6:$B$433="ES"),--('Repartition stock'!$E$6:$E$433="Millésime"),--('Repartition stock'!$F$6:$F$433="2022"))=0,SUMPRODUCT(--('Repartition stock'!$A$6:$A$433="2026Q3"),--('Repartition stock'!$B$6:$B$433="ES"),--('Repartition stock'!$E$6:$E$433="Millésime"),--('Repartition stock'!$F$6:$F$433="2022"),--('Repartition stock'!$G$6:$G$433="n.d."))&gt;0),"n.d.",SUMPRODUCT(--('Repartition stock'!$A$6:$A$433="2026Q3"),--('Repartition stock'!$B$6:$B$433="ES"),--('Repartition stock'!$E$6:$E$433="Millésime"),--('Repartition stock'!$F$6:$F$433="2022"),'Repartition stock'!$G$6:$G$433)))</f>
        <v>4.0</v>
      </c>
      <c r="Y19" s="8"/>
      <c r="Z19" s="8">
        <f>IF((IF(OR(SUMPRODUCT(--('Repartition stock'!$A$6:$A$433="2026Q3"),--('Repartition stock'!$B$6:$B$433="ES"),--('Repartition stock'!$E$6:$E$433="Millésime"),--('Repartition stock'!$F$6:$F$433="2022"))=0,SUMPRODUCT(--('Repartition stock'!$A$6:$A$433="2026Q3"),--('Repartition stock'!$B$6:$B$433="ES"),--('Repartition stock'!$E$6:$E$433="Millésime"),--('Repartition stock'!$F$6:$F$433="2022"),--('Repartition stock'!$J$6:$J$433="n.d."))&gt;0),"n.d.",SUMPRODUCT(--('Repartition stock'!$A$6:$A$433="2026Q3"),--('Repartition stock'!$B$6:$B$433="ES"),--('Repartition stock'!$E$6:$E$433="Millésime"),--('Repartition stock'!$F$6:$F$433="2022"),'Repartition stock'!$J$6:$J$433)))="n.d.",0,IF(OR(SUMPRODUCT(--('Repartition stock'!$A$6:$A$433="2026Q3"),--('Repartition stock'!$B$6:$B$433="ES"),--('Repartition stock'!$E$6:$E$433="Millésime"),--('Repartition stock'!$F$6:$F$433="2022"))=0,SUMPRODUCT(--('Repartition stock'!$A$6:$A$433="2026Q3"),--('Repartition stock'!$B$6:$B$433="ES"),--('Repartition stock'!$E$6:$E$433="Millésime"),--('Repartition stock'!$F$6:$F$433="2022"),--('Repartition stock'!$J$6:$J$433="n.d."))&gt;0),"n.d.",SUMPRODUCT(--('Repartition stock'!$A$6:$A$433="2026Q3"),--('Repartition stock'!$B$6:$B$433="ES"),--('Repartition stock'!$E$6:$E$433="Millésime"),--('Repartition stock'!$F$6:$F$433="2022"),'Repartition stock'!$J$6:$J$433)))</f>
        <v>640.0</v>
      </c>
      <c r="AA19" s="8"/>
      <c r="AB19" s="8"/>
      <c r="AC19" s="7">
        <f>IF((IF(OR(COUNT(X19,X24)&lt;&gt;2,X24=0),"n.d.",X19/X24))="n.d.",0,IF(OR(COUNT(X19,X24)&lt;&gt;2,X24=0),"n.d.",X19/X24))</f>
        <v>0.0005074210326018013</v>
      </c>
      <c r="AD19" s="7"/>
      <c r="AE19" s="7">
        <f>IF((IF(OR(COUNT(Z19,Z24)&lt;&gt;2,Z24=0),"n.d.",Z19/Z24))="n.d.",0,IF(OR(COUNT(Z19,Z24)&lt;&gt;2,Z24=0),"n.d.",Z19/Z24))</f>
        <v>0.00043144942738571306</v>
      </c>
      <c r="AF19" s="7"/>
    </row>
    <row r="20" spans="1:32" ht="13.5" customHeight="1">
      <c r="A20" s="13"/>
      <c r="R20" s="4"/>
      <c r="S20" s="4"/>
      <c r="T20" s="4"/>
      <c r="U20" s="16" t="s">
        <v>79</v>
      </c>
      <c r="V20" s="16"/>
      <c r="W20" s="16"/>
      <c r="X20" s="8">
        <f>IF((IF(OR(SUMPRODUCT(--('Repartition stock'!$A$6:$A$433="2026Q3"),--('Repartition stock'!$B$6:$B$433="ES"),--('Repartition stock'!$E$6:$E$433="Millésime"),--('Repartition stock'!$F$6:$F$433="2023"))=0,SUMPRODUCT(--('Repartition stock'!$A$6:$A$433="2026Q3"),--('Repartition stock'!$B$6:$B$433="ES"),--('Repartition stock'!$E$6:$E$433="Millésime"),--('Repartition stock'!$F$6:$F$433="2023"),--('Repartition stock'!$G$6:$G$433="n.d."))&gt;0),"n.d.",SUMPRODUCT(--('Repartition stock'!$A$6:$A$433="2026Q3"),--('Repartition stock'!$B$6:$B$433="ES"),--('Repartition stock'!$E$6:$E$433="Millésime"),--('Repartition stock'!$F$6:$F$433="2023"),'Repartition stock'!$G$6:$G$433)))="n.d.",0,IF(OR(SUMPRODUCT(--('Repartition stock'!$A$6:$A$433="2026Q3"),--('Repartition stock'!$B$6:$B$433="ES"),--('Repartition stock'!$E$6:$E$433="Millésime"),--('Repartition stock'!$F$6:$F$433="2023"))=0,SUMPRODUCT(--('Repartition stock'!$A$6:$A$433="2026Q3"),--('Repartition stock'!$B$6:$B$433="ES"),--('Repartition stock'!$E$6:$E$433="Millésime"),--('Repartition stock'!$F$6:$F$433="2023"),--('Repartition stock'!$G$6:$G$433="n.d."))&gt;0),"n.d.",SUMPRODUCT(--('Repartition stock'!$A$6:$A$433="2026Q3"),--('Repartition stock'!$B$6:$B$433="ES"),--('Repartition stock'!$E$6:$E$433="Millésime"),--('Repartition stock'!$F$6:$F$433="2023"),'Repartition stock'!$G$6:$G$433)))</f>
        <v>7.0</v>
      </c>
      <c r="Y20" s="8"/>
      <c r="Z20" s="8">
        <f>IF((IF(OR(SUMPRODUCT(--('Repartition stock'!$A$6:$A$433="2026Q3"),--('Repartition stock'!$B$6:$B$433="ES"),--('Repartition stock'!$E$6:$E$433="Millésime"),--('Repartition stock'!$F$6:$F$433="2023"))=0,SUMPRODUCT(--('Repartition stock'!$A$6:$A$433="2026Q3"),--('Repartition stock'!$B$6:$B$433="ES"),--('Repartition stock'!$E$6:$E$433="Millésime"),--('Repartition stock'!$F$6:$F$433="2023"),--('Repartition stock'!$J$6:$J$433="n.d."))&gt;0),"n.d.",SUMPRODUCT(--('Repartition stock'!$A$6:$A$433="2026Q3"),--('Repartition stock'!$B$6:$B$433="ES"),--('Repartition stock'!$E$6:$E$433="Millésime"),--('Repartition stock'!$F$6:$F$433="2023"),'Repartition stock'!$J$6:$J$433)))="n.d.",0,IF(OR(SUMPRODUCT(--('Repartition stock'!$A$6:$A$433="2026Q3"),--('Repartition stock'!$B$6:$B$433="ES"),--('Repartition stock'!$E$6:$E$433="Millésime"),--('Repartition stock'!$F$6:$F$433="2023"))=0,SUMPRODUCT(--('Repartition stock'!$A$6:$A$433="2026Q3"),--('Repartition stock'!$B$6:$B$433="ES"),--('Repartition stock'!$E$6:$E$433="Millésime"),--('Repartition stock'!$F$6:$F$433="2023"),--('Repartition stock'!$J$6:$J$433="n.d."))&gt;0),"n.d.",SUMPRODUCT(--('Repartition stock'!$A$6:$A$433="2026Q3"),--('Repartition stock'!$B$6:$B$433="ES"),--('Repartition stock'!$E$6:$E$433="Millésime"),--('Repartition stock'!$F$6:$F$433="2023"),'Repartition stock'!$J$6:$J$433)))</f>
        <v>100.0</v>
      </c>
      <c r="AA20" s="8"/>
      <c r="AB20" s="8"/>
      <c r="AC20" s="7">
        <f>IF((IF(OR(COUNT(X20,X24)&lt;&gt;2,X24=0),"n.d.",X20/X24))="n.d.",0,IF(OR(COUNT(X20,X24)&lt;&gt;2,X24=0),"n.d.",X20/X24))</f>
        <v>0.0008879868070531524</v>
      </c>
      <c r="AD20" s="7"/>
      <c r="AE20" s="7">
        <f>IF((IF(OR(COUNT(Z20,Z24)&lt;&gt;2,Z24=0),"n.d.",Z20/Z24))="n.d.",0,IF(OR(COUNT(Z20,Z24)&lt;&gt;2,Z24=0),"n.d.",Z20/Z24))</f>
        <v>6.741397302901767e-05</v>
      </c>
      <c r="AF20" s="7"/>
    </row>
    <row r="21" spans="1:32" ht="13.5" customHeight="1">
      <c r="A21" s="13"/>
      <c r="R21" s="4"/>
      <c r="S21" s="4"/>
      <c r="T21" s="4"/>
      <c r="U21" s="16" t="s">
        <v>80</v>
      </c>
      <c r="V21" s="16"/>
      <c r="W21" s="16"/>
      <c r="X21" s="8">
        <f>IF((IF(OR(SUMPRODUCT(--('Repartition stock'!$A$6:$A$433="2026Q3"),--('Repartition stock'!$B$6:$B$433="ES"),--('Repartition stock'!$E$6:$E$433="Millésime"),--('Repartition stock'!$F$6:$F$433="2024"))=0,SUMPRODUCT(--('Repartition stock'!$A$6:$A$433="2026Q3"),--('Repartition stock'!$B$6:$B$433="ES"),--('Repartition stock'!$E$6:$E$433="Millésime"),--('Repartition stock'!$F$6:$F$433="2024"),--('Repartition stock'!$G$6:$G$433="n.d."))&gt;0),"n.d.",SUMPRODUCT(--('Repartition stock'!$A$6:$A$433="2026Q3"),--('Repartition stock'!$B$6:$B$433="ES"),--('Repartition stock'!$E$6:$E$433="Millésime"),--('Repartition stock'!$F$6:$F$433="2024"),'Repartition stock'!$G$6:$G$433)))="n.d.",0,IF(OR(SUMPRODUCT(--('Repartition stock'!$A$6:$A$433="2026Q3"),--('Repartition stock'!$B$6:$B$433="ES"),--('Repartition stock'!$E$6:$E$433="Millésime"),--('Repartition stock'!$F$6:$F$433="2024"))=0,SUMPRODUCT(--('Repartition stock'!$A$6:$A$433="2026Q3"),--('Repartition stock'!$B$6:$B$433="ES"),--('Repartition stock'!$E$6:$E$433="Millésime"),--('Repartition stock'!$F$6:$F$433="2024"),--('Repartition stock'!$G$6:$G$433="n.d."))&gt;0),"n.d.",SUMPRODUCT(--('Repartition stock'!$A$6:$A$433="2026Q3"),--('Repartition stock'!$B$6:$B$433="ES"),--('Repartition stock'!$E$6:$E$433="Millésime"),--('Repartition stock'!$F$6:$F$433="2024"),'Repartition stock'!$G$6:$G$433)))</f>
        <v>0</v>
      </c>
      <c r="Y21" s="8"/>
      <c r="Z21" s="8">
        <f>IF((IF(OR(SUMPRODUCT(--('Repartition stock'!$A$6:$A$433="2026Q3"),--('Repartition stock'!$B$6:$B$433="ES"),--('Repartition stock'!$E$6:$E$433="Millésime"),--('Repartition stock'!$F$6:$F$433="2024"))=0,SUMPRODUCT(--('Repartition stock'!$A$6:$A$433="2026Q3"),--('Repartition stock'!$B$6:$B$433="ES"),--('Repartition stock'!$E$6:$E$433="Millésime"),--('Repartition stock'!$F$6:$F$433="2024"),--('Repartition stock'!$J$6:$J$433="n.d."))&gt;0),"n.d.",SUMPRODUCT(--('Repartition stock'!$A$6:$A$433="2026Q3"),--('Repartition stock'!$B$6:$B$433="ES"),--('Repartition stock'!$E$6:$E$433="Millésime"),--('Repartition stock'!$F$6:$F$433="2024"),'Repartition stock'!$J$6:$J$433)))="n.d.",0,IF(OR(SUMPRODUCT(--('Repartition stock'!$A$6:$A$433="2026Q3"),--('Repartition stock'!$B$6:$B$433="ES"),--('Repartition stock'!$E$6:$E$433="Millésime"),--('Repartition stock'!$F$6:$F$433="2024"))=0,SUMPRODUCT(--('Repartition stock'!$A$6:$A$433="2026Q3"),--('Repartition stock'!$B$6:$B$433="ES"),--('Repartition stock'!$E$6:$E$433="Millésime"),--('Repartition stock'!$F$6:$F$433="2024"),--('Repartition stock'!$J$6:$J$433="n.d."))&gt;0),"n.d.",SUMPRODUCT(--('Repartition stock'!$A$6:$A$433="2026Q3"),--('Repartition stock'!$B$6:$B$433="ES"),--('Repartition stock'!$E$6:$E$433="Millésime"),--('Repartition stock'!$F$6:$F$433="2024"),'Repartition stock'!$J$6:$J$433)))</f>
        <v>0</v>
      </c>
      <c r="AA21" s="8"/>
      <c r="AB21" s="8"/>
      <c r="AC21" s="7">
        <f>IF((IF(OR(COUNT(X21,X24)&lt;&gt;2,X24=0),"n.d.",X21/X24))="n.d.",0,IF(OR(COUNT(X21,X24)&lt;&gt;2,X24=0),"n.d.",X21/X24))</f>
        <v>0</v>
      </c>
      <c r="AD21" s="7"/>
      <c r="AE21" s="7">
        <f>IF((IF(OR(COUNT(Z21,Z24)&lt;&gt;2,Z24=0),"n.d.",Z21/Z24))="n.d.",0,IF(OR(COUNT(Z21,Z24)&lt;&gt;2,Z24=0),"n.d.",Z21/Z24))</f>
        <v>0</v>
      </c>
      <c r="AF21" s="7"/>
    </row>
    <row r="22" spans="1:32" ht="13.5" customHeight="1">
      <c r="A22" s="13"/>
      <c r="R22" s="4"/>
      <c r="S22" s="4"/>
      <c r="T22" s="4"/>
      <c r="U22" s="16" t="s">
        <v>50</v>
      </c>
      <c r="V22" s="16"/>
      <c r="W22" s="16"/>
      <c r="X22" s="8">
        <f>IF((IF(OR(SUMPRODUCT(--('Repartition stock'!$A$6:$A$433="2026Q3"),--('Repartition stock'!$B$6:$B$433="ES"),--('Repartition stock'!$E$6:$E$433="Millésime"),--('Repartition stock'!$F$6:$F$433="2025"))=0,SUMPRODUCT(--('Repartition stock'!$A$6:$A$433="2026Q3"),--('Repartition stock'!$B$6:$B$433="ES"),--('Repartition stock'!$E$6:$E$433="Millésime"),--('Repartition stock'!$F$6:$F$433="2025"),--('Repartition stock'!$G$6:$G$433="n.d."))&gt;0),"n.d.",SUMPRODUCT(--('Repartition stock'!$A$6:$A$433="2026Q3"),--('Repartition stock'!$B$6:$B$433="ES"),--('Repartition stock'!$E$6:$E$433="Millésime"),--('Repartition stock'!$F$6:$F$433="2025"),'Repartition stock'!$G$6:$G$433)))="n.d.",0,IF(OR(SUMPRODUCT(--('Repartition stock'!$A$6:$A$433="2026Q3"),--('Repartition stock'!$B$6:$B$433="ES"),--('Repartition stock'!$E$6:$E$433="Millésime"),--('Repartition stock'!$F$6:$F$433="2025"))=0,SUMPRODUCT(--('Repartition stock'!$A$6:$A$433="2026Q3"),--('Repartition stock'!$B$6:$B$433="ES"),--('Repartition stock'!$E$6:$E$433="Millésime"),--('Repartition stock'!$F$6:$F$433="2025"),--('Repartition stock'!$G$6:$G$433="n.d."))&gt;0),"n.d.",SUMPRODUCT(--('Repartition stock'!$A$6:$A$433="2026Q3"),--('Repartition stock'!$B$6:$B$433="ES"),--('Repartition stock'!$E$6:$E$433="Millésime"),--('Repartition stock'!$F$6:$F$433="2025"),'Repartition stock'!$G$6:$G$433)))</f>
        <v>110.0</v>
      </c>
      <c r="Y22" s="8"/>
      <c r="Z22" s="8">
        <f>IF((IF(OR(SUMPRODUCT(--('Repartition stock'!$A$6:$A$433="2026Q3"),--('Repartition stock'!$B$6:$B$433="ES"),--('Repartition stock'!$E$6:$E$433="Millésime"),--('Repartition stock'!$F$6:$F$433="2025"))=0,SUMPRODUCT(--('Repartition stock'!$A$6:$A$433="2026Q3"),--('Repartition stock'!$B$6:$B$433="ES"),--('Repartition stock'!$E$6:$E$433="Millésime"),--('Repartition stock'!$F$6:$F$433="2025"),--('Repartition stock'!$J$6:$J$433="n.d."))&gt;0),"n.d.",SUMPRODUCT(--('Repartition stock'!$A$6:$A$433="2026Q3"),--('Repartition stock'!$B$6:$B$433="ES"),--('Repartition stock'!$E$6:$E$433="Millésime"),--('Repartition stock'!$F$6:$F$433="2025"),'Repartition stock'!$J$6:$J$433)))="n.d.",0,IF(OR(SUMPRODUCT(--('Repartition stock'!$A$6:$A$433="2026Q3"),--('Repartition stock'!$B$6:$B$433="ES"),--('Repartition stock'!$E$6:$E$433="Millésime"),--('Repartition stock'!$F$6:$F$433="2025"))=0,SUMPRODUCT(--('Repartition stock'!$A$6:$A$433="2026Q3"),--('Repartition stock'!$B$6:$B$433="ES"),--('Repartition stock'!$E$6:$E$433="Millésime"),--('Repartition stock'!$F$6:$F$433="2025"),--('Repartition stock'!$J$6:$J$433="n.d."))&gt;0),"n.d.",SUMPRODUCT(--('Repartition stock'!$A$6:$A$433="2026Q3"),--('Repartition stock'!$B$6:$B$433="ES"),--('Repartition stock'!$E$6:$E$433="Millésime"),--('Repartition stock'!$F$6:$F$433="2025"),'Repartition stock'!$J$6:$J$433)))</f>
        <v>15001.0</v>
      </c>
      <c r="AA22" s="8"/>
      <c r="AB22" s="8"/>
      <c r="AC22" s="7">
        <f>IF((IF(OR(COUNT(X22,X24)&lt;&gt;2,X24=0),"n.d.",X22/X24))="n.d.",0,IF(OR(COUNT(X22,X24)&lt;&gt;2,X24=0),"n.d.",X22/X24))</f>
        <v>0.013954078396549536</v>
      </c>
      <c r="AD22" s="7"/>
      <c r="AE22" s="7">
        <f>IF((IF(OR(COUNT(Z22,Z24)&lt;&gt;2,Z24=0),"n.d.",Z22/Z24))="n.d.",0,IF(OR(COUNT(Z22,Z24)&lt;&gt;2,Z24=0),"n.d.",Z22/Z24))</f>
        <v>0.010112770094082941</v>
      </c>
      <c r="AF22" s="7"/>
    </row>
    <row r="23" spans="1:32" ht="13.5" customHeight="1">
      <c r="A23" s="13"/>
      <c r="R23" s="4"/>
      <c r="S23" s="4"/>
      <c r="T23" s="4"/>
      <c r="U23" s="16" t="s">
        <v>51</v>
      </c>
      <c r="V23" s="16"/>
      <c r="W23" s="16"/>
      <c r="X23" s="8">
        <f>IF((IF(OR(SUMPRODUCT(--('Repartition stock'!$A$6:$A$433="2026Q3"),--('Repartition stock'!$B$6:$B$433="ES"),--('Repartition stock'!$E$6:$E$433="Millésime"),--('Repartition stock'!$F$6:$F$433="2026"))=0,SUMPRODUCT(--('Repartition stock'!$A$6:$A$433="2026Q3"),--('Repartition stock'!$B$6:$B$433="ES"),--('Repartition stock'!$E$6:$E$433="Millésime"),--('Repartition stock'!$F$6:$F$433="2026"),--('Repartition stock'!$G$6:$G$433="n.d."))&gt;0),"n.d.",SUMPRODUCT(--('Repartition stock'!$A$6:$A$433="2026Q3"),--('Repartition stock'!$B$6:$B$433="ES"),--('Repartition stock'!$E$6:$E$433="Millésime"),--('Repartition stock'!$F$6:$F$433="2026"),'Repartition stock'!$G$6:$G$433)))="n.d.",0,IF(OR(SUMPRODUCT(--('Repartition stock'!$A$6:$A$433="2026Q3"),--('Repartition stock'!$B$6:$B$433="ES"),--('Repartition stock'!$E$6:$E$433="Millésime"),--('Repartition stock'!$F$6:$F$433="2026"))=0,SUMPRODUCT(--('Repartition stock'!$A$6:$A$433="2026Q3"),--('Repartition stock'!$B$6:$B$433="ES"),--('Repartition stock'!$E$6:$E$433="Millésime"),--('Repartition stock'!$F$6:$F$433="2026"),--('Repartition stock'!$G$6:$G$433="n.d."))&gt;0),"n.d.",SUMPRODUCT(--('Repartition stock'!$A$6:$A$433="2026Q3"),--('Repartition stock'!$B$6:$B$433="ES"),--('Repartition stock'!$E$6:$E$433="Millésime"),--('Repartition stock'!$F$6:$F$433="2026"),'Repartition stock'!$G$6:$G$433)))</f>
        <v>7758.0</v>
      </c>
      <c r="Y23" s="8"/>
      <c r="Z23" s="8">
        <f>IF((IF(OR(SUMPRODUCT(--('Repartition stock'!$A$6:$A$433="2026Q3"),--('Repartition stock'!$B$6:$B$433="ES"),--('Repartition stock'!$E$6:$E$433="Millésime"),--('Repartition stock'!$F$6:$F$433="2026"))=0,SUMPRODUCT(--('Repartition stock'!$A$6:$A$433="2026Q3"),--('Repartition stock'!$B$6:$B$433="ES"),--('Repartition stock'!$E$6:$E$433="Millésime"),--('Repartition stock'!$F$6:$F$433="2026"),--('Repartition stock'!$J$6:$J$433="n.d."))&gt;0),"n.d.",SUMPRODUCT(--('Repartition stock'!$A$6:$A$433="2026Q3"),--('Repartition stock'!$B$6:$B$433="ES"),--('Repartition stock'!$E$6:$E$433="Millésime"),--('Repartition stock'!$F$6:$F$433="2026"),'Repartition stock'!$J$6:$J$433)))="n.d.",0,IF(OR(SUMPRODUCT(--('Repartition stock'!$A$6:$A$433="2026Q3"),--('Repartition stock'!$B$6:$B$433="ES"),--('Repartition stock'!$E$6:$E$433="Millésime"),--('Repartition stock'!$F$6:$F$433="2026"))=0,SUMPRODUCT(--('Repartition stock'!$A$6:$A$433="2026Q3"),--('Repartition stock'!$B$6:$B$433="ES"),--('Repartition stock'!$E$6:$E$433="Millésime"),--('Repartition stock'!$F$6:$F$433="2026"),--('Repartition stock'!$J$6:$J$433="n.d."))&gt;0),"n.d.",SUMPRODUCT(--('Repartition stock'!$A$6:$A$433="2026Q3"),--('Repartition stock'!$B$6:$B$433="ES"),--('Repartition stock'!$E$6:$E$433="Millésime"),--('Repartition stock'!$F$6:$F$433="2026"),'Repartition stock'!$J$6:$J$433)))</f>
        <v>1467349.0</v>
      </c>
      <c r="AA23" s="8"/>
      <c r="AB23" s="8"/>
      <c r="AC23" s="7">
        <f>IF((IF(OR(COUNT(X23,X24)&lt;&gt;2,X24=0),"n.d.",X23/X24))="n.d.",0,IF(OR(COUNT(X23,X24)&lt;&gt;2,X24=0),"n.d.",X23/X24))</f>
        <v>0.9841430927311937</v>
      </c>
      <c r="AD23" s="7"/>
      <c r="AE23" s="7">
        <f>IF((IF(OR(COUNT(Z23,Z24)&lt;&gt;2,Z24=0),"n.d.",Z23/Z24))="n.d.",0,IF(OR(COUNT(Z23,Z24)&lt;&gt;2,Z24=0),"n.d.",Z23/Z24))</f>
        <v>0.9891982591015605</v>
      </c>
      <c r="AF23" s="7"/>
    </row>
    <row r="24" spans="1:32" ht="13.5" customHeight="1">
      <c r="A24" s="13"/>
      <c r="R24" s="17" t="s">
        <v>71</v>
      </c>
      <c r="S24" s="17"/>
      <c r="T24" s="17"/>
      <c r="U24" s="17"/>
      <c r="V24" s="17"/>
      <c r="W24" s="17"/>
      <c r="X24" s="17">
        <f>IF(('Presentation inputs'!D7)="n.d.",0,'Presentation inputs'!D7)</f>
        <v>7883.0</v>
      </c>
      <c r="Y24" s="17"/>
      <c r="Z24" s="17">
        <f>IF((IF(ISNUMBER('Presentation inputs'!E7),'Presentation inputs'!E7/(IF(OR(COUNTIFS('Consolidation'!$A$6:$A$47,"2026Q3",'Consolidation'!$B$6:$B$47,"ES")&lt;&gt;1,COUNTIFS('Consolidation'!$A$6:$A$47,"2026Q3",'Consolidation'!$B$6:$B$47,"ES",'Consolidation'!$E$6:$E$47,"n.d.")&gt;0),"n.d.",SUMIFS('Consolidation'!$E$6:$E$47,'Consolidation'!$A$6:$A$47,"2026Q3",'Consolidation'!$B$6:$B$47,"ES"))),"n.d."))="n.d.",0,IF(ISNUMBER('Presentation inputs'!E7),'Presentation inputs'!E7/(IF(OR(COUNTIFS('Consolidation'!$A$6:$A$47,"2026Q3",'Consolidation'!$B$6:$B$47,"ES")&lt;&gt;1,COUNTIFS('Consolidation'!$A$6:$A$47,"2026Q3",'Consolidation'!$B$6:$B$47,"ES",'Consolidation'!$E$6:$E$47,"n.d.")&gt;0),"n.d.",SUMIFS('Consolidation'!$E$6:$E$47,'Consolidation'!$A$6:$A$47,"2026Q3",'Consolidation'!$B$6:$B$47,"ES"))),"n.d."))</f>
        <v>1483372.0</v>
      </c>
      <c r="AA24" s="17"/>
      <c r="AB24" s="17"/>
      <c r="AC24" s="10">
        <f>IF((IF(OR(NOT(ISNUMBER(X24)),X24=0),"n.d.",1))="n.d.",0,IF(OR(NOT(ISNUMBER(X24)),X24=0),"n.d.",1))</f>
        <v>1.0</v>
      </c>
      <c r="AD24" s="10"/>
      <c r="AE24" s="10">
        <f>IF((IF(OR(NOT(ISNUMBER(Z24)),Z24=0),"n.d.",1))="n.d.",0,IF(OR(NOT(ISNUMBER(Z24)),Z24=0),"n.d.",1))</f>
        <v>1.0</v>
      </c>
      <c r="AF24" s="10"/>
    </row>
    <row r="25" spans="1:32" ht="13.5" customHeight="1">
      <c r="A25" s="13"/>
    </row>
    <row r="26" spans="1:32" ht="13.5" customHeight="1">
      <c r="A26" s="13"/>
      <c r="R26" s="1" t="s">
        <v>81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3.5" customHeight="1">
      <c r="A27" s="1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3.5" customHeight="1">
      <c r="A28" s="1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3.5" customHeight="1">
      <c r="A29" s="13"/>
    </row>
    <row r="30" spans="1:32" ht="13.5" customHeight="1">
      <c r="A30" s="13"/>
      <c r="B30" s="11" t="str">
        <f>"Average monthly new flow: "&amp;IF(ISNUMBER('GraphData'!A111),TEXT('GraphData'!A111,"#,##0"),"0")&amp;" EUR. Average balance per contract: "&amp;IF(ISNUMBER('GraphData'!B111),TEXT('GraphData'!B111,"#,##0"),"0")&amp;" EUR."</f>
        <v>Average monthly new flow: 3,416,903 EUR. Average balance per contract: 480 EUR.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tr">
        <f>"Oldest cohort (M-5): "&amp;IF(ISNUMBER('GraphData'!C111),TEXT('GraphData'!C111,"0.0%"),"0")&amp;" treated in amount and "&amp;IF(ISNUMBER('GraphData'!D111),TEXT('GraphData'!D111,"0.0%"),"0")&amp;" in number."</f>
        <v>Oldest cohort (M-5): 98.6% treated in amount and 95.4% in number.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tr">
        <f>"Stock to process: "&amp;IF(ISNUMBER('GraphData'!E111),TEXT('GraphData'!E111,"#,##0"),"0")&amp;" EUR. Identified stock: "&amp;IF(ISNUMBER('GraphData'!F111),TEXT('GraphData'!F111,"#,##0"),"0")&amp;" EUR."</f>
        <v>Stock to process: 1,480,318 EUR. Identified stock: 1,793,165 EUR.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82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101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R26:AF28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3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83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61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65</v>
      </c>
      <c r="S7" s="4"/>
      <c r="T7" s="4"/>
      <c r="U7" s="16" t="s">
        <v>66</v>
      </c>
      <c r="V7" s="16"/>
      <c r="W7" s="16"/>
      <c r="X7" s="8">
        <f>IF((IF(OR(SUMPRODUCT(--('Repartition stock'!$A$6:$A$433="2026Q3"),--('Repartition stock'!$B$6:$B$433="DE"),--('Repartition stock'!$E$6:$E$433="Tranche"),--('Repartition stock'!$F$6:$F$433="0 - 1 €"))=0,SUMPRODUCT(--('Repartition stock'!$A$6:$A$433="2026Q3"),--('Repartition stock'!$B$6:$B$433="DE"),--('Repartition stock'!$E$6:$E$433="Tranche"),--('Repartition stock'!$F$6:$F$433="0 - 1 €"),--('Repartition stock'!$G$6:$G$433="n.d."))&gt;0),"n.d.",SUMPRODUCT(--('Repartition stock'!$A$6:$A$433="2026Q3"),--('Repartition stock'!$B$6:$B$433="DE"),--('Repartition stock'!$E$6:$E$433="Tranche"),--('Repartition stock'!$F$6:$F$433="0 - 1 €"),'Repartition stock'!$G$6:$G$433)))="n.d.",0,IF(OR(SUMPRODUCT(--('Repartition stock'!$A$6:$A$433="2026Q3"),--('Repartition stock'!$B$6:$B$433="DE"),--('Repartition stock'!$E$6:$E$433="Tranche"),--('Repartition stock'!$F$6:$F$433="0 - 1 €"))=0,SUMPRODUCT(--('Repartition stock'!$A$6:$A$433="2026Q3"),--('Repartition stock'!$B$6:$B$433="DE"),--('Repartition stock'!$E$6:$E$433="Tranche"),--('Repartition stock'!$F$6:$F$433="0 - 1 €"),--('Repartition stock'!$G$6:$G$433="n.d."))&gt;0),"n.d.",SUMPRODUCT(--('Repartition stock'!$A$6:$A$433="2026Q3"),--('Repartition stock'!$B$6:$B$433="DE"),--('Repartition stock'!$E$6:$E$433="Tranche"),--('Repartition stock'!$F$6:$F$433="0 - 1 €"),'Repartition stock'!$G$6:$G$433)))</f>
        <v>2403.0</v>
      </c>
      <c r="Y7" s="8"/>
      <c r="Z7" s="8">
        <f>IF((IF(OR(SUMPRODUCT(--('Repartition stock'!$A$6:$A$433="2026Q3"),--('Repartition stock'!$B$6:$B$433="DE"),--('Repartition stock'!$E$6:$E$433="Tranche"),--('Repartition stock'!$F$6:$F$433="0 - 1 €"))=0,SUMPRODUCT(--('Repartition stock'!$A$6:$A$433="2026Q3"),--('Repartition stock'!$B$6:$B$433="DE"),--('Repartition stock'!$E$6:$E$433="Tranche"),--('Repartition stock'!$F$6:$F$433="0 - 1 €"),--('Repartition stock'!$J$6:$J$433="n.d."))&gt;0),"n.d.",SUMPRODUCT(--('Repartition stock'!$A$6:$A$433="2026Q3"),--('Repartition stock'!$B$6:$B$433="DE"),--('Repartition stock'!$E$6:$E$433="Tranche"),--('Repartition stock'!$F$6:$F$433="0 - 1 €"),'Repartition stock'!$J$6:$J$433)))="n.d.",0,IF(OR(SUMPRODUCT(--('Repartition stock'!$A$6:$A$433="2026Q3"),--('Repartition stock'!$B$6:$B$433="DE"),--('Repartition stock'!$E$6:$E$433="Tranche"),--('Repartition stock'!$F$6:$F$433="0 - 1 €"))=0,SUMPRODUCT(--('Repartition stock'!$A$6:$A$433="2026Q3"),--('Repartition stock'!$B$6:$B$433="DE"),--('Repartition stock'!$E$6:$E$433="Tranche"),--('Repartition stock'!$F$6:$F$433="0 - 1 €"),--('Repartition stock'!$J$6:$J$433="n.d."))&gt;0),"n.d.",SUMPRODUCT(--('Repartition stock'!$A$6:$A$433="2026Q3"),--('Repartition stock'!$B$6:$B$433="DE"),--('Repartition stock'!$E$6:$E$433="Tranche"),--('Repartition stock'!$F$6:$F$433="0 - 1 €"),'Repartition stock'!$J$6:$J$433)))</f>
        <v>953.0</v>
      </c>
      <c r="AA7" s="8"/>
      <c r="AB7" s="8"/>
      <c r="AC7" s="7">
        <f>IF((IF(OR(COUNT(X7,X13)&lt;&gt;2,X13=0),"n.d.",X7/X13))="n.d.",0,IF(OR(COUNT(X7,X13)&lt;&gt;2,X13=0),"n.d.",X7/X13))</f>
        <v>0.10118746841839313</v>
      </c>
      <c r="AD7" s="7"/>
      <c r="AE7" s="7">
        <f>IF((IF(OR(COUNT(Z7,Z13)&lt;&gt;2,Z13=0),"n.d.",Z7/Z13))="n.d.",0,IF(OR(COUNT(Z7,Z13)&lt;&gt;2,Z13=0),"n.d.",Z7/Z13))</f>
        <v>0.00034663974055488547</v>
      </c>
      <c r="AF7" s="7"/>
    </row>
    <row r="8" spans="1:32" ht="13.5" customHeight="1">
      <c r="A8" s="13"/>
      <c r="R8" s="4"/>
      <c r="S8" s="4"/>
      <c r="T8" s="4"/>
      <c r="U8" s="16" t="s">
        <v>67</v>
      </c>
      <c r="V8" s="16"/>
      <c r="W8" s="16"/>
      <c r="X8" s="8">
        <f>IF((IF(OR(SUMPRODUCT(--('Repartition stock'!$A$6:$A$433="2026Q3"),--('Repartition stock'!$B$6:$B$433="DE"),--('Repartition stock'!$E$6:$E$433="Tranche"),--('Repartition stock'!$F$6:$F$433="1 - 10 €"))=0,SUMPRODUCT(--('Repartition stock'!$A$6:$A$433="2026Q3"),--('Repartition stock'!$B$6:$B$433="DE"),--('Repartition stock'!$E$6:$E$433="Tranche"),--('Repartition stock'!$F$6:$F$433="1 - 10 €"),--('Repartition stock'!$G$6:$G$433="n.d."))&gt;0),"n.d.",SUMPRODUCT(--('Repartition stock'!$A$6:$A$433="2026Q3"),--('Repartition stock'!$B$6:$B$433="DE"),--('Repartition stock'!$E$6:$E$433="Tranche"),--('Repartition stock'!$F$6:$F$433="1 - 10 €"),'Repartition stock'!$G$6:$G$433)))="n.d.",0,IF(OR(SUMPRODUCT(--('Repartition stock'!$A$6:$A$433="2026Q3"),--('Repartition stock'!$B$6:$B$433="DE"),--('Repartition stock'!$E$6:$E$433="Tranche"),--('Repartition stock'!$F$6:$F$433="1 - 10 €"))=0,SUMPRODUCT(--('Repartition stock'!$A$6:$A$433="2026Q3"),--('Repartition stock'!$B$6:$B$433="DE"),--('Repartition stock'!$E$6:$E$433="Tranche"),--('Repartition stock'!$F$6:$F$433="1 - 10 €"),--('Repartition stock'!$G$6:$G$433="n.d."))&gt;0),"n.d.",SUMPRODUCT(--('Repartition stock'!$A$6:$A$433="2026Q3"),--('Repartition stock'!$B$6:$B$433="DE"),--('Repartition stock'!$E$6:$E$433="Tranche"),--('Repartition stock'!$F$6:$F$433="1 - 10 €"),'Repartition stock'!$G$6:$G$433)))</f>
        <v>4235.0</v>
      </c>
      <c r="Y8" s="8"/>
      <c r="Z8" s="8">
        <f>IF((IF(OR(SUMPRODUCT(--('Repartition stock'!$A$6:$A$433="2026Q3"),--('Repartition stock'!$B$6:$B$433="DE"),--('Repartition stock'!$E$6:$E$433="Tranche"),--('Repartition stock'!$F$6:$F$433="1 - 10 €"))=0,SUMPRODUCT(--('Repartition stock'!$A$6:$A$433="2026Q3"),--('Repartition stock'!$B$6:$B$433="DE"),--('Repartition stock'!$E$6:$E$433="Tranche"),--('Repartition stock'!$F$6:$F$433="1 - 10 €"),--('Repartition stock'!$J$6:$J$433="n.d."))&gt;0),"n.d.",SUMPRODUCT(--('Repartition stock'!$A$6:$A$433="2026Q3"),--('Repartition stock'!$B$6:$B$433="DE"),--('Repartition stock'!$E$6:$E$433="Tranche"),--('Repartition stock'!$F$6:$F$433="1 - 10 €"),'Repartition stock'!$J$6:$J$433)))="n.d.",0,IF(OR(SUMPRODUCT(--('Repartition stock'!$A$6:$A$433="2026Q3"),--('Repartition stock'!$B$6:$B$433="DE"),--('Repartition stock'!$E$6:$E$433="Tranche"),--('Repartition stock'!$F$6:$F$433="1 - 10 €"))=0,SUMPRODUCT(--('Repartition stock'!$A$6:$A$433="2026Q3"),--('Repartition stock'!$B$6:$B$433="DE"),--('Repartition stock'!$E$6:$E$433="Tranche"),--('Repartition stock'!$F$6:$F$433="1 - 10 €"),--('Repartition stock'!$J$6:$J$433="n.d."))&gt;0),"n.d.",SUMPRODUCT(--('Repartition stock'!$A$6:$A$433="2026Q3"),--('Repartition stock'!$B$6:$B$433="DE"),--('Repartition stock'!$E$6:$E$433="Tranche"),--('Repartition stock'!$F$6:$F$433="1 - 10 €"),'Repartition stock'!$J$6:$J$433)))</f>
        <v>22237.0</v>
      </c>
      <c r="AA8" s="8"/>
      <c r="AB8" s="8"/>
      <c r="AC8" s="7">
        <f>IF((IF(OR(COUNT(X8,X13)&lt;&gt;2,X13=0),"n.d.",X8/X13))="n.d.",0,IF(OR(COUNT(X8,X13)&lt;&gt;2,X13=0),"n.d.",X8/X13))</f>
        <v>0.17833080680478355</v>
      </c>
      <c r="AD8" s="7"/>
      <c r="AE8" s="7">
        <f>IF((IF(OR(COUNT(Z8,Z13)&lt;&gt;2,Z13=0),"n.d.",Z8/Z13))="n.d.",0,IF(OR(COUNT(Z8,Z13)&lt;&gt;2,Z13=0),"n.d.",Z8/Z13))</f>
        <v>0.008088381858047207</v>
      </c>
      <c r="AF8" s="7"/>
    </row>
    <row r="9" spans="1:32" ht="13.5" customHeight="1">
      <c r="A9" s="13"/>
      <c r="R9" s="4"/>
      <c r="S9" s="4"/>
      <c r="T9" s="4"/>
      <c r="U9" s="16" t="s">
        <v>68</v>
      </c>
      <c r="V9" s="16"/>
      <c r="W9" s="16"/>
      <c r="X9" s="8">
        <f>IF((IF(OR(SUMPRODUCT(--('Repartition stock'!$A$6:$A$433="2026Q3"),--('Repartition stock'!$B$6:$B$433="DE"),--('Repartition stock'!$E$6:$E$433="Tranche"),--('Repartition stock'!$F$6:$F$433="10 - 100 €"))=0,SUMPRODUCT(--('Repartition stock'!$A$6:$A$433="2026Q3"),--('Repartition stock'!$B$6:$B$433="DE"),--('Repartition stock'!$E$6:$E$433="Tranche"),--('Repartition stock'!$F$6:$F$433="10 - 100 €"),--('Repartition stock'!$G$6:$G$433="n.d."))&gt;0),"n.d.",SUMPRODUCT(--('Repartition stock'!$A$6:$A$433="2026Q3"),--('Repartition stock'!$B$6:$B$433="DE"),--('Repartition stock'!$E$6:$E$433="Tranche"),--('Repartition stock'!$F$6:$F$433="10 - 100 €"),'Repartition stock'!$G$6:$G$433)))="n.d.",0,IF(OR(SUMPRODUCT(--('Repartition stock'!$A$6:$A$433="2026Q3"),--('Repartition stock'!$B$6:$B$433="DE"),--('Repartition stock'!$E$6:$E$433="Tranche"),--('Repartition stock'!$F$6:$F$433="10 - 100 €"))=0,SUMPRODUCT(--('Repartition stock'!$A$6:$A$433="2026Q3"),--('Repartition stock'!$B$6:$B$433="DE"),--('Repartition stock'!$E$6:$E$433="Tranche"),--('Repartition stock'!$F$6:$F$433="10 - 100 €"),--('Repartition stock'!$G$6:$G$433="n.d."))&gt;0),"n.d.",SUMPRODUCT(--('Repartition stock'!$A$6:$A$433="2026Q3"),--('Repartition stock'!$B$6:$B$433="DE"),--('Repartition stock'!$E$6:$E$433="Tranche"),--('Repartition stock'!$F$6:$F$433="10 - 100 €"),'Repartition stock'!$G$6:$G$433)))</f>
        <v>12403.0</v>
      </c>
      <c r="Y9" s="8"/>
      <c r="Z9" s="8">
        <f>IF((IF(OR(SUMPRODUCT(--('Repartition stock'!$A$6:$A$433="2026Q3"),--('Repartition stock'!$B$6:$B$433="DE"),--('Repartition stock'!$E$6:$E$433="Tranche"),--('Repartition stock'!$F$6:$F$433="10 - 100 €"))=0,SUMPRODUCT(--('Repartition stock'!$A$6:$A$433="2026Q3"),--('Repartition stock'!$B$6:$B$433="DE"),--('Repartition stock'!$E$6:$E$433="Tranche"),--('Repartition stock'!$F$6:$F$433="10 - 100 €"),--('Repartition stock'!$J$6:$J$433="n.d."))&gt;0),"n.d.",SUMPRODUCT(--('Repartition stock'!$A$6:$A$433="2026Q3"),--('Repartition stock'!$B$6:$B$433="DE"),--('Repartition stock'!$E$6:$E$433="Tranche"),--('Repartition stock'!$F$6:$F$433="10 - 100 €"),'Repartition stock'!$J$6:$J$433)))="n.d.",0,IF(OR(SUMPRODUCT(--('Repartition stock'!$A$6:$A$433="2026Q3"),--('Repartition stock'!$B$6:$B$433="DE"),--('Repartition stock'!$E$6:$E$433="Tranche"),--('Repartition stock'!$F$6:$F$433="10 - 100 €"))=0,SUMPRODUCT(--('Repartition stock'!$A$6:$A$433="2026Q3"),--('Repartition stock'!$B$6:$B$433="DE"),--('Repartition stock'!$E$6:$E$433="Tranche"),--('Repartition stock'!$F$6:$F$433="10 - 100 €"),--('Repartition stock'!$J$6:$J$433="n.d."))&gt;0),"n.d.",SUMPRODUCT(--('Repartition stock'!$A$6:$A$433="2026Q3"),--('Repartition stock'!$B$6:$B$433="DE"),--('Repartition stock'!$E$6:$E$433="Tranche"),--('Repartition stock'!$F$6:$F$433="10 - 100 €"),'Repartition stock'!$J$6:$J$433)))</f>
        <v>494708.0</v>
      </c>
      <c r="AA9" s="8"/>
      <c r="AB9" s="8"/>
      <c r="AC9" s="7">
        <f>IF((IF(OR(COUNT(X9,X13)&lt;&gt;2,X13=0),"n.d.",X9/X13))="n.d.",0,IF(OR(COUNT(X9,X13)&lt;&gt;2,X13=0),"n.d.",X9/X13))</f>
        <v>0.5222755600471619</v>
      </c>
      <c r="AD9" s="7"/>
      <c r="AE9" s="7">
        <f>IF((IF(OR(COUNT(Z9,Z13)&lt;&gt;2,Z13=0),"n.d.",Z9/Z13))="n.d.",0,IF(OR(COUNT(Z9,Z13)&lt;&gt;2,Z13=0),"n.d.",Z9/Z13))</f>
        <v>0.17994276261324899</v>
      </c>
      <c r="AF9" s="7"/>
    </row>
    <row r="10" spans="1:32" ht="13.5" customHeight="1">
      <c r="A10" s="13"/>
      <c r="R10" s="4"/>
      <c r="S10" s="4"/>
      <c r="T10" s="4"/>
      <c r="U10" s="16" t="s">
        <v>84</v>
      </c>
      <c r="V10" s="16"/>
      <c r="W10" s="16"/>
      <c r="X10" s="8">
        <f>IF((IF(OR(SUMPRODUCT(--('Repartition stock'!$A$6:$A$433="2026Q3"),--('Repartition stock'!$B$6:$B$433="DE"),--('Repartition stock'!$E$6:$E$433="Tranche"),--('Repartition stock'!$F$6:$F$433="100 - 500 €"))=0,SUMPRODUCT(--('Repartition stock'!$A$6:$A$433="2026Q3"),--('Repartition stock'!$B$6:$B$433="DE"),--('Repartition stock'!$E$6:$E$433="Tranche"),--('Repartition stock'!$F$6:$F$433="100 - 500 €"),--('Repartition stock'!$G$6:$G$433="n.d."))&gt;0),"n.d.",SUMPRODUCT(--('Repartition stock'!$A$6:$A$433="2026Q3"),--('Repartition stock'!$B$6:$B$433="DE"),--('Repartition stock'!$E$6:$E$433="Tranche"),--('Repartition stock'!$F$6:$F$433="100 - 500 €"),'Repartition stock'!$G$6:$G$433)))="n.d.",0,IF(OR(SUMPRODUCT(--('Repartition stock'!$A$6:$A$433="2026Q3"),--('Repartition stock'!$B$6:$B$433="DE"),--('Repartition stock'!$E$6:$E$433="Tranche"),--('Repartition stock'!$F$6:$F$433="100 - 500 €"))=0,SUMPRODUCT(--('Repartition stock'!$A$6:$A$433="2026Q3"),--('Repartition stock'!$B$6:$B$433="DE"),--('Repartition stock'!$E$6:$E$433="Tranche"),--('Repartition stock'!$F$6:$F$433="100 - 500 €"),--('Repartition stock'!$G$6:$G$433="n.d."))&gt;0),"n.d.",SUMPRODUCT(--('Repartition stock'!$A$6:$A$433="2026Q3"),--('Repartition stock'!$B$6:$B$433="DE"),--('Repartition stock'!$E$6:$E$433="Tranche"),--('Repartition stock'!$F$6:$F$433="100 - 500 €"),'Repartition stock'!$G$6:$G$433)))</f>
        <v>3657.0</v>
      </c>
      <c r="Y10" s="8"/>
      <c r="Z10" s="8">
        <f>IF((IF(OR(SUMPRODUCT(--('Repartition stock'!$A$6:$A$433="2026Q3"),--('Repartition stock'!$B$6:$B$433="DE"),--('Repartition stock'!$E$6:$E$433="Tranche"),--('Repartition stock'!$F$6:$F$433="100 - 500 €"))=0,SUMPRODUCT(--('Repartition stock'!$A$6:$A$433="2026Q3"),--('Repartition stock'!$B$6:$B$433="DE"),--('Repartition stock'!$E$6:$E$433="Tranche"),--('Repartition stock'!$F$6:$F$433="100 - 500 €"),--('Repartition stock'!$J$6:$J$433="n.d."))&gt;0),"n.d.",SUMPRODUCT(--('Repartition stock'!$A$6:$A$433="2026Q3"),--('Repartition stock'!$B$6:$B$433="DE"),--('Repartition stock'!$E$6:$E$433="Tranche"),--('Repartition stock'!$F$6:$F$433="100 - 500 €"),'Repartition stock'!$J$6:$J$433)))="n.d.",0,IF(OR(SUMPRODUCT(--('Repartition stock'!$A$6:$A$433="2026Q3"),--('Repartition stock'!$B$6:$B$433="DE"),--('Repartition stock'!$E$6:$E$433="Tranche"),--('Repartition stock'!$F$6:$F$433="100 - 500 €"))=0,SUMPRODUCT(--('Repartition stock'!$A$6:$A$433="2026Q3"),--('Repartition stock'!$B$6:$B$433="DE"),--('Repartition stock'!$E$6:$E$433="Tranche"),--('Repartition stock'!$F$6:$F$433="100 - 500 €"),--('Repartition stock'!$J$6:$J$433="n.d."))&gt;0),"n.d.",SUMPRODUCT(--('Repartition stock'!$A$6:$A$433="2026Q3"),--('Repartition stock'!$B$6:$B$433="DE"),--('Repartition stock'!$E$6:$E$433="Tranche"),--('Repartition stock'!$F$6:$F$433="100 - 500 €"),'Repartition stock'!$J$6:$J$433)))</f>
        <v>773945.0</v>
      </c>
      <c r="AA10" s="8"/>
      <c r="AB10" s="8"/>
      <c r="AC10" s="7">
        <f>IF((IF(OR(COUNT(X10,X13)&lt;&gt;2,X13=0),"n.d.",X10/X13))="n.d.",0,IF(OR(COUNT(X10,X13)&lt;&gt;2,X13=0),"n.d.",X10/X13))</f>
        <v>0.15399191510864071</v>
      </c>
      <c r="AD10" s="7"/>
      <c r="AE10" s="7">
        <f>IF((IF(OR(COUNT(Z10,Z13)&lt;&gt;2,Z13=0),"n.d.",Z10/Z13))="n.d.",0,IF(OR(COUNT(Z10,Z13)&lt;&gt;2,Z13=0),"n.d.",Z10/Z13))</f>
        <v>0.2815111164782275</v>
      </c>
      <c r="AF10" s="7"/>
    </row>
    <row r="11" spans="1:32" ht="13.5" customHeight="1">
      <c r="A11" s="13"/>
      <c r="R11" s="4"/>
      <c r="S11" s="4"/>
      <c r="T11" s="4"/>
      <c r="U11" s="16" t="s">
        <v>85</v>
      </c>
      <c r="V11" s="16"/>
      <c r="W11" s="16"/>
      <c r="X11" s="8">
        <f>IF((IF(OR(SUMPRODUCT(--('Repartition stock'!$A$6:$A$433="2026Q3"),--('Repartition stock'!$B$6:$B$433="DE"),--('Repartition stock'!$E$6:$E$433="Tranche"),--('Repartition stock'!$F$6:$F$433="500 - 1 000 €"))=0,SUMPRODUCT(--('Repartition stock'!$A$6:$A$433="2026Q3"),--('Repartition stock'!$B$6:$B$433="DE"),--('Repartition stock'!$E$6:$E$433="Tranche"),--('Repartition stock'!$F$6:$F$433="500 - 1 000 €"),--('Repartition stock'!$G$6:$G$433="n.d."))&gt;0),"n.d.",SUMPRODUCT(--('Repartition stock'!$A$6:$A$433="2026Q3"),--('Repartition stock'!$B$6:$B$433="DE"),--('Repartition stock'!$E$6:$E$433="Tranche"),--('Repartition stock'!$F$6:$F$433="500 - 1 000 €"),'Repartition stock'!$G$6:$G$433)))="n.d.",0,IF(OR(SUMPRODUCT(--('Repartition stock'!$A$6:$A$433="2026Q3"),--('Repartition stock'!$B$6:$B$433="DE"),--('Repartition stock'!$E$6:$E$433="Tranche"),--('Repartition stock'!$F$6:$F$433="500 - 1 000 €"))=0,SUMPRODUCT(--('Repartition stock'!$A$6:$A$433="2026Q3"),--('Repartition stock'!$B$6:$B$433="DE"),--('Repartition stock'!$E$6:$E$433="Tranche"),--('Repartition stock'!$F$6:$F$433="500 - 1 000 €"),--('Repartition stock'!$G$6:$G$433="n.d."))&gt;0),"n.d.",SUMPRODUCT(--('Repartition stock'!$A$6:$A$433="2026Q3"),--('Repartition stock'!$B$6:$B$433="DE"),--('Repartition stock'!$E$6:$E$433="Tranche"),--('Repartition stock'!$F$6:$F$433="500 - 1 000 €"),'Repartition stock'!$G$6:$G$433)))</f>
        <v>384.0</v>
      </c>
      <c r="Y11" s="8"/>
      <c r="Z11" s="8">
        <f>IF((IF(OR(SUMPRODUCT(--('Repartition stock'!$A$6:$A$433="2026Q3"),--('Repartition stock'!$B$6:$B$433="DE"),--('Repartition stock'!$E$6:$E$433="Tranche"),--('Repartition stock'!$F$6:$F$433="500 - 1 000 €"))=0,SUMPRODUCT(--('Repartition stock'!$A$6:$A$433="2026Q3"),--('Repartition stock'!$B$6:$B$433="DE"),--('Repartition stock'!$E$6:$E$433="Tranche"),--('Repartition stock'!$F$6:$F$433="500 - 1 000 €"),--('Repartition stock'!$J$6:$J$433="n.d."))&gt;0),"n.d.",SUMPRODUCT(--('Repartition stock'!$A$6:$A$433="2026Q3"),--('Repartition stock'!$B$6:$B$433="DE"),--('Repartition stock'!$E$6:$E$433="Tranche"),--('Repartition stock'!$F$6:$F$433="500 - 1 000 €"),'Repartition stock'!$J$6:$J$433)))="n.d.",0,IF(OR(SUMPRODUCT(--('Repartition stock'!$A$6:$A$433="2026Q3"),--('Repartition stock'!$B$6:$B$433="DE"),--('Repartition stock'!$E$6:$E$433="Tranche"),--('Repartition stock'!$F$6:$F$433="500 - 1 000 €"))=0,SUMPRODUCT(--('Repartition stock'!$A$6:$A$433="2026Q3"),--('Repartition stock'!$B$6:$B$433="DE"),--('Repartition stock'!$E$6:$E$433="Tranche"),--('Repartition stock'!$F$6:$F$433="500 - 1 000 €"),--('Repartition stock'!$J$6:$J$433="n.d."))&gt;0),"n.d.",SUMPRODUCT(--('Repartition stock'!$A$6:$A$433="2026Q3"),--('Repartition stock'!$B$6:$B$433="DE"),--('Repartition stock'!$E$6:$E$433="Tranche"),--('Repartition stock'!$F$6:$F$433="500 - 1 000 €"),'Repartition stock'!$J$6:$J$433)))</f>
        <v>268082.0</v>
      </c>
      <c r="AA11" s="8"/>
      <c r="AB11" s="8"/>
      <c r="AC11" s="7">
        <f>IF((IF(OR(COUNT(X11,X13)&lt;&gt;2,X13=0),"n.d.",X11/X13))="n.d.",0,IF(OR(COUNT(X11,X13)&lt;&gt;2,X13=0),"n.d.",X11/X13))</f>
        <v>0.01616978271854472</v>
      </c>
      <c r="AD11" s="7"/>
      <c r="AE11" s="7">
        <f>IF((IF(OR(COUNT(Z11,Z13)&lt;&gt;2,Z13=0),"n.d.",Z11/Z13))="n.d.",0,IF(OR(COUNT(Z11,Z13)&lt;&gt;2,Z13=0),"n.d.",Z11/Z13))</f>
        <v>0.09751088659751816</v>
      </c>
      <c r="AF11" s="7"/>
    </row>
    <row r="12" spans="1:32" ht="13.5" customHeight="1">
      <c r="A12" s="13"/>
      <c r="R12" s="4"/>
      <c r="S12" s="4"/>
      <c r="T12" s="4"/>
      <c r="U12" s="16" t="s">
        <v>70</v>
      </c>
      <c r="V12" s="16"/>
      <c r="W12" s="16"/>
      <c r="X12" s="8">
        <f>IF((IF(OR(SUMPRODUCT(--('Repartition stock'!$A$6:$A$433="2026Q3"),--('Repartition stock'!$B$6:$B$433="DE"),--('Repartition stock'!$E$6:$E$433="Tranche"),--('Repartition stock'!$F$6:$F$433="&gt; 1 000 €"))=0,SUMPRODUCT(--('Repartition stock'!$A$6:$A$433="2026Q3"),--('Repartition stock'!$B$6:$B$433="DE"),--('Repartition stock'!$E$6:$E$433="Tranche"),--('Repartition stock'!$F$6:$F$433="&gt; 1 000 €"),--('Repartition stock'!$G$6:$G$433="n.d."))&gt;0),"n.d.",SUMPRODUCT(--('Repartition stock'!$A$6:$A$433="2026Q3"),--('Repartition stock'!$B$6:$B$433="DE"),--('Repartition stock'!$E$6:$E$433="Tranche"),--('Repartition stock'!$F$6:$F$433="&gt; 1 000 €"),'Repartition stock'!$G$6:$G$433)))="n.d.",0,IF(OR(SUMPRODUCT(--('Repartition stock'!$A$6:$A$433="2026Q3"),--('Repartition stock'!$B$6:$B$433="DE"),--('Repartition stock'!$E$6:$E$433="Tranche"),--('Repartition stock'!$F$6:$F$433="&gt; 1 000 €"))=0,SUMPRODUCT(--('Repartition stock'!$A$6:$A$433="2026Q3"),--('Repartition stock'!$B$6:$B$433="DE"),--('Repartition stock'!$E$6:$E$433="Tranche"),--('Repartition stock'!$F$6:$F$433="&gt; 1 000 €"),--('Repartition stock'!$G$6:$G$433="n.d."))&gt;0),"n.d.",SUMPRODUCT(--('Repartition stock'!$A$6:$A$433="2026Q3"),--('Repartition stock'!$B$6:$B$433="DE"),--('Repartition stock'!$E$6:$E$433="Tranche"),--('Repartition stock'!$F$6:$F$433="&gt; 1 000 €"),'Repartition stock'!$G$6:$G$433)))</f>
        <v>666.0</v>
      </c>
      <c r="Y12" s="8"/>
      <c r="Z12" s="8">
        <f>IF((IF(OR(SUMPRODUCT(--('Repartition stock'!$A$6:$A$433="2026Q3"),--('Repartition stock'!$B$6:$B$433="DE"),--('Repartition stock'!$E$6:$E$433="Tranche"),--('Repartition stock'!$F$6:$F$433="&gt; 1 000 €"))=0,SUMPRODUCT(--('Repartition stock'!$A$6:$A$433="2026Q3"),--('Repartition stock'!$B$6:$B$433="DE"),--('Repartition stock'!$E$6:$E$433="Tranche"),--('Repartition stock'!$F$6:$F$433="&gt; 1 000 €"),--('Repartition stock'!$J$6:$J$433="n.d."))&gt;0),"n.d.",SUMPRODUCT(--('Repartition stock'!$A$6:$A$433="2026Q3"),--('Repartition stock'!$B$6:$B$433="DE"),--('Repartition stock'!$E$6:$E$433="Tranche"),--('Repartition stock'!$F$6:$F$433="&gt; 1 000 €"),'Repartition stock'!$J$6:$J$433)))="n.d.",0,IF(OR(SUMPRODUCT(--('Repartition stock'!$A$6:$A$433="2026Q3"),--('Repartition stock'!$B$6:$B$433="DE"),--('Repartition stock'!$E$6:$E$433="Tranche"),--('Repartition stock'!$F$6:$F$433="&gt; 1 000 €"))=0,SUMPRODUCT(--('Repartition stock'!$A$6:$A$433="2026Q3"),--('Repartition stock'!$B$6:$B$433="DE"),--('Repartition stock'!$E$6:$E$433="Tranche"),--('Repartition stock'!$F$6:$F$433="&gt; 1 000 €"),--('Repartition stock'!$J$6:$J$433="n.d."))&gt;0),"n.d.",SUMPRODUCT(--('Repartition stock'!$A$6:$A$433="2026Q3"),--('Repartition stock'!$B$6:$B$433="DE"),--('Repartition stock'!$E$6:$E$433="Tranche"),--('Repartition stock'!$F$6:$F$433="&gt; 1 000 €"),'Repartition stock'!$J$6:$J$433)))</f>
        <v>1189327.0</v>
      </c>
      <c r="AA12" s="8"/>
      <c r="AB12" s="8"/>
      <c r="AC12" s="7">
        <f>IF((IF(OR(COUNT(X12,X13)&lt;&gt;2,X13=0),"n.d.",X12/X13))="n.d.",0,IF(OR(COUNT(X12,X13)&lt;&gt;2,X13=0),"n.d.",X12/X13))</f>
        <v>0.028044466902475997</v>
      </c>
      <c r="AD12" s="7"/>
      <c r="AE12" s="7">
        <f>IF((IF(OR(COUNT(Z12,Z13)&lt;&gt;2,Z13=0),"n.d.",Z12/Z13))="n.d.",0,IF(OR(COUNT(Z12,Z13)&lt;&gt;2,Z13=0),"n.d.",Z12/Z13))</f>
        <v>0.43260021271240323</v>
      </c>
      <c r="AF12" s="7"/>
    </row>
    <row r="13" spans="1:32" ht="13.5" customHeight="1">
      <c r="A13" s="13"/>
      <c r="R13" s="17" t="s">
        <v>71</v>
      </c>
      <c r="S13" s="17"/>
      <c r="T13" s="17"/>
      <c r="U13" s="17"/>
      <c r="V13" s="17"/>
      <c r="W13" s="17"/>
      <c r="X13" s="17">
        <f>IF((IF(COUNT(X7:X12)=6,SUM(X7:X12),"n.d."))="n.d.",0,IF(COUNT(X7:X12)=6,SUM(X7:X12),"n.d."))</f>
        <v>23748.0</v>
      </c>
      <c r="Y13" s="17"/>
      <c r="Z13" s="17">
        <f>IF((IF(COUNT(Z7:Z12)=6,SUM(Z7:Z12),"n.d."))="n.d.",0,IF(COUNT(Z7:Z12)=6,SUM(Z7:Z12),"n.d."))</f>
        <v>2749252.0</v>
      </c>
      <c r="AA13" s="17"/>
      <c r="AB13" s="17"/>
      <c r="AC13" s="10">
        <f>IF((IF(OR(NOT(ISNUMBER(X13)),X13=0),"n.d.",1))="n.d.",0,IF(OR(NOT(ISNUMBER(X13)),X13=0),"n.d.",1))</f>
        <v>1.0</v>
      </c>
      <c r="AD13" s="10"/>
      <c r="AE13" s="10">
        <f>IF((IF(OR(NOT(ISNUMBER(Z13)),Z13=0),"n.d.",1))="n.d.",0,IF(OR(NOT(ISNUMBER(Z13)),Z13=0),"n.d.",1))</f>
        <v>1.0</v>
      </c>
      <c r="AF13" s="10"/>
    </row>
    <row r="14" spans="1:32" ht="13.5" customHeight="1">
      <c r="A14" s="13"/>
    </row>
    <row r="15" spans="1:32" ht="13.5" customHeight="1">
      <c r="A15" s="13"/>
      <c r="R15" s="4" t="s">
        <v>72</v>
      </c>
      <c r="S15" s="4"/>
      <c r="T15" s="4"/>
      <c r="U15" s="16" t="s">
        <v>73</v>
      </c>
      <c r="V15" s="16"/>
      <c r="W15" s="16"/>
      <c r="X15" s="8">
        <f>IF((IF(OR(SUMPRODUCT(--('Repartition stock'!$A$6:$A$433="2026Q3"),--('Repartition stock'!$B$6:$B$433="DE"),--('Repartition stock'!$E$6:$E$433="Millésime"),--('Repartition stock'!$F$6:$F$433="&lt;2018"))=0,SUMPRODUCT(--('Repartition stock'!$A$6:$A$433="2026Q3"),--('Repartition stock'!$B$6:$B$433="DE"),--('Repartition stock'!$E$6:$E$433="Millésime"),--('Repartition stock'!$F$6:$F$433="&lt;2018"),--('Repartition stock'!$G$6:$G$433="n.d."))&gt;0),"n.d.",SUMPRODUCT(--('Repartition stock'!$A$6:$A$433="2026Q3"),--('Repartition stock'!$B$6:$B$433="DE"),--('Repartition stock'!$E$6:$E$433="Millésime"),--('Repartition stock'!$F$6:$F$433="&lt;2018"),'Repartition stock'!$G$6:$G$433)))="n.d.",0,IF(OR(SUMPRODUCT(--('Repartition stock'!$A$6:$A$433="2026Q3"),--('Repartition stock'!$B$6:$B$433="DE"),--('Repartition stock'!$E$6:$E$433="Millésime"),--('Repartition stock'!$F$6:$F$433="&lt;2018"))=0,SUMPRODUCT(--('Repartition stock'!$A$6:$A$433="2026Q3"),--('Repartition stock'!$B$6:$B$433="DE"),--('Repartition stock'!$E$6:$E$433="Millésime"),--('Repartition stock'!$F$6:$F$433="&lt;2018"),--('Repartition stock'!$G$6:$G$433="n.d."))&gt;0),"n.d.",SUMPRODUCT(--('Repartition stock'!$A$6:$A$433="2026Q3"),--('Repartition stock'!$B$6:$B$433="DE"),--('Repartition stock'!$E$6:$E$433="Millésime"),--('Repartition stock'!$F$6:$F$433="&lt;2018"),'Repartition stock'!$G$6:$G$433)))</f>
        <v>2355.0</v>
      </c>
      <c r="Y15" s="8"/>
      <c r="Z15" s="8">
        <f>IF((IF(OR(SUMPRODUCT(--('Repartition stock'!$A$6:$A$433="2026Q3"),--('Repartition stock'!$B$6:$B$433="DE"),--('Repartition stock'!$E$6:$E$433="Millésime"),--('Repartition stock'!$F$6:$F$433="&lt;2018"))=0,SUMPRODUCT(--('Repartition stock'!$A$6:$A$433="2026Q3"),--('Repartition stock'!$B$6:$B$433="DE"),--('Repartition stock'!$E$6:$E$433="Millésime"),--('Repartition stock'!$F$6:$F$433="&lt;2018"),--('Repartition stock'!$J$6:$J$433="n.d."))&gt;0),"n.d.",SUMPRODUCT(--('Repartition stock'!$A$6:$A$433="2026Q3"),--('Repartition stock'!$B$6:$B$433="DE"),--('Repartition stock'!$E$6:$E$433="Millésime"),--('Repartition stock'!$F$6:$F$433="&lt;2018"),'Repartition stock'!$J$6:$J$433)))="n.d.",0,IF(OR(SUMPRODUCT(--('Repartition stock'!$A$6:$A$433="2026Q3"),--('Repartition stock'!$B$6:$B$433="DE"),--('Repartition stock'!$E$6:$E$433="Millésime"),--('Repartition stock'!$F$6:$F$433="&lt;2018"))=0,SUMPRODUCT(--('Repartition stock'!$A$6:$A$433="2026Q3"),--('Repartition stock'!$B$6:$B$433="DE"),--('Repartition stock'!$E$6:$E$433="Millésime"),--('Repartition stock'!$F$6:$F$433="&lt;2018"),--('Repartition stock'!$J$6:$J$433="n.d."))&gt;0),"n.d.",SUMPRODUCT(--('Repartition stock'!$A$6:$A$433="2026Q3"),--('Repartition stock'!$B$6:$B$433="DE"),--('Repartition stock'!$E$6:$E$433="Millésime"),--('Repartition stock'!$F$6:$F$433="&lt;2018"),'Repartition stock'!$J$6:$J$433)))</f>
        <v>97381.0</v>
      </c>
      <c r="AA15" s="8"/>
      <c r="AB15" s="8"/>
      <c r="AC15" s="7">
        <f>IF((IF(OR(COUNT(X15,X25)&lt;&gt;2,X25=0),"n.d.",X15/X25))="n.d.",0,IF(OR(COUNT(X15,X25)&lt;&gt;2,X25=0),"n.d.",X15/X25))</f>
        <v>0.10030667007411194</v>
      </c>
      <c r="AD15" s="7"/>
      <c r="AE15" s="7">
        <f>IF((IF(OR(COUNT(Z15,Z25)&lt;&gt;2,Z25=0),"n.d.",Z15/Z25))="n.d.",0,IF(OR(COUNT(Z15,Z25)&lt;&gt;2,Z25=0),"n.d.",Z15/Z25))</f>
        <v>0.035420907214034944</v>
      </c>
      <c r="AF15" s="7"/>
    </row>
    <row r="16" spans="1:32" ht="13.5" customHeight="1">
      <c r="A16" s="13"/>
      <c r="R16" s="4"/>
      <c r="S16" s="4"/>
      <c r="T16" s="4"/>
      <c r="U16" s="16" t="s">
        <v>74</v>
      </c>
      <c r="V16" s="16"/>
      <c r="W16" s="16"/>
      <c r="X16" s="8">
        <f>IF((IF(OR(SUMPRODUCT(--('Repartition stock'!$A$6:$A$433="2026Q3"),--('Repartition stock'!$B$6:$B$433="DE"),--('Repartition stock'!$E$6:$E$433="Millésime"),--('Repartition stock'!$F$6:$F$433="2018"))=0,SUMPRODUCT(--('Repartition stock'!$A$6:$A$433="2026Q3"),--('Repartition stock'!$B$6:$B$433="DE"),--('Repartition stock'!$E$6:$E$433="Millésime"),--('Repartition stock'!$F$6:$F$433="2018"),--('Repartition stock'!$G$6:$G$433="n.d."))&gt;0),"n.d.",SUMPRODUCT(--('Repartition stock'!$A$6:$A$433="2026Q3"),--('Repartition stock'!$B$6:$B$433="DE"),--('Repartition stock'!$E$6:$E$433="Millésime"),--('Repartition stock'!$F$6:$F$433="2018"),'Repartition stock'!$G$6:$G$433)))="n.d.",0,IF(OR(SUMPRODUCT(--('Repartition stock'!$A$6:$A$433="2026Q3"),--('Repartition stock'!$B$6:$B$433="DE"),--('Repartition stock'!$E$6:$E$433="Millésime"),--('Repartition stock'!$F$6:$F$433="2018"))=0,SUMPRODUCT(--('Repartition stock'!$A$6:$A$433="2026Q3"),--('Repartition stock'!$B$6:$B$433="DE"),--('Repartition stock'!$E$6:$E$433="Millésime"),--('Repartition stock'!$F$6:$F$433="2018"),--('Repartition stock'!$G$6:$G$433="n.d."))&gt;0),"n.d.",SUMPRODUCT(--('Repartition stock'!$A$6:$A$433="2026Q3"),--('Repartition stock'!$B$6:$B$433="DE"),--('Repartition stock'!$E$6:$E$433="Millésime"),--('Repartition stock'!$F$6:$F$433="2018"),'Repartition stock'!$G$6:$G$433)))</f>
        <v>218.0</v>
      </c>
      <c r="Y16" s="8"/>
      <c r="Z16" s="8">
        <f>IF((IF(OR(SUMPRODUCT(--('Repartition stock'!$A$6:$A$433="2026Q3"),--('Repartition stock'!$B$6:$B$433="DE"),--('Repartition stock'!$E$6:$E$433="Millésime"),--('Repartition stock'!$F$6:$F$433="2018"))=0,SUMPRODUCT(--('Repartition stock'!$A$6:$A$433="2026Q3"),--('Repartition stock'!$B$6:$B$433="DE"),--('Repartition stock'!$E$6:$E$433="Millésime"),--('Repartition stock'!$F$6:$F$433="2018"),--('Repartition stock'!$J$6:$J$433="n.d."))&gt;0),"n.d.",SUMPRODUCT(--('Repartition stock'!$A$6:$A$433="2026Q3"),--('Repartition stock'!$B$6:$B$433="DE"),--('Repartition stock'!$E$6:$E$433="Millésime"),--('Repartition stock'!$F$6:$F$433="2018"),'Repartition stock'!$J$6:$J$433)))="n.d.",0,IF(OR(SUMPRODUCT(--('Repartition stock'!$A$6:$A$433="2026Q3"),--('Repartition stock'!$B$6:$B$433="DE"),--('Repartition stock'!$E$6:$E$433="Millésime"),--('Repartition stock'!$F$6:$F$433="2018"))=0,SUMPRODUCT(--('Repartition stock'!$A$6:$A$433="2026Q3"),--('Repartition stock'!$B$6:$B$433="DE"),--('Repartition stock'!$E$6:$E$433="Millésime"),--('Repartition stock'!$F$6:$F$433="2018"),--('Repartition stock'!$J$6:$J$433="n.d."))&gt;0),"n.d.",SUMPRODUCT(--('Repartition stock'!$A$6:$A$433="2026Q3"),--('Repartition stock'!$B$6:$B$433="DE"),--('Repartition stock'!$E$6:$E$433="Millésime"),--('Repartition stock'!$F$6:$F$433="2018"),'Repartition stock'!$J$6:$J$433)))</f>
        <v>13021.0</v>
      </c>
      <c r="AA16" s="8"/>
      <c r="AB16" s="8"/>
      <c r="AC16" s="7">
        <f>IF((IF(OR(COUNT(X16,X25)&lt;&gt;2,X25=0),"n.d.",X16/X25))="n.d.",0,IF(OR(COUNT(X16,X25)&lt;&gt;2,X25=0),"n.d.",X16/X25))</f>
        <v>0.009285288355055796</v>
      </c>
      <c r="AD16" s="7"/>
      <c r="AE16" s="7">
        <f>IF((IF(OR(COUNT(Z16,Z25)&lt;&gt;2,Z25=0),"n.d.",Z16/Z25))="n.d.",0,IF(OR(COUNT(Z16,Z25)&lt;&gt;2,Z25=0),"n.d.",Z16/Z25))</f>
        <v>0.004736197336584642</v>
      </c>
      <c r="AF16" s="7"/>
    </row>
    <row r="17" spans="1:32" ht="13.5" customHeight="1">
      <c r="A17" s="13"/>
      <c r="R17" s="4"/>
      <c r="S17" s="4"/>
      <c r="T17" s="4"/>
      <c r="U17" s="16" t="s">
        <v>75</v>
      </c>
      <c r="V17" s="16"/>
      <c r="W17" s="16"/>
      <c r="X17" s="8">
        <f>IF((IF(OR(SUMPRODUCT(--('Repartition stock'!$A$6:$A$433="2026Q3"),--('Repartition stock'!$B$6:$B$433="DE"),--('Repartition stock'!$E$6:$E$433="Millésime"),--('Repartition stock'!$F$6:$F$433="2019"))=0,SUMPRODUCT(--('Repartition stock'!$A$6:$A$433="2026Q3"),--('Repartition stock'!$B$6:$B$433="DE"),--('Repartition stock'!$E$6:$E$433="Millésime"),--('Repartition stock'!$F$6:$F$433="2019"),--('Repartition stock'!$G$6:$G$433="n.d."))&gt;0),"n.d.",SUMPRODUCT(--('Repartition stock'!$A$6:$A$433="2026Q3"),--('Repartition stock'!$B$6:$B$433="DE"),--('Repartition stock'!$E$6:$E$433="Millésime"),--('Repartition stock'!$F$6:$F$433="2019"),'Repartition stock'!$G$6:$G$433)))="n.d.",0,IF(OR(SUMPRODUCT(--('Repartition stock'!$A$6:$A$433="2026Q3"),--('Repartition stock'!$B$6:$B$433="DE"),--('Repartition stock'!$E$6:$E$433="Millésime"),--('Repartition stock'!$F$6:$F$433="2019"))=0,SUMPRODUCT(--('Repartition stock'!$A$6:$A$433="2026Q3"),--('Repartition stock'!$B$6:$B$433="DE"),--('Repartition stock'!$E$6:$E$433="Millésime"),--('Repartition stock'!$F$6:$F$433="2019"),--('Repartition stock'!$G$6:$G$433="n.d."))&gt;0),"n.d.",SUMPRODUCT(--('Repartition stock'!$A$6:$A$433="2026Q3"),--('Repartition stock'!$B$6:$B$433="DE"),--('Repartition stock'!$E$6:$E$433="Millésime"),--('Repartition stock'!$F$6:$F$433="2019"),'Repartition stock'!$G$6:$G$433)))</f>
        <v>141.0</v>
      </c>
      <c r="Y17" s="8"/>
      <c r="Z17" s="8">
        <f>IF((IF(OR(SUMPRODUCT(--('Repartition stock'!$A$6:$A$433="2026Q3"),--('Repartition stock'!$B$6:$B$433="DE"),--('Repartition stock'!$E$6:$E$433="Millésime"),--('Repartition stock'!$F$6:$F$433="2019"))=0,SUMPRODUCT(--('Repartition stock'!$A$6:$A$433="2026Q3"),--('Repartition stock'!$B$6:$B$433="DE"),--('Repartition stock'!$E$6:$E$433="Millésime"),--('Repartition stock'!$F$6:$F$433="2019"),--('Repartition stock'!$J$6:$J$433="n.d."))&gt;0),"n.d.",SUMPRODUCT(--('Repartition stock'!$A$6:$A$433="2026Q3"),--('Repartition stock'!$B$6:$B$433="DE"),--('Repartition stock'!$E$6:$E$433="Millésime"),--('Repartition stock'!$F$6:$F$433="2019"),'Repartition stock'!$J$6:$J$433)))="n.d.",0,IF(OR(SUMPRODUCT(--('Repartition stock'!$A$6:$A$433="2026Q3"),--('Repartition stock'!$B$6:$B$433="DE"),--('Repartition stock'!$E$6:$E$433="Millésime"),--('Repartition stock'!$F$6:$F$433="2019"))=0,SUMPRODUCT(--('Repartition stock'!$A$6:$A$433="2026Q3"),--('Repartition stock'!$B$6:$B$433="DE"),--('Repartition stock'!$E$6:$E$433="Millésime"),--('Repartition stock'!$F$6:$F$433="2019"),--('Repartition stock'!$J$6:$J$433="n.d."))&gt;0),"n.d.",SUMPRODUCT(--('Repartition stock'!$A$6:$A$433="2026Q3"),--('Repartition stock'!$B$6:$B$433="DE"),--('Repartition stock'!$E$6:$E$433="Millésime"),--('Repartition stock'!$F$6:$F$433="2019"),'Repartition stock'!$J$6:$J$433)))</f>
        <v>22544.0</v>
      </c>
      <c r="AA17" s="8"/>
      <c r="AB17" s="8"/>
      <c r="AC17" s="7">
        <f>IF((IF(OR(COUNT(X17,X25)&lt;&gt;2,X25=0),"n.d.",X17/X25))="n.d.",0,IF(OR(COUNT(X17,X25)&lt;&gt;2,X25=0),"n.d.",X17/X25))</f>
        <v>0.0060056222846920524</v>
      </c>
      <c r="AD17" s="7"/>
      <c r="AE17" s="7">
        <f>IF((IF(OR(COUNT(Z17,Z25)&lt;&gt;2,Z25=0),"n.d.",Z17/Z25))="n.d.",0,IF(OR(COUNT(Z17,Z25)&lt;&gt;2,Z25=0),"n.d.",Z17/Z25))</f>
        <v>0.008200048595036032</v>
      </c>
      <c r="AF17" s="7"/>
    </row>
    <row r="18" spans="1:32" ht="13.5" customHeight="1">
      <c r="A18" s="13"/>
      <c r="R18" s="4"/>
      <c r="S18" s="4"/>
      <c r="T18" s="4"/>
      <c r="U18" s="16" t="s">
        <v>76</v>
      </c>
      <c r="V18" s="16"/>
      <c r="W18" s="16"/>
      <c r="X18" s="8">
        <f>IF((IF(OR(SUMPRODUCT(--('Repartition stock'!$A$6:$A$433="2026Q3"),--('Repartition stock'!$B$6:$B$433="DE"),--('Repartition stock'!$E$6:$E$433="Millésime"),--('Repartition stock'!$F$6:$F$433="2020"))=0,SUMPRODUCT(--('Repartition stock'!$A$6:$A$433="2026Q3"),--('Repartition stock'!$B$6:$B$433="DE"),--('Repartition stock'!$E$6:$E$433="Millésime"),--('Repartition stock'!$F$6:$F$433="2020"),--('Repartition stock'!$G$6:$G$433="n.d."))&gt;0),"n.d.",SUMPRODUCT(--('Repartition stock'!$A$6:$A$433="2026Q3"),--('Repartition stock'!$B$6:$B$433="DE"),--('Repartition stock'!$E$6:$E$433="Millésime"),--('Repartition stock'!$F$6:$F$433="2020"),'Repartition stock'!$G$6:$G$433)))="n.d.",0,IF(OR(SUMPRODUCT(--('Repartition stock'!$A$6:$A$433="2026Q3"),--('Repartition stock'!$B$6:$B$433="DE"),--('Repartition stock'!$E$6:$E$433="Millésime"),--('Repartition stock'!$F$6:$F$433="2020"))=0,SUMPRODUCT(--('Repartition stock'!$A$6:$A$433="2026Q3"),--('Repartition stock'!$B$6:$B$433="DE"),--('Repartition stock'!$E$6:$E$433="Millésime"),--('Repartition stock'!$F$6:$F$433="2020"),--('Repartition stock'!$G$6:$G$433="n.d."))&gt;0),"n.d.",SUMPRODUCT(--('Repartition stock'!$A$6:$A$433="2026Q3"),--('Repartition stock'!$B$6:$B$433="DE"),--('Repartition stock'!$E$6:$E$433="Millésime"),--('Repartition stock'!$F$6:$F$433="2020"),'Repartition stock'!$G$6:$G$433)))</f>
        <v>378.0</v>
      </c>
      <c r="Y18" s="8"/>
      <c r="Z18" s="8">
        <f>IF((IF(OR(SUMPRODUCT(--('Repartition stock'!$A$6:$A$433="2026Q3"),--('Repartition stock'!$B$6:$B$433="DE"),--('Repartition stock'!$E$6:$E$433="Millésime"),--('Repartition stock'!$F$6:$F$433="2020"))=0,SUMPRODUCT(--('Repartition stock'!$A$6:$A$433="2026Q3"),--('Repartition stock'!$B$6:$B$433="DE"),--('Repartition stock'!$E$6:$E$433="Millésime"),--('Repartition stock'!$F$6:$F$433="2020"),--('Repartition stock'!$J$6:$J$433="n.d."))&gt;0),"n.d.",SUMPRODUCT(--('Repartition stock'!$A$6:$A$433="2026Q3"),--('Repartition stock'!$B$6:$B$433="DE"),--('Repartition stock'!$E$6:$E$433="Millésime"),--('Repartition stock'!$F$6:$F$433="2020"),'Repartition stock'!$J$6:$J$433)))="n.d.",0,IF(OR(SUMPRODUCT(--('Repartition stock'!$A$6:$A$433="2026Q3"),--('Repartition stock'!$B$6:$B$433="DE"),--('Repartition stock'!$E$6:$E$433="Millésime"),--('Repartition stock'!$F$6:$F$433="2020"))=0,SUMPRODUCT(--('Repartition stock'!$A$6:$A$433="2026Q3"),--('Repartition stock'!$B$6:$B$433="DE"),--('Repartition stock'!$E$6:$E$433="Millésime"),--('Repartition stock'!$F$6:$F$433="2020"),--('Repartition stock'!$J$6:$J$433="n.d."))&gt;0),"n.d.",SUMPRODUCT(--('Repartition stock'!$A$6:$A$433="2026Q3"),--('Repartition stock'!$B$6:$B$433="DE"),--('Repartition stock'!$E$6:$E$433="Millésime"),--('Repartition stock'!$F$6:$F$433="2020"),'Repartition stock'!$J$6:$J$433)))</f>
        <v>27140.0</v>
      </c>
      <c r="AA18" s="8"/>
      <c r="AB18" s="8"/>
      <c r="AC18" s="7">
        <f>IF((IF(OR(COUNT(X18,X25)&lt;&gt;2,X25=0),"n.d.",X18/X25))="n.d.",0,IF(OR(COUNT(X18,X25)&lt;&gt;2,X25=0),"n.d.",X18/X25))</f>
        <v>0.016100178890876567</v>
      </c>
      <c r="AD18" s="7"/>
      <c r="AE18" s="7">
        <f>IF((IF(OR(COUNT(Z18,Z25)&lt;&gt;2,Z25=0),"n.d.",Z18/Z25))="n.d.",0,IF(OR(COUNT(Z18,Z25)&lt;&gt;2,Z25=0),"n.d.",Z18/Z25))</f>
        <v>0.00987177603217166</v>
      </c>
      <c r="AF18" s="7"/>
    </row>
    <row r="19" spans="1:32" ht="13.5" customHeight="1">
      <c r="A19" s="13"/>
      <c r="R19" s="4"/>
      <c r="S19" s="4"/>
      <c r="T19" s="4"/>
      <c r="U19" s="16" t="s">
        <v>77</v>
      </c>
      <c r="V19" s="16"/>
      <c r="W19" s="16"/>
      <c r="X19" s="8">
        <f>IF((IF(OR(SUMPRODUCT(--('Repartition stock'!$A$6:$A$433="2026Q3"),--('Repartition stock'!$B$6:$B$433="DE"),--('Repartition stock'!$E$6:$E$433="Millésime"),--('Repartition stock'!$F$6:$F$433="2021"))=0,SUMPRODUCT(--('Repartition stock'!$A$6:$A$433="2026Q3"),--('Repartition stock'!$B$6:$B$433="DE"),--('Repartition stock'!$E$6:$E$433="Millésime"),--('Repartition stock'!$F$6:$F$433="2021"),--('Repartition stock'!$G$6:$G$433="n.d."))&gt;0),"n.d.",SUMPRODUCT(--('Repartition stock'!$A$6:$A$433="2026Q3"),--('Repartition stock'!$B$6:$B$433="DE"),--('Repartition stock'!$E$6:$E$433="Millésime"),--('Repartition stock'!$F$6:$F$433="2021"),'Repartition stock'!$G$6:$G$433)))="n.d.",0,IF(OR(SUMPRODUCT(--('Repartition stock'!$A$6:$A$433="2026Q3"),--('Repartition stock'!$B$6:$B$433="DE"),--('Repartition stock'!$E$6:$E$433="Millésime"),--('Repartition stock'!$F$6:$F$433="2021"))=0,SUMPRODUCT(--('Repartition stock'!$A$6:$A$433="2026Q3"),--('Repartition stock'!$B$6:$B$433="DE"),--('Repartition stock'!$E$6:$E$433="Millésime"),--('Repartition stock'!$F$6:$F$433="2021"),--('Repartition stock'!$G$6:$G$433="n.d."))&gt;0),"n.d.",SUMPRODUCT(--('Repartition stock'!$A$6:$A$433="2026Q3"),--('Repartition stock'!$B$6:$B$433="DE"),--('Repartition stock'!$E$6:$E$433="Millésime"),--('Repartition stock'!$F$6:$F$433="2021"),'Repartition stock'!$G$6:$G$433)))</f>
        <v>377.0</v>
      </c>
      <c r="Y19" s="8"/>
      <c r="Z19" s="8">
        <f>IF((IF(OR(SUMPRODUCT(--('Repartition stock'!$A$6:$A$433="2026Q3"),--('Repartition stock'!$B$6:$B$433="DE"),--('Repartition stock'!$E$6:$E$433="Millésime"),--('Repartition stock'!$F$6:$F$433="2021"))=0,SUMPRODUCT(--('Repartition stock'!$A$6:$A$433="2026Q3"),--('Repartition stock'!$B$6:$B$433="DE"),--('Repartition stock'!$E$6:$E$433="Millésime"),--('Repartition stock'!$F$6:$F$433="2021"),--('Repartition stock'!$J$6:$J$433="n.d."))&gt;0),"n.d.",SUMPRODUCT(--('Repartition stock'!$A$6:$A$433="2026Q3"),--('Repartition stock'!$B$6:$B$433="DE"),--('Repartition stock'!$E$6:$E$433="Millésime"),--('Repartition stock'!$F$6:$F$433="2021"),'Repartition stock'!$J$6:$J$433)))="n.d.",0,IF(OR(SUMPRODUCT(--('Repartition stock'!$A$6:$A$433="2026Q3"),--('Repartition stock'!$B$6:$B$433="DE"),--('Repartition stock'!$E$6:$E$433="Millésime"),--('Repartition stock'!$F$6:$F$433="2021"))=0,SUMPRODUCT(--('Repartition stock'!$A$6:$A$433="2026Q3"),--('Repartition stock'!$B$6:$B$433="DE"),--('Repartition stock'!$E$6:$E$433="Millésime"),--('Repartition stock'!$F$6:$F$433="2021"),--('Repartition stock'!$J$6:$J$433="n.d."))&gt;0),"n.d.",SUMPRODUCT(--('Repartition stock'!$A$6:$A$433="2026Q3"),--('Repartition stock'!$B$6:$B$433="DE"),--('Repartition stock'!$E$6:$E$433="Millésime"),--('Repartition stock'!$F$6:$F$433="2021"),'Repartition stock'!$J$6:$J$433)))</f>
        <v>25847.0</v>
      </c>
      <c r="AA19" s="8"/>
      <c r="AB19" s="8"/>
      <c r="AC19" s="7">
        <f>IF((IF(OR(COUNT(X19,X25)&lt;&gt;2,X25=0),"n.d.",X19/X25))="n.d.",0,IF(OR(COUNT(X19,X25)&lt;&gt;2,X25=0),"n.d.",X19/X25))</f>
        <v>0.016057585825027684</v>
      </c>
      <c r="AD19" s="7"/>
      <c r="AE19" s="7">
        <f>IF((IF(OR(COUNT(Z19,Z25)&lt;&gt;2,Z25=0),"n.d.",Z19/Z25))="n.d.",0,IF(OR(COUNT(Z19,Z25)&lt;&gt;2,Z25=0),"n.d.",Z19/Z25))</f>
        <v>0.0094014662897399</v>
      </c>
      <c r="AF19" s="7"/>
    </row>
    <row r="20" spans="1:32" ht="13.5" customHeight="1">
      <c r="A20" s="13"/>
      <c r="R20" s="4"/>
      <c r="S20" s="4"/>
      <c r="T20" s="4"/>
      <c r="U20" s="16" t="s">
        <v>78</v>
      </c>
      <c r="V20" s="16"/>
      <c r="W20" s="16"/>
      <c r="X20" s="8">
        <f>IF((IF(OR(SUMPRODUCT(--('Repartition stock'!$A$6:$A$433="2026Q3"),--('Repartition stock'!$B$6:$B$433="DE"),--('Repartition stock'!$E$6:$E$433="Millésime"),--('Repartition stock'!$F$6:$F$433="2022"))=0,SUMPRODUCT(--('Repartition stock'!$A$6:$A$433="2026Q3"),--('Repartition stock'!$B$6:$B$433="DE"),--('Repartition stock'!$E$6:$E$433="Millésime"),--('Repartition stock'!$F$6:$F$433="2022"),--('Repartition stock'!$G$6:$G$433="n.d."))&gt;0),"n.d.",SUMPRODUCT(--('Repartition stock'!$A$6:$A$433="2026Q3"),--('Repartition stock'!$B$6:$B$433="DE"),--('Repartition stock'!$E$6:$E$433="Millésime"),--('Repartition stock'!$F$6:$F$433="2022"),'Repartition stock'!$G$6:$G$433)))="n.d.",0,IF(OR(SUMPRODUCT(--('Repartition stock'!$A$6:$A$433="2026Q3"),--('Repartition stock'!$B$6:$B$433="DE"),--('Repartition stock'!$E$6:$E$433="Millésime"),--('Repartition stock'!$F$6:$F$433="2022"))=0,SUMPRODUCT(--('Repartition stock'!$A$6:$A$433="2026Q3"),--('Repartition stock'!$B$6:$B$433="DE"),--('Repartition stock'!$E$6:$E$433="Millésime"),--('Repartition stock'!$F$6:$F$433="2022"),--('Repartition stock'!$G$6:$G$433="n.d."))&gt;0),"n.d.",SUMPRODUCT(--('Repartition stock'!$A$6:$A$433="2026Q3"),--('Repartition stock'!$B$6:$B$433="DE"),--('Repartition stock'!$E$6:$E$433="Millésime"),--('Repartition stock'!$F$6:$F$433="2022"),'Repartition stock'!$G$6:$G$433)))</f>
        <v>538.0</v>
      </c>
      <c r="Y20" s="8"/>
      <c r="Z20" s="8">
        <f>IF((IF(OR(SUMPRODUCT(--('Repartition stock'!$A$6:$A$433="2026Q3"),--('Repartition stock'!$B$6:$B$433="DE"),--('Repartition stock'!$E$6:$E$433="Millésime"),--('Repartition stock'!$F$6:$F$433="2022"))=0,SUMPRODUCT(--('Repartition stock'!$A$6:$A$433="2026Q3"),--('Repartition stock'!$B$6:$B$433="DE"),--('Repartition stock'!$E$6:$E$433="Millésime"),--('Repartition stock'!$F$6:$F$433="2022"),--('Repartition stock'!$J$6:$J$433="n.d."))&gt;0),"n.d.",SUMPRODUCT(--('Repartition stock'!$A$6:$A$433="2026Q3"),--('Repartition stock'!$B$6:$B$433="DE"),--('Repartition stock'!$E$6:$E$433="Millésime"),--('Repartition stock'!$F$6:$F$433="2022"),'Repartition stock'!$J$6:$J$433)))="n.d.",0,IF(OR(SUMPRODUCT(--('Repartition stock'!$A$6:$A$433="2026Q3"),--('Repartition stock'!$B$6:$B$433="DE"),--('Repartition stock'!$E$6:$E$433="Millésime"),--('Repartition stock'!$F$6:$F$433="2022"))=0,SUMPRODUCT(--('Repartition stock'!$A$6:$A$433="2026Q3"),--('Repartition stock'!$B$6:$B$433="DE"),--('Repartition stock'!$E$6:$E$433="Millésime"),--('Repartition stock'!$F$6:$F$433="2022"),--('Repartition stock'!$J$6:$J$433="n.d."))&gt;0),"n.d.",SUMPRODUCT(--('Repartition stock'!$A$6:$A$433="2026Q3"),--('Repartition stock'!$B$6:$B$433="DE"),--('Repartition stock'!$E$6:$E$433="Millésime"),--('Repartition stock'!$F$6:$F$433="2022"),'Repartition stock'!$J$6:$J$433)))</f>
        <v>259900.0</v>
      </c>
      <c r="AA20" s="8"/>
      <c r="AB20" s="8"/>
      <c r="AC20" s="7">
        <f>IF((IF(OR(COUNT(X20,X25)&lt;&gt;2,X25=0),"n.d.",X20/X25))="n.d.",0,IF(OR(COUNT(X20,X25)&lt;&gt;2,X25=0),"n.d.",X20/X25))</f>
        <v>0.022915069426697333</v>
      </c>
      <c r="AD20" s="7"/>
      <c r="AE20" s="7">
        <f>IF((IF(OR(COUNT(Z20,Z25)&lt;&gt;2,Z25=0),"n.d.",Z20/Z25))="n.d.",0,IF(OR(COUNT(Z20,Z25)&lt;&gt;2,Z25=0),"n.d.",Z20/Z25))</f>
        <v>0.09453480437588115</v>
      </c>
      <c r="AF20" s="7"/>
    </row>
    <row r="21" spans="1:32" ht="13.5" customHeight="1">
      <c r="A21" s="13"/>
      <c r="R21" s="4"/>
      <c r="S21" s="4"/>
      <c r="T21" s="4"/>
      <c r="U21" s="16" t="s">
        <v>79</v>
      </c>
      <c r="V21" s="16"/>
      <c r="W21" s="16"/>
      <c r="X21" s="8">
        <f>IF((IF(OR(SUMPRODUCT(--('Repartition stock'!$A$6:$A$433="2026Q3"),--('Repartition stock'!$B$6:$B$433="DE"),--('Repartition stock'!$E$6:$E$433="Millésime"),--('Repartition stock'!$F$6:$F$433="2023"))=0,SUMPRODUCT(--('Repartition stock'!$A$6:$A$433="2026Q3"),--('Repartition stock'!$B$6:$B$433="DE"),--('Repartition stock'!$E$6:$E$433="Millésime"),--('Repartition stock'!$F$6:$F$433="2023"),--('Repartition stock'!$G$6:$G$433="n.d."))&gt;0),"n.d.",SUMPRODUCT(--('Repartition stock'!$A$6:$A$433="2026Q3"),--('Repartition stock'!$B$6:$B$433="DE"),--('Repartition stock'!$E$6:$E$433="Millésime"),--('Repartition stock'!$F$6:$F$433="2023"),'Repartition stock'!$G$6:$G$433)))="n.d.",0,IF(OR(SUMPRODUCT(--('Repartition stock'!$A$6:$A$433="2026Q3"),--('Repartition stock'!$B$6:$B$433="DE"),--('Repartition stock'!$E$6:$E$433="Millésime"),--('Repartition stock'!$F$6:$F$433="2023"))=0,SUMPRODUCT(--('Repartition stock'!$A$6:$A$433="2026Q3"),--('Repartition stock'!$B$6:$B$433="DE"),--('Repartition stock'!$E$6:$E$433="Millésime"),--('Repartition stock'!$F$6:$F$433="2023"),--('Repartition stock'!$G$6:$G$433="n.d."))&gt;0),"n.d.",SUMPRODUCT(--('Repartition stock'!$A$6:$A$433="2026Q3"),--('Repartition stock'!$B$6:$B$433="DE"),--('Repartition stock'!$E$6:$E$433="Millésime"),--('Repartition stock'!$F$6:$F$433="2023"),'Repartition stock'!$G$6:$G$433)))</f>
        <v>805.0</v>
      </c>
      <c r="Y21" s="8"/>
      <c r="Z21" s="8">
        <f>IF((IF(OR(SUMPRODUCT(--('Repartition stock'!$A$6:$A$433="2026Q3"),--('Repartition stock'!$B$6:$B$433="DE"),--('Repartition stock'!$E$6:$E$433="Millésime"),--('Repartition stock'!$F$6:$F$433="2023"))=0,SUMPRODUCT(--('Repartition stock'!$A$6:$A$433="2026Q3"),--('Repartition stock'!$B$6:$B$433="DE"),--('Repartition stock'!$E$6:$E$433="Millésime"),--('Repartition stock'!$F$6:$F$433="2023"),--('Repartition stock'!$J$6:$J$433="n.d."))&gt;0),"n.d.",SUMPRODUCT(--('Repartition stock'!$A$6:$A$433="2026Q3"),--('Repartition stock'!$B$6:$B$433="DE"),--('Repartition stock'!$E$6:$E$433="Millésime"),--('Repartition stock'!$F$6:$F$433="2023"),'Repartition stock'!$J$6:$J$433)))="n.d.",0,IF(OR(SUMPRODUCT(--('Repartition stock'!$A$6:$A$433="2026Q3"),--('Repartition stock'!$B$6:$B$433="DE"),--('Repartition stock'!$E$6:$E$433="Millésime"),--('Repartition stock'!$F$6:$F$433="2023"))=0,SUMPRODUCT(--('Repartition stock'!$A$6:$A$433="2026Q3"),--('Repartition stock'!$B$6:$B$433="DE"),--('Repartition stock'!$E$6:$E$433="Millésime"),--('Repartition stock'!$F$6:$F$433="2023"),--('Repartition stock'!$J$6:$J$433="n.d."))&gt;0),"n.d.",SUMPRODUCT(--('Repartition stock'!$A$6:$A$433="2026Q3"),--('Repartition stock'!$B$6:$B$433="DE"),--('Repartition stock'!$E$6:$E$433="Millésime"),--('Repartition stock'!$F$6:$F$433="2023"),'Repartition stock'!$J$6:$J$433)))</f>
        <v>191046.0</v>
      </c>
      <c r="AA21" s="8"/>
      <c r="AB21" s="8"/>
      <c r="AC21" s="7">
        <f>IF((IF(OR(COUNT(X21,X25)&lt;&gt;2,X25=0),"n.d.",X21/X25))="n.d.",0,IF(OR(COUNT(X21,X25)&lt;&gt;2,X25=0),"n.d.",X21/X25))</f>
        <v>0.03428741800834824</v>
      </c>
      <c r="AD21" s="7"/>
      <c r="AE21" s="7">
        <f>IF((IF(OR(COUNT(Z21,Z25)&lt;&gt;2,Z25=0),"n.d.",Z21/Z25))="n.d.",0,IF(OR(COUNT(Z21,Z25)&lt;&gt;2,Z25=0),"n.d.",Z21/Z25))</f>
        <v>0.06949017405461558</v>
      </c>
      <c r="AF21" s="7"/>
    </row>
    <row r="22" spans="1:32" ht="13.5" customHeight="1">
      <c r="A22" s="13"/>
      <c r="R22" s="4"/>
      <c r="S22" s="4"/>
      <c r="T22" s="4"/>
      <c r="U22" s="16" t="s">
        <v>80</v>
      </c>
      <c r="V22" s="16"/>
      <c r="W22" s="16"/>
      <c r="X22" s="8">
        <f>IF((IF(OR(SUMPRODUCT(--('Repartition stock'!$A$6:$A$433="2026Q3"),--('Repartition stock'!$B$6:$B$433="DE"),--('Repartition stock'!$E$6:$E$433="Millésime"),--('Repartition stock'!$F$6:$F$433="2024"))=0,SUMPRODUCT(--('Repartition stock'!$A$6:$A$433="2026Q3"),--('Repartition stock'!$B$6:$B$433="DE"),--('Repartition stock'!$E$6:$E$433="Millésime"),--('Repartition stock'!$F$6:$F$433="2024"),--('Repartition stock'!$G$6:$G$433="n.d."))&gt;0),"n.d.",SUMPRODUCT(--('Repartition stock'!$A$6:$A$433="2026Q3"),--('Repartition stock'!$B$6:$B$433="DE"),--('Repartition stock'!$E$6:$E$433="Millésime"),--('Repartition stock'!$F$6:$F$433="2024"),'Repartition stock'!$G$6:$G$433)))="n.d.",0,IF(OR(SUMPRODUCT(--('Repartition stock'!$A$6:$A$433="2026Q3"),--('Repartition stock'!$B$6:$B$433="DE"),--('Repartition stock'!$E$6:$E$433="Millésime"),--('Repartition stock'!$F$6:$F$433="2024"))=0,SUMPRODUCT(--('Repartition stock'!$A$6:$A$433="2026Q3"),--('Repartition stock'!$B$6:$B$433="DE"),--('Repartition stock'!$E$6:$E$433="Millésime"),--('Repartition stock'!$F$6:$F$433="2024"),--('Repartition stock'!$G$6:$G$433="n.d."))&gt;0),"n.d.",SUMPRODUCT(--('Repartition stock'!$A$6:$A$433="2026Q3"),--('Repartition stock'!$B$6:$B$433="DE"),--('Repartition stock'!$E$6:$E$433="Millésime"),--('Repartition stock'!$F$6:$F$433="2024"),'Repartition stock'!$G$6:$G$433)))</f>
        <v>1969.0</v>
      </c>
      <c r="Y22" s="8"/>
      <c r="Z22" s="8">
        <f>IF((IF(OR(SUMPRODUCT(--('Repartition stock'!$A$6:$A$433="2026Q3"),--('Repartition stock'!$B$6:$B$433="DE"),--('Repartition stock'!$E$6:$E$433="Millésime"),--('Repartition stock'!$F$6:$F$433="2024"))=0,SUMPRODUCT(--('Repartition stock'!$A$6:$A$433="2026Q3"),--('Repartition stock'!$B$6:$B$433="DE"),--('Repartition stock'!$E$6:$E$433="Millésime"),--('Repartition stock'!$F$6:$F$433="2024"),--('Repartition stock'!$J$6:$J$433="n.d."))&gt;0),"n.d.",SUMPRODUCT(--('Repartition stock'!$A$6:$A$433="2026Q3"),--('Repartition stock'!$B$6:$B$433="DE"),--('Repartition stock'!$E$6:$E$433="Millésime"),--('Repartition stock'!$F$6:$F$433="2024"),'Repartition stock'!$J$6:$J$433)))="n.d.",0,IF(OR(SUMPRODUCT(--('Repartition stock'!$A$6:$A$433="2026Q3"),--('Repartition stock'!$B$6:$B$433="DE"),--('Repartition stock'!$E$6:$E$433="Millésime"),--('Repartition stock'!$F$6:$F$433="2024"))=0,SUMPRODUCT(--('Repartition stock'!$A$6:$A$433="2026Q3"),--('Repartition stock'!$B$6:$B$433="DE"),--('Repartition stock'!$E$6:$E$433="Millésime"),--('Repartition stock'!$F$6:$F$433="2024"),--('Repartition stock'!$J$6:$J$433="n.d."))&gt;0),"n.d.",SUMPRODUCT(--('Repartition stock'!$A$6:$A$433="2026Q3"),--('Repartition stock'!$B$6:$B$433="DE"),--('Repartition stock'!$E$6:$E$433="Millésime"),--('Repartition stock'!$F$6:$F$433="2024"),'Repartition stock'!$J$6:$J$433)))</f>
        <v>173800.0</v>
      </c>
      <c r="AA22" s="8"/>
      <c r="AB22" s="8"/>
      <c r="AC22" s="7">
        <f>IF((IF(OR(COUNT(X22,X25)&lt;&gt;2,X25=0),"n.d.",X22/X25))="n.d.",0,IF(OR(COUNT(X22,X25)&lt;&gt;2,X25=0),"n.d.",X22/X25))</f>
        <v>0.08386574665644433</v>
      </c>
      <c r="AD22" s="7"/>
      <c r="AE22" s="7">
        <f>IF((IF(OR(COUNT(Z22,Z25)&lt;&gt;2,Z25=0),"n.d.",Z22/Z25))="n.d.",0,IF(OR(COUNT(Z22,Z25)&lt;&gt;2,Z25=0),"n.d.",Z22/Z25))</f>
        <v>0.06321719507706096</v>
      </c>
      <c r="AF22" s="7"/>
    </row>
    <row r="23" spans="1:32" ht="13.5" customHeight="1">
      <c r="A23" s="13"/>
      <c r="R23" s="4"/>
      <c r="S23" s="4"/>
      <c r="T23" s="4"/>
      <c r="U23" s="16" t="s">
        <v>50</v>
      </c>
      <c r="V23" s="16"/>
      <c r="W23" s="16"/>
      <c r="X23" s="8">
        <f>IF((IF(OR(SUMPRODUCT(--('Repartition stock'!$A$6:$A$433="2026Q3"),--('Repartition stock'!$B$6:$B$433="DE"),--('Repartition stock'!$E$6:$E$433="Millésime"),--('Repartition stock'!$F$6:$F$433="2025"))=0,SUMPRODUCT(--('Repartition stock'!$A$6:$A$433="2026Q3"),--('Repartition stock'!$B$6:$B$433="DE"),--('Repartition stock'!$E$6:$E$433="Millésime"),--('Repartition stock'!$F$6:$F$433="2025"),--('Repartition stock'!$G$6:$G$433="n.d."))&gt;0),"n.d.",SUMPRODUCT(--('Repartition stock'!$A$6:$A$433="2026Q3"),--('Repartition stock'!$B$6:$B$433="DE"),--('Repartition stock'!$E$6:$E$433="Millésime"),--('Repartition stock'!$F$6:$F$433="2025"),'Repartition stock'!$G$6:$G$433)))="n.d.",0,IF(OR(SUMPRODUCT(--('Repartition stock'!$A$6:$A$433="2026Q3"),--('Repartition stock'!$B$6:$B$433="DE"),--('Repartition stock'!$E$6:$E$433="Millésime"),--('Repartition stock'!$F$6:$F$433="2025"))=0,SUMPRODUCT(--('Repartition stock'!$A$6:$A$433="2026Q3"),--('Repartition stock'!$B$6:$B$433="DE"),--('Repartition stock'!$E$6:$E$433="Millésime"),--('Repartition stock'!$F$6:$F$433="2025"),--('Repartition stock'!$G$6:$G$433="n.d."))&gt;0),"n.d.",SUMPRODUCT(--('Repartition stock'!$A$6:$A$433="2026Q3"),--('Repartition stock'!$B$6:$B$433="DE"),--('Repartition stock'!$E$6:$E$433="Millésime"),--('Repartition stock'!$F$6:$F$433="2025"),'Repartition stock'!$G$6:$G$433)))</f>
        <v>2544.0</v>
      </c>
      <c r="Y23" s="8"/>
      <c r="Z23" s="8">
        <f>IF((IF(OR(SUMPRODUCT(--('Repartition stock'!$A$6:$A$433="2026Q3"),--('Repartition stock'!$B$6:$B$433="DE"),--('Repartition stock'!$E$6:$E$433="Millésime"),--('Repartition stock'!$F$6:$F$433="2025"))=0,SUMPRODUCT(--('Repartition stock'!$A$6:$A$433="2026Q3"),--('Repartition stock'!$B$6:$B$433="DE"),--('Repartition stock'!$E$6:$E$433="Millésime"),--('Repartition stock'!$F$6:$F$433="2025"),--('Repartition stock'!$J$6:$J$433="n.d."))&gt;0),"n.d.",SUMPRODUCT(--('Repartition stock'!$A$6:$A$433="2026Q3"),--('Repartition stock'!$B$6:$B$433="DE"),--('Repartition stock'!$E$6:$E$433="Millésime"),--('Repartition stock'!$F$6:$F$433="2025"),'Repartition stock'!$J$6:$J$433)))="n.d.",0,IF(OR(SUMPRODUCT(--('Repartition stock'!$A$6:$A$433="2026Q3"),--('Repartition stock'!$B$6:$B$433="DE"),--('Repartition stock'!$E$6:$E$433="Millésime"),--('Repartition stock'!$F$6:$F$433="2025"))=0,SUMPRODUCT(--('Repartition stock'!$A$6:$A$433="2026Q3"),--('Repartition stock'!$B$6:$B$433="DE"),--('Repartition stock'!$E$6:$E$433="Millésime"),--('Repartition stock'!$F$6:$F$433="2025"),--('Repartition stock'!$J$6:$J$433="n.d."))&gt;0),"n.d.",SUMPRODUCT(--('Repartition stock'!$A$6:$A$433="2026Q3"),--('Repartition stock'!$B$6:$B$433="DE"),--('Repartition stock'!$E$6:$E$433="Millésime"),--('Repartition stock'!$F$6:$F$433="2025"),'Repartition stock'!$J$6:$J$433)))</f>
        <v>303678.0</v>
      </c>
      <c r="AA23" s="8"/>
      <c r="AB23" s="8"/>
      <c r="AC23" s="7">
        <f>IF((IF(OR(COUNT(X23,X25)&lt;&gt;2,X25=0),"n.d.",X23/X25))="n.d.",0,IF(OR(COUNT(X23,X25)&lt;&gt;2,X25=0),"n.d.",X23/X25))</f>
        <v>0.10835675951955022</v>
      </c>
      <c r="AD23" s="7"/>
      <c r="AE23" s="7">
        <f>IF((IF(OR(COUNT(Z23,Z25)&lt;&gt;2,Z25=0),"n.d.",Z23/Z25))="n.d.",0,IF(OR(COUNT(Z23,Z25)&lt;&gt;2,Z25=0),"n.d.",Z23/Z25))</f>
        <v>0.11045840832342761</v>
      </c>
      <c r="AF23" s="7"/>
    </row>
    <row r="24" spans="1:32" ht="13.5" customHeight="1">
      <c r="A24" s="13"/>
      <c r="R24" s="4"/>
      <c r="S24" s="4"/>
      <c r="T24" s="4"/>
      <c r="U24" s="16" t="s">
        <v>51</v>
      </c>
      <c r="V24" s="16"/>
      <c r="W24" s="16"/>
      <c r="X24" s="8">
        <f>IF((IF(OR(SUMPRODUCT(--('Repartition stock'!$A$6:$A$433="2026Q3"),--('Repartition stock'!$B$6:$B$433="DE"),--('Repartition stock'!$E$6:$E$433="Millésime"),--('Repartition stock'!$F$6:$F$433="2026"))=0,SUMPRODUCT(--('Repartition stock'!$A$6:$A$433="2026Q3"),--('Repartition stock'!$B$6:$B$433="DE"),--('Repartition stock'!$E$6:$E$433="Millésime"),--('Repartition stock'!$F$6:$F$433="2026"),--('Repartition stock'!$G$6:$G$433="n.d."))&gt;0),"n.d.",SUMPRODUCT(--('Repartition stock'!$A$6:$A$433="2026Q3"),--('Repartition stock'!$B$6:$B$433="DE"),--('Repartition stock'!$E$6:$E$433="Millésime"),--('Repartition stock'!$F$6:$F$433="2026"),'Repartition stock'!$G$6:$G$433)))="n.d.",0,IF(OR(SUMPRODUCT(--('Repartition stock'!$A$6:$A$433="2026Q3"),--('Repartition stock'!$B$6:$B$433="DE"),--('Repartition stock'!$E$6:$E$433="Millésime"),--('Repartition stock'!$F$6:$F$433="2026"))=0,SUMPRODUCT(--('Repartition stock'!$A$6:$A$433="2026Q3"),--('Repartition stock'!$B$6:$B$433="DE"),--('Repartition stock'!$E$6:$E$433="Millésime"),--('Repartition stock'!$F$6:$F$433="2026"),--('Repartition stock'!$G$6:$G$433="n.d."))&gt;0),"n.d.",SUMPRODUCT(--('Repartition stock'!$A$6:$A$433="2026Q3"),--('Repartition stock'!$B$6:$B$433="DE"),--('Repartition stock'!$E$6:$E$433="Millésime"),--('Repartition stock'!$F$6:$F$433="2026"),'Repartition stock'!$G$6:$G$433)))</f>
        <v>14153.0</v>
      </c>
      <c r="Y24" s="8"/>
      <c r="Z24" s="8">
        <f>IF((IF(OR(SUMPRODUCT(--('Repartition stock'!$A$6:$A$433="2026Q3"),--('Repartition stock'!$B$6:$B$433="DE"),--('Repartition stock'!$E$6:$E$433="Millésime"),--('Repartition stock'!$F$6:$F$433="2026"))=0,SUMPRODUCT(--('Repartition stock'!$A$6:$A$433="2026Q3"),--('Repartition stock'!$B$6:$B$433="DE"),--('Repartition stock'!$E$6:$E$433="Millésime"),--('Repartition stock'!$F$6:$F$433="2026"),--('Repartition stock'!$J$6:$J$433="n.d."))&gt;0),"n.d.",SUMPRODUCT(--('Repartition stock'!$A$6:$A$433="2026Q3"),--('Repartition stock'!$B$6:$B$433="DE"),--('Repartition stock'!$E$6:$E$433="Millésime"),--('Repartition stock'!$F$6:$F$433="2026"),'Repartition stock'!$J$6:$J$433)))="n.d.",0,IF(OR(SUMPRODUCT(--('Repartition stock'!$A$6:$A$433="2026Q3"),--('Repartition stock'!$B$6:$B$433="DE"),--('Repartition stock'!$E$6:$E$433="Millésime"),--('Repartition stock'!$F$6:$F$433="2026"))=0,SUMPRODUCT(--('Repartition stock'!$A$6:$A$433="2026Q3"),--('Repartition stock'!$B$6:$B$433="DE"),--('Repartition stock'!$E$6:$E$433="Millésime"),--('Repartition stock'!$F$6:$F$433="2026"),--('Repartition stock'!$J$6:$J$433="n.d."))&gt;0),"n.d.",SUMPRODUCT(--('Repartition stock'!$A$6:$A$433="2026Q3"),--('Repartition stock'!$B$6:$B$433="DE"),--('Repartition stock'!$E$6:$E$433="Millésime"),--('Repartition stock'!$F$6:$F$433="2026"),'Repartition stock'!$J$6:$J$433)))</f>
        <v>1634895.0</v>
      </c>
      <c r="AA24" s="8"/>
      <c r="AB24" s="8"/>
      <c r="AC24" s="7">
        <f>IF((IF(OR(COUNT(X24,X25)&lt;&gt;2,X25=0),"n.d.",X24/X25))="n.d.",0,IF(OR(COUNT(X24,X25)&lt;&gt;2,X25=0),"n.d.",X24/X25))</f>
        <v>0.6028196609591958</v>
      </c>
      <c r="AD24" s="7"/>
      <c r="AE24" s="7">
        <f>IF((IF(OR(COUNT(Z24,Z25)&lt;&gt;2,Z25=0),"n.d.",Z24/Z25))="n.d.",0,IF(OR(COUNT(Z24,Z25)&lt;&gt;2,Z25=0),"n.d.",Z24/Z25))</f>
        <v>0.5946690227014475</v>
      </c>
      <c r="AF24" s="7"/>
    </row>
    <row r="25" spans="1:32" ht="13.5" customHeight="1">
      <c r="A25" s="13"/>
      <c r="R25" s="17" t="s">
        <v>71</v>
      </c>
      <c r="S25" s="17"/>
      <c r="T25" s="17"/>
      <c r="U25" s="17"/>
      <c r="V25" s="17"/>
      <c r="W25" s="17"/>
      <c r="X25" s="17">
        <f>IF((IF(COUNT(X15:X24)=10,SUM(X15:X24),"n.d."))="n.d.",0,IF(COUNT(X15:X24)=10,SUM(X15:X24),"n.d."))</f>
        <v>23478.0</v>
      </c>
      <c r="Y25" s="17"/>
      <c r="Z25" s="17">
        <f>IF((IF(COUNT(Z15:Z24)=10,SUM(Z15:Z24),"n.d."))="n.d.",0,IF(COUNT(Z15:Z24)=10,SUM(Z15:Z24),"n.d."))</f>
        <v>2749252.0</v>
      </c>
      <c r="AA25" s="17"/>
      <c r="AB25" s="17"/>
      <c r="AC25" s="10">
        <f>IF((IF(OR(NOT(ISNUMBER(X25)),X25=0),"n.d.",1))="n.d.",0,IF(OR(NOT(ISNUMBER(X25)),X25=0),"n.d.",1))</f>
        <v>1.0</v>
      </c>
      <c r="AD25" s="10"/>
      <c r="AE25" s="10">
        <f>IF((IF(OR(NOT(ISNUMBER(Z25)),Z25=0),"n.d.",1))="n.d.",0,IF(OR(NOT(ISNUMBER(Z25)),Z25=0),"n.d.",1))</f>
        <v>1.0</v>
      </c>
      <c r="AF25" s="10"/>
    </row>
    <row r="26" spans="1:32" ht="13.5" customHeight="1">
      <c r="A26" s="13"/>
    </row>
    <row r="27" spans="1:32" ht="13.5" customHeight="1">
      <c r="A27" s="13"/>
    </row>
    <row r="28" spans="1:32" ht="13.5" customHeight="1">
      <c r="A28" s="13"/>
    </row>
    <row r="29" spans="1:32" ht="13.5" customHeight="1">
      <c r="A29" s="13"/>
    </row>
    <row r="30" spans="1:32" ht="13.5" customHeight="1">
      <c r="A30" s="13"/>
    </row>
    <row r="31" spans="1:32" ht="13.5" customHeight="1">
      <c r="A31" s="13"/>
      <c r="B31" s="11" t="str">
        <f>"Average monthly new flow: "&amp;IF(ISNUMBER('GraphData'!A128),TEXT('GraphData'!A128,"#,##0"),"0")&amp;" EUR. Average balance per contract: "&amp;IF(ISNUMBER('GraphData'!B128),TEXT('GraphData'!B128,"#,##0"),"0")&amp;" EUR."</f>
        <v>Average monthly new flow: 836,063 EUR. Average balance per contract: 221 EUR.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 t="str">
        <f>"Oldest cohort (M-5): "&amp;IF(ISNUMBER('GraphData'!C128),TEXT('GraphData'!C128,"0.0%"),"0")&amp;" treated in amount and "&amp;IF(ISNUMBER('GraphData'!D128),TEXT('GraphData'!D128,"0.0%"),"0")&amp;" in number."</f>
        <v>Oldest cohort (M-5): 85.3% treated in amount and 57.4% in number.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 t="str">
        <f>"Stock to process: "&amp;IF(ISNUMBER('GraphData'!E128),TEXT('GraphData'!E128,"#,##0"),"0")&amp;" EUR. Identified stock: "&amp;IF(ISNUMBER('GraphData'!F128),TEXT('GraphData'!F128,"#,##0"),"0")&amp;" EUR."</f>
        <v>Stock to process: 2,749,252 EUR. Identified stock: 2,778,926 EUR.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 t="s">
        <v>86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</row>
    <row r="43" spans="1:32" ht="13.5" customHeight="1">
      <c r="A43" s="13"/>
      <c r="B43" s="12" t="s">
        <v>23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</sheetData>
  <mergeCells count="105">
    <mergeCell ref="B2:M4"/>
    <mergeCell ref="B43:AF43"/>
    <mergeCell ref="B5:P6"/>
    <mergeCell ref="R2:W5"/>
    <mergeCell ref="X2:AF2"/>
    <mergeCell ref="X3:Y5"/>
    <mergeCell ref="Z3:AB5"/>
    <mergeCell ref="AC3:AD5"/>
    <mergeCell ref="AE3:AF5"/>
    <mergeCell ref="R7:T12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U12:W12"/>
    <mergeCell ref="X12:Y12"/>
    <mergeCell ref="Z12:AB12"/>
    <mergeCell ref="AC12:AD12"/>
    <mergeCell ref="AE12:AF12"/>
    <mergeCell ref="R13:W13"/>
    <mergeCell ref="X13:Y13"/>
    <mergeCell ref="Z13:AB13"/>
    <mergeCell ref="AC13:AD13"/>
    <mergeCell ref="AE13:AF13"/>
    <mergeCell ref="R15:T2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U24:W24"/>
    <mergeCell ref="X24:Y24"/>
    <mergeCell ref="Z24:AB24"/>
    <mergeCell ref="AC24:AD24"/>
    <mergeCell ref="AE24:AF24"/>
    <mergeCell ref="R25:W25"/>
    <mergeCell ref="X25:Y25"/>
    <mergeCell ref="Z25:AB25"/>
    <mergeCell ref="AC25:AD25"/>
    <mergeCell ref="AE25:AF25"/>
    <mergeCell ref="B31:AF32"/>
    <mergeCell ref="B33:AF34"/>
    <mergeCell ref="B35:AF36"/>
    <mergeCell ref="B37:AF38"/>
  </mergeCells>
  <conditionalFormatting sqref="B31:AF41">
    <cfRule type="notContainsBlanks" dxfId="2" priority="1">
      <formula>LEN(TRIM(B31))&gt;0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87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61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65</v>
      </c>
      <c r="S7" s="4"/>
      <c r="T7" s="4"/>
      <c r="U7" s="16" t="s">
        <v>66</v>
      </c>
      <c r="V7" s="16"/>
      <c r="W7" s="16"/>
      <c r="X7" s="8">
        <f>IF((IF(OR(SUMPRODUCT(--('Repartition stock'!$A$6:$A$433="2026Q3"),--('Repartition stock'!$B$6:$B$433="AT"),--('Repartition stock'!$E$6:$E$433="Tranche"),--('Repartition stock'!$F$6:$F$433="0 - 1 €"))=0,SUMPRODUCT(--('Repartition stock'!$A$6:$A$433="2026Q3"),--('Repartition stock'!$B$6:$B$433="AT"),--('Repartition stock'!$E$6:$E$433="Tranche"),--('Repartition stock'!$F$6:$F$433="0 - 1 €"),--('Repartition stock'!$G$6:$G$433="n.d."))&gt;0),"n.d.",SUMPRODUCT(--('Repartition stock'!$A$6:$A$433="2026Q3"),--('Repartition stock'!$B$6:$B$433="AT"),--('Repartition stock'!$E$6:$E$433="Tranche"),--('Repartition stock'!$F$6:$F$433="0 - 1 €"),'Repartition stock'!$G$6:$G$433)))="n.d.",0,IF(OR(SUMPRODUCT(--('Repartition stock'!$A$6:$A$433="2026Q3"),--('Repartition stock'!$B$6:$B$433="AT"),--('Repartition stock'!$E$6:$E$433="Tranche"),--('Repartition stock'!$F$6:$F$433="0 - 1 €"))=0,SUMPRODUCT(--('Repartition stock'!$A$6:$A$433="2026Q3"),--('Repartition stock'!$B$6:$B$433="AT"),--('Repartition stock'!$E$6:$E$433="Tranche"),--('Repartition stock'!$F$6:$F$433="0 - 1 €"),--('Repartition stock'!$G$6:$G$433="n.d."))&gt;0),"n.d.",SUMPRODUCT(--('Repartition stock'!$A$6:$A$433="2026Q3"),--('Repartition stock'!$B$6:$B$433="AT"),--('Repartition stock'!$E$6:$E$433="Tranche"),--('Repartition stock'!$F$6:$F$433="0 - 1 €"),'Repartition stock'!$G$6:$G$433)))</f>
        <v>8.0</v>
      </c>
      <c r="Y7" s="8"/>
      <c r="Z7" s="8">
        <f>IF((IF(OR(SUMPRODUCT(--('Repartition stock'!$A$6:$A$433="2026Q3"),--('Repartition stock'!$B$6:$B$433="AT"),--('Repartition stock'!$E$6:$E$433="Tranche"),--('Repartition stock'!$F$6:$F$433="0 - 1 €"))=0,SUMPRODUCT(--('Repartition stock'!$A$6:$A$433="2026Q3"),--('Repartition stock'!$B$6:$B$433="AT"),--('Repartition stock'!$E$6:$E$433="Tranche"),--('Repartition stock'!$F$6:$F$433="0 - 1 €"),--('Repartition stock'!$J$6:$J$433="n.d."))&gt;0),"n.d.",SUMPRODUCT(--('Repartition stock'!$A$6:$A$433="2026Q3"),--('Repartition stock'!$B$6:$B$433="AT"),--('Repartition stock'!$E$6:$E$433="Tranche"),--('Repartition stock'!$F$6:$F$433="0 - 1 €"),'Repartition stock'!$J$6:$J$433)))="n.d.",0,IF(OR(SUMPRODUCT(--('Repartition stock'!$A$6:$A$433="2026Q3"),--('Repartition stock'!$B$6:$B$433="AT"),--('Repartition stock'!$E$6:$E$433="Tranche"),--('Repartition stock'!$F$6:$F$433="0 - 1 €"))=0,SUMPRODUCT(--('Repartition stock'!$A$6:$A$433="2026Q3"),--('Repartition stock'!$B$6:$B$433="AT"),--('Repartition stock'!$E$6:$E$433="Tranche"),--('Repartition stock'!$F$6:$F$433="0 - 1 €"),--('Repartition stock'!$J$6:$J$433="n.d."))&gt;0),"n.d.",SUMPRODUCT(--('Repartition stock'!$A$6:$A$433="2026Q3"),--('Repartition stock'!$B$6:$B$433="AT"),--('Repartition stock'!$E$6:$E$433="Tranche"),--('Repartition stock'!$F$6:$F$433="0 - 1 €"),'Repartition stock'!$J$6:$J$433)))</f>
        <v>3.0</v>
      </c>
      <c r="AA7" s="8"/>
      <c r="AB7" s="8"/>
      <c r="AC7" s="7">
        <f>IF((IF(OR(COUNT(X7,X12)&lt;&gt;2,X12=0),"n.d.",X7/X12))="n.d.",0,IF(OR(COUNT(X7,X12)&lt;&gt;2,X12=0),"n.d.",X7/X12))</f>
        <v>0.10810810810810811</v>
      </c>
      <c r="AD7" s="7"/>
      <c r="AE7" s="7">
        <f>IF((IF(OR(COUNT(Z7,Z12)&lt;&gt;2,Z12=0),"n.d.",Z7/Z12))="n.d.",0,IF(OR(COUNT(Z7,Z12)&lt;&gt;2,Z12=0),"n.d.",Z7/Z12))</f>
        <v>0.00021261516654854713</v>
      </c>
      <c r="AF7" s="7"/>
    </row>
    <row r="8" spans="1:32" ht="13.5" customHeight="1">
      <c r="A8" s="13"/>
      <c r="R8" s="4"/>
      <c r="S8" s="4"/>
      <c r="T8" s="4"/>
      <c r="U8" s="16" t="s">
        <v>67</v>
      </c>
      <c r="V8" s="16"/>
      <c r="W8" s="16"/>
      <c r="X8" s="8">
        <f>IF((IF(OR(SUMPRODUCT(--('Repartition stock'!$A$6:$A$433="2026Q3"),--('Repartition stock'!$B$6:$B$433="AT"),--('Repartition stock'!$E$6:$E$433="Tranche"),--('Repartition stock'!$F$6:$F$433="1 - 10 €"))=0,SUMPRODUCT(--('Repartition stock'!$A$6:$A$433="2026Q3"),--('Repartition stock'!$B$6:$B$433="AT"),--('Repartition stock'!$E$6:$E$433="Tranche"),--('Repartition stock'!$F$6:$F$433="1 - 10 €"),--('Repartition stock'!$G$6:$G$433="n.d."))&gt;0),"n.d.",SUMPRODUCT(--('Repartition stock'!$A$6:$A$433="2026Q3"),--('Repartition stock'!$B$6:$B$433="AT"),--('Repartition stock'!$E$6:$E$433="Tranche"),--('Repartition stock'!$F$6:$F$433="1 - 10 €"),'Repartition stock'!$G$6:$G$433)))="n.d.",0,IF(OR(SUMPRODUCT(--('Repartition stock'!$A$6:$A$433="2026Q3"),--('Repartition stock'!$B$6:$B$433="AT"),--('Repartition stock'!$E$6:$E$433="Tranche"),--('Repartition stock'!$F$6:$F$433="1 - 10 €"))=0,SUMPRODUCT(--('Repartition stock'!$A$6:$A$433="2026Q3"),--('Repartition stock'!$B$6:$B$433="AT"),--('Repartition stock'!$E$6:$E$433="Tranche"),--('Repartition stock'!$F$6:$F$433="1 - 10 €"),--('Repartition stock'!$G$6:$G$433="n.d."))&gt;0),"n.d.",SUMPRODUCT(--('Repartition stock'!$A$6:$A$433="2026Q3"),--('Repartition stock'!$B$6:$B$433="AT"),--('Repartition stock'!$E$6:$E$433="Tranche"),--('Repartition stock'!$F$6:$F$433="1 - 10 €"),'Repartition stock'!$G$6:$G$433)))</f>
        <v>14.0</v>
      </c>
      <c r="Y8" s="8"/>
      <c r="Z8" s="8">
        <f>IF((IF(OR(SUMPRODUCT(--('Repartition stock'!$A$6:$A$433="2026Q3"),--('Repartition stock'!$B$6:$B$433="AT"),--('Repartition stock'!$E$6:$E$433="Tranche"),--('Repartition stock'!$F$6:$F$433="1 - 10 €"))=0,SUMPRODUCT(--('Repartition stock'!$A$6:$A$433="2026Q3"),--('Repartition stock'!$B$6:$B$433="AT"),--('Repartition stock'!$E$6:$E$433="Tranche"),--('Repartition stock'!$F$6:$F$433="1 - 10 €"),--('Repartition stock'!$J$6:$J$433="n.d."))&gt;0),"n.d.",SUMPRODUCT(--('Repartition stock'!$A$6:$A$433="2026Q3"),--('Repartition stock'!$B$6:$B$433="AT"),--('Repartition stock'!$E$6:$E$433="Tranche"),--('Repartition stock'!$F$6:$F$433="1 - 10 €"),'Repartition stock'!$J$6:$J$433)))="n.d.",0,IF(OR(SUMPRODUCT(--('Repartition stock'!$A$6:$A$433="2026Q3"),--('Repartition stock'!$B$6:$B$433="AT"),--('Repartition stock'!$E$6:$E$433="Tranche"),--('Repartition stock'!$F$6:$F$433="1 - 10 €"))=0,SUMPRODUCT(--('Repartition stock'!$A$6:$A$433="2026Q3"),--('Repartition stock'!$B$6:$B$433="AT"),--('Repartition stock'!$E$6:$E$433="Tranche"),--('Repartition stock'!$F$6:$F$433="1 - 10 €"),--('Repartition stock'!$J$6:$J$433="n.d."))&gt;0),"n.d.",SUMPRODUCT(--('Repartition stock'!$A$6:$A$433="2026Q3"),--('Repartition stock'!$B$6:$B$433="AT"),--('Repartition stock'!$E$6:$E$433="Tranche"),--('Repartition stock'!$F$6:$F$433="1 - 10 €"),'Repartition stock'!$J$6:$J$433)))</f>
        <v>82.0</v>
      </c>
      <c r="AA8" s="8"/>
      <c r="AB8" s="8"/>
      <c r="AC8" s="7">
        <f>IF((IF(OR(COUNT(X8,X12)&lt;&gt;2,X12=0),"n.d.",X8/X12))="n.d.",0,IF(OR(COUNT(X8,X12)&lt;&gt;2,X12=0),"n.d.",X8/X12))</f>
        <v>0.1891891891891892</v>
      </c>
      <c r="AD8" s="7"/>
      <c r="AE8" s="7">
        <f>IF((IF(OR(COUNT(Z8,Z12)&lt;&gt;2,Z12=0),"n.d.",Z8/Z12))="n.d.",0,IF(OR(COUNT(Z8,Z12)&lt;&gt;2,Z12=0),"n.d.",Z8/Z12))</f>
        <v>0.005811481218993621</v>
      </c>
      <c r="AF8" s="7"/>
    </row>
    <row r="9" spans="1:32" ht="13.5" customHeight="1">
      <c r="A9" s="13"/>
      <c r="R9" s="4"/>
      <c r="S9" s="4"/>
      <c r="T9" s="4"/>
      <c r="U9" s="16" t="s">
        <v>68</v>
      </c>
      <c r="V9" s="16"/>
      <c r="W9" s="16"/>
      <c r="X9" s="8">
        <f>IF((IF(OR(SUMPRODUCT(--('Repartition stock'!$A$6:$A$433="2026Q3"),--('Repartition stock'!$B$6:$B$433="AT"),--('Repartition stock'!$E$6:$E$433="Tranche"),--('Repartition stock'!$F$6:$F$433="10 - 100 €"))=0,SUMPRODUCT(--('Repartition stock'!$A$6:$A$433="2026Q3"),--('Repartition stock'!$B$6:$B$433="AT"),--('Repartition stock'!$E$6:$E$433="Tranche"),--('Repartition stock'!$F$6:$F$433="10 - 100 €"),--('Repartition stock'!$G$6:$G$433="n.d."))&gt;0),"n.d.",SUMPRODUCT(--('Repartition stock'!$A$6:$A$433="2026Q3"),--('Repartition stock'!$B$6:$B$433="AT"),--('Repartition stock'!$E$6:$E$433="Tranche"),--('Repartition stock'!$F$6:$F$433="10 - 100 €"),'Repartition stock'!$G$6:$G$433)))="n.d.",0,IF(OR(SUMPRODUCT(--('Repartition stock'!$A$6:$A$433="2026Q3"),--('Repartition stock'!$B$6:$B$433="AT"),--('Repartition stock'!$E$6:$E$433="Tranche"),--('Repartition stock'!$F$6:$F$433="10 - 100 €"))=0,SUMPRODUCT(--('Repartition stock'!$A$6:$A$433="2026Q3"),--('Repartition stock'!$B$6:$B$433="AT"),--('Repartition stock'!$E$6:$E$433="Tranche"),--('Repartition stock'!$F$6:$F$433="10 - 100 €"),--('Repartition stock'!$G$6:$G$433="n.d."))&gt;0),"n.d.",SUMPRODUCT(--('Repartition stock'!$A$6:$A$433="2026Q3"),--('Repartition stock'!$B$6:$B$433="AT"),--('Repartition stock'!$E$6:$E$433="Tranche"),--('Repartition stock'!$F$6:$F$433="10 - 100 €"),'Repartition stock'!$G$6:$G$433)))</f>
        <v>34.0</v>
      </c>
      <c r="Y9" s="8"/>
      <c r="Z9" s="8">
        <f>IF((IF(OR(SUMPRODUCT(--('Repartition stock'!$A$6:$A$433="2026Q3"),--('Repartition stock'!$B$6:$B$433="AT"),--('Repartition stock'!$E$6:$E$433="Tranche"),--('Repartition stock'!$F$6:$F$433="10 - 100 €"))=0,SUMPRODUCT(--('Repartition stock'!$A$6:$A$433="2026Q3"),--('Repartition stock'!$B$6:$B$433="AT"),--('Repartition stock'!$E$6:$E$433="Tranche"),--('Repartition stock'!$F$6:$F$433="10 - 100 €"),--('Repartition stock'!$J$6:$J$433="n.d."))&gt;0),"n.d.",SUMPRODUCT(--('Repartition stock'!$A$6:$A$433="2026Q3"),--('Repartition stock'!$B$6:$B$433="AT"),--('Repartition stock'!$E$6:$E$433="Tranche"),--('Repartition stock'!$F$6:$F$433="10 - 100 €"),'Repartition stock'!$J$6:$J$433)))="n.d.",0,IF(OR(SUMPRODUCT(--('Repartition stock'!$A$6:$A$433="2026Q3"),--('Repartition stock'!$B$6:$B$433="AT"),--('Repartition stock'!$E$6:$E$433="Tranche"),--('Repartition stock'!$F$6:$F$433="10 - 100 €"))=0,SUMPRODUCT(--('Repartition stock'!$A$6:$A$433="2026Q3"),--('Repartition stock'!$B$6:$B$433="AT"),--('Repartition stock'!$E$6:$E$433="Tranche"),--('Repartition stock'!$F$6:$F$433="10 - 100 €"),--('Repartition stock'!$J$6:$J$433="n.d."))&gt;0),"n.d.",SUMPRODUCT(--('Repartition stock'!$A$6:$A$433="2026Q3"),--('Repartition stock'!$B$6:$B$433="AT"),--('Repartition stock'!$E$6:$E$433="Tranche"),--('Repartition stock'!$F$6:$F$433="10 - 100 €"),'Repartition stock'!$J$6:$J$433)))</f>
        <v>1617.0</v>
      </c>
      <c r="AA9" s="8"/>
      <c r="AB9" s="8"/>
      <c r="AC9" s="7">
        <f>IF((IF(OR(COUNT(X9,X12)&lt;&gt;2,X12=0),"n.d.",X9/X12))="n.d.",0,IF(OR(COUNT(X9,X12)&lt;&gt;2,X12=0),"n.d.",X9/X12))</f>
        <v>0.4594594594594595</v>
      </c>
      <c r="AD9" s="7"/>
      <c r="AE9" s="7">
        <f>IF((IF(OR(COUNT(Z9,Z12)&lt;&gt;2,Z12=0),"n.d.",Z9/Z12))="n.d.",0,IF(OR(COUNT(Z9,Z12)&lt;&gt;2,Z12=0),"n.d.",Z9/Z12))</f>
        <v>0.11459957476966691</v>
      </c>
      <c r="AF9" s="7"/>
    </row>
    <row r="10" spans="1:32" ht="13.5" customHeight="1">
      <c r="A10" s="13"/>
      <c r="R10" s="4"/>
      <c r="S10" s="4"/>
      <c r="T10" s="4"/>
      <c r="U10" s="16" t="s">
        <v>69</v>
      </c>
      <c r="V10" s="16"/>
      <c r="W10" s="16"/>
      <c r="X10" s="8">
        <f>IF((IF(OR(SUMPRODUCT(--('Repartition stock'!$A$6:$A$433="2026Q3"),--('Repartition stock'!$B$6:$B$433="AT"),--('Repartition stock'!$E$6:$E$433="Tranche"),--('Repartition stock'!$F$6:$F$433="100 - 1 000 €"))=0,SUMPRODUCT(--('Repartition stock'!$A$6:$A$433="2026Q3"),--('Repartition stock'!$B$6:$B$433="AT"),--('Repartition stock'!$E$6:$E$433="Tranche"),--('Repartition stock'!$F$6:$F$433="100 - 1 000 €"),--('Repartition stock'!$G$6:$G$433="n.d."))&gt;0),"n.d.",SUMPRODUCT(--('Repartition stock'!$A$6:$A$433="2026Q3"),--('Repartition stock'!$B$6:$B$433="AT"),--('Repartition stock'!$E$6:$E$433="Tranche"),--('Repartition stock'!$F$6:$F$433="100 - 1 000 €"),'Repartition stock'!$G$6:$G$433)))="n.d.",0,IF(OR(SUMPRODUCT(--('Repartition stock'!$A$6:$A$433="2026Q3"),--('Repartition stock'!$B$6:$B$433="AT"),--('Repartition stock'!$E$6:$E$433="Tranche"),--('Repartition stock'!$F$6:$F$433="100 - 1 000 €"))=0,SUMPRODUCT(--('Repartition stock'!$A$6:$A$433="2026Q3"),--('Repartition stock'!$B$6:$B$433="AT"),--('Repartition stock'!$E$6:$E$433="Tranche"),--('Repartition stock'!$F$6:$F$433="100 - 1 000 €"),--('Repartition stock'!$G$6:$G$433="n.d."))&gt;0),"n.d.",SUMPRODUCT(--('Repartition stock'!$A$6:$A$433="2026Q3"),--('Repartition stock'!$B$6:$B$433="AT"),--('Repartition stock'!$E$6:$E$433="Tranche"),--('Repartition stock'!$F$6:$F$433="100 - 1 000 €"),'Repartition stock'!$G$6:$G$433)))</f>
        <v>14.0</v>
      </c>
      <c r="Y10" s="8"/>
      <c r="Z10" s="8">
        <f>IF((IF(OR(SUMPRODUCT(--('Repartition stock'!$A$6:$A$433="2026Q3"),--('Repartition stock'!$B$6:$B$433="AT"),--('Repartition stock'!$E$6:$E$433="Tranche"),--('Repartition stock'!$F$6:$F$433="100 - 1 000 €"))=0,SUMPRODUCT(--('Repartition stock'!$A$6:$A$433="2026Q3"),--('Repartition stock'!$B$6:$B$433="AT"),--('Repartition stock'!$E$6:$E$433="Tranche"),--('Repartition stock'!$F$6:$F$433="100 - 1 000 €"),--('Repartition stock'!$J$6:$J$433="n.d."))&gt;0),"n.d.",SUMPRODUCT(--('Repartition stock'!$A$6:$A$433="2026Q3"),--('Repartition stock'!$B$6:$B$433="AT"),--('Repartition stock'!$E$6:$E$433="Tranche"),--('Repartition stock'!$F$6:$F$433="100 - 1 000 €"),'Repartition stock'!$J$6:$J$433)))="n.d.",0,IF(OR(SUMPRODUCT(--('Repartition stock'!$A$6:$A$433="2026Q3"),--('Repartition stock'!$B$6:$B$433="AT"),--('Repartition stock'!$E$6:$E$433="Tranche"),--('Repartition stock'!$F$6:$F$433="100 - 1 000 €"))=0,SUMPRODUCT(--('Repartition stock'!$A$6:$A$433="2026Q3"),--('Repartition stock'!$B$6:$B$433="AT"),--('Repartition stock'!$E$6:$E$433="Tranche"),--('Repartition stock'!$F$6:$F$433="100 - 1 000 €"),--('Repartition stock'!$J$6:$J$433="n.d."))&gt;0),"n.d.",SUMPRODUCT(--('Repartition stock'!$A$6:$A$433="2026Q3"),--('Repartition stock'!$B$6:$B$433="AT"),--('Repartition stock'!$E$6:$E$433="Tranche"),--('Repartition stock'!$F$6:$F$433="100 - 1 000 €"),'Repartition stock'!$J$6:$J$433)))</f>
        <v>2676.0</v>
      </c>
      <c r="AA10" s="8"/>
      <c r="AB10" s="8"/>
      <c r="AC10" s="7">
        <f>IF((IF(OR(COUNT(X10,X12)&lt;&gt;2,X12=0),"n.d.",X10/X12))="n.d.",0,IF(OR(COUNT(X10,X12)&lt;&gt;2,X12=0),"n.d.",X10/X12))</f>
        <v>0.1891891891891892</v>
      </c>
      <c r="AD10" s="7"/>
      <c r="AE10" s="7">
        <f>IF((IF(OR(COUNT(Z10,Z12)&lt;&gt;2,Z12=0),"n.d.",Z10/Z12))="n.d.",0,IF(OR(COUNT(Z10,Z12)&lt;&gt;2,Z12=0),"n.d.",Z10/Z12))</f>
        <v>0.18965272856130405</v>
      </c>
      <c r="AF10" s="7"/>
    </row>
    <row r="11" spans="1:32" ht="13.5" customHeight="1">
      <c r="A11" s="13"/>
      <c r="R11" s="4"/>
      <c r="S11" s="4"/>
      <c r="T11" s="4"/>
      <c r="U11" s="16" t="s">
        <v>70</v>
      </c>
      <c r="V11" s="16"/>
      <c r="W11" s="16"/>
      <c r="X11" s="8">
        <f>IF((IF(OR(SUMPRODUCT(--('Repartition stock'!$A$6:$A$433="2026Q3"),--('Repartition stock'!$B$6:$B$433="AT"),--('Repartition stock'!$E$6:$E$433="Tranche"),--('Repartition stock'!$F$6:$F$433="&gt; 1 000 €"))=0,SUMPRODUCT(--('Repartition stock'!$A$6:$A$433="2026Q3"),--('Repartition stock'!$B$6:$B$433="AT"),--('Repartition stock'!$E$6:$E$433="Tranche"),--('Repartition stock'!$F$6:$F$433="&gt; 1 000 €"),--('Repartition stock'!$G$6:$G$433="n.d."))&gt;0),"n.d.",SUMPRODUCT(--('Repartition stock'!$A$6:$A$433="2026Q3"),--('Repartition stock'!$B$6:$B$433="AT"),--('Repartition stock'!$E$6:$E$433="Tranche"),--('Repartition stock'!$F$6:$F$433="&gt; 1 000 €"),'Repartition stock'!$G$6:$G$433)))="n.d.",0,IF(OR(SUMPRODUCT(--('Repartition stock'!$A$6:$A$433="2026Q3"),--('Repartition stock'!$B$6:$B$433="AT"),--('Repartition stock'!$E$6:$E$433="Tranche"),--('Repartition stock'!$F$6:$F$433="&gt; 1 000 €"))=0,SUMPRODUCT(--('Repartition stock'!$A$6:$A$433="2026Q3"),--('Repartition stock'!$B$6:$B$433="AT"),--('Repartition stock'!$E$6:$E$433="Tranche"),--('Repartition stock'!$F$6:$F$433="&gt; 1 000 €"),--('Repartition stock'!$G$6:$G$433="n.d."))&gt;0),"n.d.",SUMPRODUCT(--('Repartition stock'!$A$6:$A$433="2026Q3"),--('Repartition stock'!$B$6:$B$433="AT"),--('Repartition stock'!$E$6:$E$433="Tranche"),--('Repartition stock'!$F$6:$F$433="&gt; 1 000 €"),'Repartition stock'!$G$6:$G$433)))</f>
        <v>4.0</v>
      </c>
      <c r="Y11" s="8"/>
      <c r="Z11" s="8">
        <f>IF((IF(OR(SUMPRODUCT(--('Repartition stock'!$A$6:$A$433="2026Q3"),--('Repartition stock'!$B$6:$B$433="AT"),--('Repartition stock'!$E$6:$E$433="Tranche"),--('Repartition stock'!$F$6:$F$433="&gt; 1 000 €"))=0,SUMPRODUCT(--('Repartition stock'!$A$6:$A$433="2026Q3"),--('Repartition stock'!$B$6:$B$433="AT"),--('Repartition stock'!$E$6:$E$433="Tranche"),--('Repartition stock'!$F$6:$F$433="&gt; 1 000 €"),--('Repartition stock'!$J$6:$J$433="n.d."))&gt;0),"n.d.",SUMPRODUCT(--('Repartition stock'!$A$6:$A$433="2026Q3"),--('Repartition stock'!$B$6:$B$433="AT"),--('Repartition stock'!$E$6:$E$433="Tranche"),--('Repartition stock'!$F$6:$F$433="&gt; 1 000 €"),'Repartition stock'!$J$6:$J$433)))="n.d.",0,IF(OR(SUMPRODUCT(--('Repartition stock'!$A$6:$A$433="2026Q3"),--('Repartition stock'!$B$6:$B$433="AT"),--('Repartition stock'!$E$6:$E$433="Tranche"),--('Repartition stock'!$F$6:$F$433="&gt; 1 000 €"))=0,SUMPRODUCT(--('Repartition stock'!$A$6:$A$433="2026Q3"),--('Repartition stock'!$B$6:$B$433="AT"),--('Repartition stock'!$E$6:$E$433="Tranche"),--('Repartition stock'!$F$6:$F$433="&gt; 1 000 €"),--('Repartition stock'!$J$6:$J$433="n.d."))&gt;0),"n.d.",SUMPRODUCT(--('Repartition stock'!$A$6:$A$433="2026Q3"),--('Repartition stock'!$B$6:$B$433="AT"),--('Repartition stock'!$E$6:$E$433="Tranche"),--('Repartition stock'!$F$6:$F$433="&gt; 1 000 €"),'Repartition stock'!$J$6:$J$433)))</f>
        <v>9732.0</v>
      </c>
      <c r="AA11" s="8"/>
      <c r="AB11" s="8"/>
      <c r="AC11" s="7">
        <f>IF((IF(OR(COUNT(X11,X12)&lt;&gt;2,X12=0),"n.d.",X11/X12))="n.d.",0,IF(OR(COUNT(X11,X12)&lt;&gt;2,X12=0),"n.d.",X11/X12))</f>
        <v>0.05405405405405406</v>
      </c>
      <c r="AD11" s="7"/>
      <c r="AE11" s="7">
        <f>IF((IF(OR(COUNT(Z11,Z12)&lt;&gt;2,Z12=0),"n.d.",Z11/Z12))="n.d.",0,IF(OR(COUNT(Z11,Z12)&lt;&gt;2,Z12=0),"n.d.",Z11/Z12))</f>
        <v>0.6897236002834869</v>
      </c>
      <c r="AF11" s="7"/>
    </row>
    <row r="12" spans="1:32" ht="13.5" customHeight="1">
      <c r="A12" s="13"/>
      <c r="R12" s="17" t="s">
        <v>71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74.0</v>
      </c>
      <c r="Y12" s="17"/>
      <c r="Z12" s="17">
        <f>IF((IF(COUNT(Z7:Z11)=5,SUM(Z7:Z11),"n.d."))="n.d.",0,IF(COUNT(Z7:Z11)=5,SUM(Z7:Z11),"n.d."))</f>
        <v>14110.0</v>
      </c>
      <c r="AA12" s="17"/>
      <c r="AB12" s="17"/>
      <c r="AC12" s="10">
        <f>IF((IF(OR(NOT(ISNUMBER(X12)),X12=0),"n.d.",1))="n.d.",0,IF(OR(NOT(ISNUMBER(X12)),X12=0),"n.d.",1))</f>
        <v>1.0</v>
      </c>
      <c r="AD12" s="10"/>
      <c r="AE12" s="10">
        <f>IF((IF(OR(NOT(ISNUMBER(Z12)),Z12=0),"n.d.",1))="n.d.",0,IF(OR(NOT(ISNUMBER(Z12)),Z12=0),"n.d.",1))</f>
        <v>1.0</v>
      </c>
      <c r="AF12" s="10"/>
    </row>
    <row r="13" spans="1:32" ht="13.5" customHeight="1">
      <c r="A13" s="13"/>
    </row>
    <row r="14" spans="1:32" ht="13.5" customHeight="1">
      <c r="A14" s="13"/>
      <c r="R14" s="4" t="s">
        <v>72</v>
      </c>
      <c r="S14" s="4"/>
      <c r="T14" s="4"/>
      <c r="U14" s="16" t="s">
        <v>73</v>
      </c>
      <c r="V14" s="16"/>
      <c r="W14" s="16"/>
      <c r="X14" s="8">
        <f>IF((IF(OR(SUMPRODUCT(--('Repartition stock'!$A$6:$A$433="2026Q3"),--('Repartition stock'!$B$6:$B$433="AT"),--('Repartition stock'!$E$6:$E$433="Millésime"),--('Repartition stock'!$F$6:$F$433="&lt;2018"))=0,SUMPRODUCT(--('Repartition stock'!$A$6:$A$433="2026Q3"),--('Repartition stock'!$B$6:$B$433="AT"),--('Repartition stock'!$E$6:$E$433="Millésime"),--('Repartition stock'!$F$6:$F$433="&lt;2018"),--('Repartition stock'!$G$6:$G$433="n.d."))&gt;0),"n.d.",SUMPRODUCT(--('Repartition stock'!$A$6:$A$433="2026Q3"),--('Repartition stock'!$B$6:$B$433="AT"),--('Repartition stock'!$E$6:$E$433="Millésime"),--('Repartition stock'!$F$6:$F$433="&lt;2018"),'Repartition stock'!$G$6:$G$433)))="n.d.",0,IF(OR(SUMPRODUCT(--('Repartition stock'!$A$6:$A$433="2026Q3"),--('Repartition stock'!$B$6:$B$433="AT"),--('Repartition stock'!$E$6:$E$433="Millésime"),--('Repartition stock'!$F$6:$F$433="&lt;2018"))=0,SUMPRODUCT(--('Repartition stock'!$A$6:$A$433="2026Q3"),--('Repartition stock'!$B$6:$B$433="AT"),--('Repartition stock'!$E$6:$E$433="Millésime"),--('Repartition stock'!$F$6:$F$433="&lt;2018"),--('Repartition stock'!$G$6:$G$433="n.d."))&gt;0),"n.d.",SUMPRODUCT(--('Repartition stock'!$A$6:$A$433="2026Q3"),--('Repartition stock'!$B$6:$B$433="AT"),--('Repartition stock'!$E$6:$E$433="Millésime"),--('Repartition stock'!$F$6:$F$433="&lt;2018"),'Repartition stock'!$G$6:$G$433)))</f>
        <v>0</v>
      </c>
      <c r="Y14" s="8"/>
      <c r="Z14" s="8">
        <f>IF((IF(OR(SUMPRODUCT(--('Repartition stock'!$A$6:$A$433="2026Q3"),--('Repartition stock'!$B$6:$B$433="AT"),--('Repartition stock'!$E$6:$E$433="Millésime"),--('Repartition stock'!$F$6:$F$433="&lt;2018"))=0,SUMPRODUCT(--('Repartition stock'!$A$6:$A$433="2026Q3"),--('Repartition stock'!$B$6:$B$433="AT"),--('Repartition stock'!$E$6:$E$433="Millésime"),--('Repartition stock'!$F$6:$F$433="&lt;2018"),--('Repartition stock'!$J$6:$J$433="n.d."))&gt;0),"n.d.",SUMPRODUCT(--('Repartition stock'!$A$6:$A$433="2026Q3"),--('Repartition stock'!$B$6:$B$433="AT"),--('Repartition stock'!$E$6:$E$433="Millésime"),--('Repartition stock'!$F$6:$F$433="&lt;2018"),'Repartition stock'!$J$6:$J$433)))="n.d.",0,IF(OR(SUMPRODUCT(--('Repartition stock'!$A$6:$A$433="2026Q3"),--('Repartition stock'!$B$6:$B$433="AT"),--('Repartition stock'!$E$6:$E$433="Millésime"),--('Repartition stock'!$F$6:$F$433="&lt;2018"))=0,SUMPRODUCT(--('Repartition stock'!$A$6:$A$433="2026Q3"),--('Repartition stock'!$B$6:$B$433="AT"),--('Repartition stock'!$E$6:$E$433="Millésime"),--('Repartition stock'!$F$6:$F$433="&lt;2018"),--('Repartition stock'!$J$6:$J$433="n.d."))&gt;0),"n.d.",SUMPRODUCT(--('Repartition stock'!$A$6:$A$433="2026Q3"),--('Repartition stock'!$B$6:$B$433="AT"),--('Repartition stock'!$E$6:$E$433="Millésime"),--('Repartition stock'!$F$6:$F$433="&lt;2018"),'Repartition stock'!$J$6:$J$433)))</f>
        <v>0</v>
      </c>
      <c r="AA14" s="8"/>
      <c r="AB14" s="8"/>
      <c r="AC14" s="7">
        <f>IF((IF(OR(COUNT(X14,X24)&lt;&gt;2,X24=0),"n.d.",X14/X24))="n.d.",0,IF(OR(COUNT(X14,X24)&lt;&gt;2,X24=0),"n.d.",X14/X24))</f>
        <v>0</v>
      </c>
      <c r="AD14" s="7"/>
      <c r="AE14" s="7">
        <f>IF((IF(OR(COUNT(Z14,Z24)&lt;&gt;2,Z24=0),"n.d.",Z14/Z24))="n.d.",0,IF(OR(COUNT(Z14,Z24)&lt;&gt;2,Z24=0),"n.d.",Z14/Z24))</f>
        <v>0</v>
      </c>
      <c r="AF14" s="7"/>
    </row>
    <row r="15" spans="1:32" ht="13.5" customHeight="1">
      <c r="A15" s="13"/>
      <c r="R15" s="4"/>
      <c r="S15" s="4"/>
      <c r="T15" s="4"/>
      <c r="U15" s="16" t="s">
        <v>74</v>
      </c>
      <c r="V15" s="16"/>
      <c r="W15" s="16"/>
      <c r="X15" s="8">
        <f>IF((IF(OR(SUMPRODUCT(--('Repartition stock'!$A$6:$A$433="2026Q3"),--('Repartition stock'!$B$6:$B$433="AT"),--('Repartition stock'!$E$6:$E$433="Millésime"),--('Repartition stock'!$F$6:$F$433="2018"))=0,SUMPRODUCT(--('Repartition stock'!$A$6:$A$433="2026Q3"),--('Repartition stock'!$B$6:$B$433="AT"),--('Repartition stock'!$E$6:$E$433="Millésime"),--('Repartition stock'!$F$6:$F$433="2018"),--('Repartition stock'!$G$6:$G$433="n.d."))&gt;0),"n.d.",SUMPRODUCT(--('Repartition stock'!$A$6:$A$433="2026Q3"),--('Repartition stock'!$B$6:$B$433="AT"),--('Repartition stock'!$E$6:$E$433="Millésime"),--('Repartition stock'!$F$6:$F$433="2018"),'Repartition stock'!$G$6:$G$433)))="n.d.",0,IF(OR(SUMPRODUCT(--('Repartition stock'!$A$6:$A$433="2026Q3"),--('Repartition stock'!$B$6:$B$433="AT"),--('Repartition stock'!$E$6:$E$433="Millésime"),--('Repartition stock'!$F$6:$F$433="2018"))=0,SUMPRODUCT(--('Repartition stock'!$A$6:$A$433="2026Q3"),--('Repartition stock'!$B$6:$B$433="AT"),--('Repartition stock'!$E$6:$E$433="Millésime"),--('Repartition stock'!$F$6:$F$433="2018"),--('Repartition stock'!$G$6:$G$433="n.d."))&gt;0),"n.d.",SUMPRODUCT(--('Repartition stock'!$A$6:$A$433="2026Q3"),--('Repartition stock'!$B$6:$B$433="AT"),--('Repartition stock'!$E$6:$E$433="Millésime"),--('Repartition stock'!$F$6:$F$433="2018"),'Repartition stock'!$G$6:$G$433)))</f>
        <v>0</v>
      </c>
      <c r="Y15" s="8"/>
      <c r="Z15" s="8">
        <f>IF((IF(OR(SUMPRODUCT(--('Repartition stock'!$A$6:$A$433="2026Q3"),--('Repartition stock'!$B$6:$B$433="AT"),--('Repartition stock'!$E$6:$E$433="Millésime"),--('Repartition stock'!$F$6:$F$433="2018"))=0,SUMPRODUCT(--('Repartition stock'!$A$6:$A$433="2026Q3"),--('Repartition stock'!$B$6:$B$433="AT"),--('Repartition stock'!$E$6:$E$433="Millésime"),--('Repartition stock'!$F$6:$F$433="2018"),--('Repartition stock'!$J$6:$J$433="n.d."))&gt;0),"n.d.",SUMPRODUCT(--('Repartition stock'!$A$6:$A$433="2026Q3"),--('Repartition stock'!$B$6:$B$433="AT"),--('Repartition stock'!$E$6:$E$433="Millésime"),--('Repartition stock'!$F$6:$F$433="2018"),'Repartition stock'!$J$6:$J$433)))="n.d.",0,IF(OR(SUMPRODUCT(--('Repartition stock'!$A$6:$A$433="2026Q3"),--('Repartition stock'!$B$6:$B$433="AT"),--('Repartition stock'!$E$6:$E$433="Millésime"),--('Repartition stock'!$F$6:$F$433="2018"))=0,SUMPRODUCT(--('Repartition stock'!$A$6:$A$433="2026Q3"),--('Repartition stock'!$B$6:$B$433="AT"),--('Repartition stock'!$E$6:$E$433="Millésime"),--('Repartition stock'!$F$6:$F$433="2018"),--('Repartition stock'!$J$6:$J$433="n.d."))&gt;0),"n.d.",SUMPRODUCT(--('Repartition stock'!$A$6:$A$433="2026Q3"),--('Repartition stock'!$B$6:$B$433="AT"),--('Repartition stock'!$E$6:$E$433="Millésime"),--('Repartition stock'!$F$6:$F$433="2018"),'Repartition stock'!$J$6:$J$433)))</f>
        <v>0</v>
      </c>
      <c r="AA15" s="8"/>
      <c r="AB15" s="8"/>
      <c r="AC15" s="7">
        <f>IF((IF(OR(COUNT(X15,X24)&lt;&gt;2,X24=0),"n.d.",X15/X24))="n.d.",0,IF(OR(COUNT(X15,X24)&lt;&gt;2,X24=0),"n.d.",X15/X24))</f>
        <v>0</v>
      </c>
      <c r="AD15" s="7"/>
      <c r="AE15" s="7">
        <f>IF((IF(OR(COUNT(Z15,Z24)&lt;&gt;2,Z24=0),"n.d.",Z15/Z24))="n.d.",0,IF(OR(COUNT(Z15,Z24)&lt;&gt;2,Z24=0),"n.d.",Z15/Z24))</f>
        <v>0</v>
      </c>
      <c r="AF15" s="7"/>
    </row>
    <row r="16" spans="1:32" ht="13.5" customHeight="1">
      <c r="A16" s="13"/>
      <c r="R16" s="4"/>
      <c r="S16" s="4"/>
      <c r="T16" s="4"/>
      <c r="U16" s="16" t="s">
        <v>75</v>
      </c>
      <c r="V16" s="16"/>
      <c r="W16" s="16"/>
      <c r="X16" s="8">
        <f>IF((IF(OR(SUMPRODUCT(--('Repartition stock'!$A$6:$A$433="2026Q3"),--('Repartition stock'!$B$6:$B$433="AT"),--('Repartition stock'!$E$6:$E$433="Millésime"),--('Repartition stock'!$F$6:$F$433="2019"))=0,SUMPRODUCT(--('Repartition stock'!$A$6:$A$433="2026Q3"),--('Repartition stock'!$B$6:$B$433="AT"),--('Repartition stock'!$E$6:$E$433="Millésime"),--('Repartition stock'!$F$6:$F$433="2019"),--('Repartition stock'!$G$6:$G$433="n.d."))&gt;0),"n.d.",SUMPRODUCT(--('Repartition stock'!$A$6:$A$433="2026Q3"),--('Repartition stock'!$B$6:$B$433="AT"),--('Repartition stock'!$E$6:$E$433="Millésime"),--('Repartition stock'!$F$6:$F$433="2019"),'Repartition stock'!$G$6:$G$433)))="n.d.",0,IF(OR(SUMPRODUCT(--('Repartition stock'!$A$6:$A$433="2026Q3"),--('Repartition stock'!$B$6:$B$433="AT"),--('Repartition stock'!$E$6:$E$433="Millésime"),--('Repartition stock'!$F$6:$F$433="2019"))=0,SUMPRODUCT(--('Repartition stock'!$A$6:$A$433="2026Q3"),--('Repartition stock'!$B$6:$B$433="AT"),--('Repartition stock'!$E$6:$E$433="Millésime"),--('Repartition stock'!$F$6:$F$433="2019"),--('Repartition stock'!$G$6:$G$433="n.d."))&gt;0),"n.d.",SUMPRODUCT(--('Repartition stock'!$A$6:$A$433="2026Q3"),--('Repartition stock'!$B$6:$B$433="AT"),--('Repartition stock'!$E$6:$E$433="Millésime"),--('Repartition stock'!$F$6:$F$433="2019"),'Repartition stock'!$G$6:$G$433)))</f>
        <v>1.0</v>
      </c>
      <c r="Y16" s="8"/>
      <c r="Z16" s="8">
        <f>IF((IF(OR(SUMPRODUCT(--('Repartition stock'!$A$6:$A$433="2026Q3"),--('Repartition stock'!$B$6:$B$433="AT"),--('Repartition stock'!$E$6:$E$433="Millésime"),--('Repartition stock'!$F$6:$F$433="2019"))=0,SUMPRODUCT(--('Repartition stock'!$A$6:$A$433="2026Q3"),--('Repartition stock'!$B$6:$B$433="AT"),--('Repartition stock'!$E$6:$E$433="Millésime"),--('Repartition stock'!$F$6:$F$433="2019"),--('Repartition stock'!$J$6:$J$433="n.d."))&gt;0),"n.d.",SUMPRODUCT(--('Repartition stock'!$A$6:$A$433="2026Q3"),--('Repartition stock'!$B$6:$B$433="AT"),--('Repartition stock'!$E$6:$E$433="Millésime"),--('Repartition stock'!$F$6:$F$433="2019"),'Repartition stock'!$J$6:$J$433)))="n.d.",0,IF(OR(SUMPRODUCT(--('Repartition stock'!$A$6:$A$433="2026Q3"),--('Repartition stock'!$B$6:$B$433="AT"),--('Repartition stock'!$E$6:$E$433="Millésime"),--('Repartition stock'!$F$6:$F$433="2019"))=0,SUMPRODUCT(--('Repartition stock'!$A$6:$A$433="2026Q3"),--('Repartition stock'!$B$6:$B$433="AT"),--('Repartition stock'!$E$6:$E$433="Millésime"),--('Repartition stock'!$F$6:$F$433="2019"),--('Repartition stock'!$J$6:$J$433="n.d."))&gt;0),"n.d.",SUMPRODUCT(--('Repartition stock'!$A$6:$A$433="2026Q3"),--('Repartition stock'!$B$6:$B$433="AT"),--('Repartition stock'!$E$6:$E$433="Millésime"),--('Repartition stock'!$F$6:$F$433="2019"),'Repartition stock'!$J$6:$J$433)))</f>
        <v>2315.0</v>
      </c>
      <c r="AA16" s="8"/>
      <c r="AB16" s="8"/>
      <c r="AC16" s="7">
        <f>IF((IF(OR(COUNT(X16,X24)&lt;&gt;2,X24=0),"n.d.",X16/X24))="n.d.",0,IF(OR(COUNT(X16,X24)&lt;&gt;2,X24=0),"n.d.",X16/X24))</f>
        <v>0.013513513513513514</v>
      </c>
      <c r="AD16" s="7"/>
      <c r="AE16" s="7">
        <f>IF((IF(OR(COUNT(Z16,Z24)&lt;&gt;2,Z24=0),"n.d.",Z16/Z24))="n.d.",0,IF(OR(COUNT(Z16,Z24)&lt;&gt;2,Z24=0),"n.d.",Z16/Z24))</f>
        <v>0.16406803685329555</v>
      </c>
      <c r="AF16" s="7"/>
    </row>
    <row r="17" spans="1:32" ht="13.5" customHeight="1">
      <c r="A17" s="13"/>
      <c r="R17" s="4"/>
      <c r="S17" s="4"/>
      <c r="T17" s="4"/>
      <c r="U17" s="16" t="s">
        <v>76</v>
      </c>
      <c r="V17" s="16"/>
      <c r="W17" s="16"/>
      <c r="X17" s="8">
        <f>IF((IF(OR(SUMPRODUCT(--('Repartition stock'!$A$6:$A$433="2026Q3"),--('Repartition stock'!$B$6:$B$433="AT"),--('Repartition stock'!$E$6:$E$433="Millésime"),--('Repartition stock'!$F$6:$F$433="2020"))=0,SUMPRODUCT(--('Repartition stock'!$A$6:$A$433="2026Q3"),--('Repartition stock'!$B$6:$B$433="AT"),--('Repartition stock'!$E$6:$E$433="Millésime"),--('Repartition stock'!$F$6:$F$433="2020"),--('Repartition stock'!$G$6:$G$433="n.d."))&gt;0),"n.d.",SUMPRODUCT(--('Repartition stock'!$A$6:$A$433="2026Q3"),--('Repartition stock'!$B$6:$B$433="AT"),--('Repartition stock'!$E$6:$E$433="Millésime"),--('Repartition stock'!$F$6:$F$433="2020"),'Repartition stock'!$G$6:$G$433)))="n.d.",0,IF(OR(SUMPRODUCT(--('Repartition stock'!$A$6:$A$433="2026Q3"),--('Repartition stock'!$B$6:$B$433="AT"),--('Repartition stock'!$E$6:$E$433="Millésime"),--('Repartition stock'!$F$6:$F$433="2020"))=0,SUMPRODUCT(--('Repartition stock'!$A$6:$A$433="2026Q3"),--('Repartition stock'!$B$6:$B$433="AT"),--('Repartition stock'!$E$6:$E$433="Millésime"),--('Repartition stock'!$F$6:$F$433="2020"),--('Repartition stock'!$G$6:$G$433="n.d."))&gt;0),"n.d.",SUMPRODUCT(--('Repartition stock'!$A$6:$A$433="2026Q3"),--('Repartition stock'!$B$6:$B$433="AT"),--('Repartition stock'!$E$6:$E$433="Millésime"),--('Repartition stock'!$F$6:$F$433="2020"),'Repartition stock'!$G$6:$G$433)))</f>
        <v>0</v>
      </c>
      <c r="Y17" s="8"/>
      <c r="Z17" s="8">
        <f>IF((IF(OR(SUMPRODUCT(--('Repartition stock'!$A$6:$A$433="2026Q3"),--('Repartition stock'!$B$6:$B$433="AT"),--('Repartition stock'!$E$6:$E$433="Millésime"),--('Repartition stock'!$F$6:$F$433="2020"))=0,SUMPRODUCT(--('Repartition stock'!$A$6:$A$433="2026Q3"),--('Repartition stock'!$B$6:$B$433="AT"),--('Repartition stock'!$E$6:$E$433="Millésime"),--('Repartition stock'!$F$6:$F$433="2020"),--('Repartition stock'!$J$6:$J$433="n.d."))&gt;0),"n.d.",SUMPRODUCT(--('Repartition stock'!$A$6:$A$433="2026Q3"),--('Repartition stock'!$B$6:$B$433="AT"),--('Repartition stock'!$E$6:$E$433="Millésime"),--('Repartition stock'!$F$6:$F$433="2020"),'Repartition stock'!$J$6:$J$433)))="n.d.",0,IF(OR(SUMPRODUCT(--('Repartition stock'!$A$6:$A$433="2026Q3"),--('Repartition stock'!$B$6:$B$433="AT"),--('Repartition stock'!$E$6:$E$433="Millésime"),--('Repartition stock'!$F$6:$F$433="2020"))=0,SUMPRODUCT(--('Repartition stock'!$A$6:$A$433="2026Q3"),--('Repartition stock'!$B$6:$B$433="AT"),--('Repartition stock'!$E$6:$E$433="Millésime"),--('Repartition stock'!$F$6:$F$433="2020"),--('Repartition stock'!$J$6:$J$433="n.d."))&gt;0),"n.d.",SUMPRODUCT(--('Repartition stock'!$A$6:$A$433="2026Q3"),--('Repartition stock'!$B$6:$B$433="AT"),--('Repartition stock'!$E$6:$E$433="Millésime"),--('Repartition stock'!$F$6:$F$433="2020"),'Repartition stock'!$J$6:$J$433)))</f>
        <v>0</v>
      </c>
      <c r="AA17" s="8"/>
      <c r="AB17" s="8"/>
      <c r="AC17" s="7">
        <f>IF((IF(OR(COUNT(X17,X24)&lt;&gt;2,X24=0),"n.d.",X17/X24))="n.d.",0,IF(OR(COUNT(X17,X24)&lt;&gt;2,X24=0),"n.d.",X17/X24))</f>
        <v>0</v>
      </c>
      <c r="AD17" s="7"/>
      <c r="AE17" s="7">
        <f>IF((IF(OR(COUNT(Z17,Z24)&lt;&gt;2,Z24=0),"n.d.",Z17/Z24))="n.d.",0,IF(OR(COUNT(Z17,Z24)&lt;&gt;2,Z24=0),"n.d.",Z17/Z24))</f>
        <v>0</v>
      </c>
      <c r="AF17" s="7"/>
    </row>
    <row r="18" spans="1:32" ht="13.5" customHeight="1">
      <c r="A18" s="13"/>
      <c r="R18" s="4"/>
      <c r="S18" s="4"/>
      <c r="T18" s="4"/>
      <c r="U18" s="16" t="s">
        <v>77</v>
      </c>
      <c r="V18" s="16"/>
      <c r="W18" s="16"/>
      <c r="X18" s="8">
        <f>IF((IF(OR(SUMPRODUCT(--('Repartition stock'!$A$6:$A$433="2026Q3"),--('Repartition stock'!$B$6:$B$433="AT"),--('Repartition stock'!$E$6:$E$433="Millésime"),--('Repartition stock'!$F$6:$F$433="2021"))=0,SUMPRODUCT(--('Repartition stock'!$A$6:$A$433="2026Q3"),--('Repartition stock'!$B$6:$B$433="AT"),--('Repartition stock'!$E$6:$E$433="Millésime"),--('Repartition stock'!$F$6:$F$433="2021"),--('Repartition stock'!$G$6:$G$433="n.d."))&gt;0),"n.d.",SUMPRODUCT(--('Repartition stock'!$A$6:$A$433="2026Q3"),--('Repartition stock'!$B$6:$B$433="AT"),--('Repartition stock'!$E$6:$E$433="Millésime"),--('Repartition stock'!$F$6:$F$433="2021"),'Repartition stock'!$G$6:$G$433)))="n.d.",0,IF(OR(SUMPRODUCT(--('Repartition stock'!$A$6:$A$433="2026Q3"),--('Repartition stock'!$B$6:$B$433="AT"),--('Repartition stock'!$E$6:$E$433="Millésime"),--('Repartition stock'!$F$6:$F$433="2021"))=0,SUMPRODUCT(--('Repartition stock'!$A$6:$A$433="2026Q3"),--('Repartition stock'!$B$6:$B$433="AT"),--('Repartition stock'!$E$6:$E$433="Millésime"),--('Repartition stock'!$F$6:$F$433="2021"),--('Repartition stock'!$G$6:$G$433="n.d."))&gt;0),"n.d.",SUMPRODUCT(--('Repartition stock'!$A$6:$A$433="2026Q3"),--('Repartition stock'!$B$6:$B$433="AT"),--('Repartition stock'!$E$6:$E$433="Millésime"),--('Repartition stock'!$F$6:$F$433="2021"),'Repartition stock'!$G$6:$G$433)))</f>
        <v>1.0</v>
      </c>
      <c r="Y18" s="8"/>
      <c r="Z18" s="8">
        <f>IF((IF(OR(SUMPRODUCT(--('Repartition stock'!$A$6:$A$433="2026Q3"),--('Repartition stock'!$B$6:$B$433="AT"),--('Repartition stock'!$E$6:$E$433="Millésime"),--('Repartition stock'!$F$6:$F$433="2021"))=0,SUMPRODUCT(--('Repartition stock'!$A$6:$A$433="2026Q3"),--('Repartition stock'!$B$6:$B$433="AT"),--('Repartition stock'!$E$6:$E$433="Millésime"),--('Repartition stock'!$F$6:$F$433="2021"),--('Repartition stock'!$J$6:$J$433="n.d."))&gt;0),"n.d.",SUMPRODUCT(--('Repartition stock'!$A$6:$A$433="2026Q3"),--('Repartition stock'!$B$6:$B$433="AT"),--('Repartition stock'!$E$6:$E$433="Millésime"),--('Repartition stock'!$F$6:$F$433="2021"),'Repartition stock'!$J$6:$J$433)))="n.d.",0,IF(OR(SUMPRODUCT(--('Repartition stock'!$A$6:$A$433="2026Q3"),--('Repartition stock'!$B$6:$B$433="AT"),--('Repartition stock'!$E$6:$E$433="Millésime"),--('Repartition stock'!$F$6:$F$433="2021"))=0,SUMPRODUCT(--('Repartition stock'!$A$6:$A$433="2026Q3"),--('Repartition stock'!$B$6:$B$433="AT"),--('Repartition stock'!$E$6:$E$433="Millésime"),--('Repartition stock'!$F$6:$F$433="2021"),--('Repartition stock'!$J$6:$J$433="n.d."))&gt;0),"n.d.",SUMPRODUCT(--('Repartition stock'!$A$6:$A$433="2026Q3"),--('Repartition stock'!$B$6:$B$433="AT"),--('Repartition stock'!$E$6:$E$433="Millésime"),--('Repartition stock'!$F$6:$F$433="2021"),'Repartition stock'!$J$6:$J$433)))</f>
        <v>81.0</v>
      </c>
      <c r="AA18" s="8"/>
      <c r="AB18" s="8"/>
      <c r="AC18" s="7">
        <f>IF((IF(OR(COUNT(X18,X24)&lt;&gt;2,X24=0),"n.d.",X18/X24))="n.d.",0,IF(OR(COUNT(X18,X24)&lt;&gt;2,X24=0),"n.d.",X18/X24))</f>
        <v>0.013513513513513514</v>
      </c>
      <c r="AD18" s="7"/>
      <c r="AE18" s="7">
        <f>IF((IF(OR(COUNT(Z18,Z24)&lt;&gt;2,Z24=0),"n.d.",Z18/Z24))="n.d.",0,IF(OR(COUNT(Z18,Z24)&lt;&gt;2,Z24=0),"n.d.",Z18/Z24))</f>
        <v>0.005740609496810773</v>
      </c>
      <c r="AF18" s="7"/>
    </row>
    <row r="19" spans="1:32" ht="13.5" customHeight="1">
      <c r="A19" s="13"/>
      <c r="R19" s="4"/>
      <c r="S19" s="4"/>
      <c r="T19" s="4"/>
      <c r="U19" s="16" t="s">
        <v>78</v>
      </c>
      <c r="V19" s="16"/>
      <c r="W19" s="16"/>
      <c r="X19" s="8">
        <f>IF((IF(OR(SUMPRODUCT(--('Repartition stock'!$A$6:$A$433="2026Q3"),--('Repartition stock'!$B$6:$B$433="AT"),--('Repartition stock'!$E$6:$E$433="Millésime"),--('Repartition stock'!$F$6:$F$433="2022"))=0,SUMPRODUCT(--('Repartition stock'!$A$6:$A$433="2026Q3"),--('Repartition stock'!$B$6:$B$433="AT"),--('Repartition stock'!$E$6:$E$433="Millésime"),--('Repartition stock'!$F$6:$F$433="2022"),--('Repartition stock'!$G$6:$G$433="n.d."))&gt;0),"n.d.",SUMPRODUCT(--('Repartition stock'!$A$6:$A$433="2026Q3"),--('Repartition stock'!$B$6:$B$433="AT"),--('Repartition stock'!$E$6:$E$433="Millésime"),--('Repartition stock'!$F$6:$F$433="2022"),'Repartition stock'!$G$6:$G$433)))="n.d.",0,IF(OR(SUMPRODUCT(--('Repartition stock'!$A$6:$A$433="2026Q3"),--('Repartition stock'!$B$6:$B$433="AT"),--('Repartition stock'!$E$6:$E$433="Millésime"),--('Repartition stock'!$F$6:$F$433="2022"))=0,SUMPRODUCT(--('Repartition stock'!$A$6:$A$433="2026Q3"),--('Repartition stock'!$B$6:$B$433="AT"),--('Repartition stock'!$E$6:$E$433="Millésime"),--('Repartition stock'!$F$6:$F$433="2022"),--('Repartition stock'!$G$6:$G$433="n.d."))&gt;0),"n.d.",SUMPRODUCT(--('Repartition stock'!$A$6:$A$433="2026Q3"),--('Repartition stock'!$B$6:$B$433="AT"),--('Repartition stock'!$E$6:$E$433="Millésime"),--('Repartition stock'!$F$6:$F$433="2022"),'Repartition stock'!$G$6:$G$433)))</f>
        <v>0</v>
      </c>
      <c r="Y19" s="8"/>
      <c r="Z19" s="8">
        <f>IF((IF(OR(SUMPRODUCT(--('Repartition stock'!$A$6:$A$433="2026Q3"),--('Repartition stock'!$B$6:$B$433="AT"),--('Repartition stock'!$E$6:$E$433="Millésime"),--('Repartition stock'!$F$6:$F$433="2022"))=0,SUMPRODUCT(--('Repartition stock'!$A$6:$A$433="2026Q3"),--('Repartition stock'!$B$6:$B$433="AT"),--('Repartition stock'!$E$6:$E$433="Millésime"),--('Repartition stock'!$F$6:$F$433="2022"),--('Repartition stock'!$J$6:$J$433="n.d."))&gt;0),"n.d.",SUMPRODUCT(--('Repartition stock'!$A$6:$A$433="2026Q3"),--('Repartition stock'!$B$6:$B$433="AT"),--('Repartition stock'!$E$6:$E$433="Millésime"),--('Repartition stock'!$F$6:$F$433="2022"),'Repartition stock'!$J$6:$J$433)))="n.d.",0,IF(OR(SUMPRODUCT(--('Repartition stock'!$A$6:$A$433="2026Q3"),--('Repartition stock'!$B$6:$B$433="AT"),--('Repartition stock'!$E$6:$E$433="Millésime"),--('Repartition stock'!$F$6:$F$433="2022"))=0,SUMPRODUCT(--('Repartition stock'!$A$6:$A$433="2026Q3"),--('Repartition stock'!$B$6:$B$433="AT"),--('Repartition stock'!$E$6:$E$433="Millésime"),--('Repartition stock'!$F$6:$F$433="2022"),--('Repartition stock'!$J$6:$J$433="n.d."))&gt;0),"n.d.",SUMPRODUCT(--('Repartition stock'!$A$6:$A$433="2026Q3"),--('Repartition stock'!$B$6:$B$433="AT"),--('Repartition stock'!$E$6:$E$433="Millésime"),--('Repartition stock'!$F$6:$F$433="2022"),'Repartition stock'!$J$6:$J$433)))</f>
        <v>0</v>
      </c>
      <c r="AA19" s="8"/>
      <c r="AB19" s="8"/>
      <c r="AC19" s="7">
        <f>IF((IF(OR(COUNT(X19,X24)&lt;&gt;2,X24=0),"n.d.",X19/X24))="n.d.",0,IF(OR(COUNT(X19,X24)&lt;&gt;2,X24=0),"n.d.",X19/X24))</f>
        <v>0</v>
      </c>
      <c r="AD19" s="7"/>
      <c r="AE19" s="7">
        <f>IF((IF(OR(COUNT(Z19,Z24)&lt;&gt;2,Z24=0),"n.d.",Z19/Z24))="n.d.",0,IF(OR(COUNT(Z19,Z24)&lt;&gt;2,Z24=0),"n.d.",Z19/Z24))</f>
        <v>0</v>
      </c>
      <c r="AF19" s="7"/>
    </row>
    <row r="20" spans="1:32" ht="13.5" customHeight="1">
      <c r="A20" s="13"/>
      <c r="R20" s="4"/>
      <c r="S20" s="4"/>
      <c r="T20" s="4"/>
      <c r="U20" s="16" t="s">
        <v>79</v>
      </c>
      <c r="V20" s="16"/>
      <c r="W20" s="16"/>
      <c r="X20" s="8">
        <f>IF((IF(OR(SUMPRODUCT(--('Repartition stock'!$A$6:$A$433="2026Q3"),--('Repartition stock'!$B$6:$B$433="AT"),--('Repartition stock'!$E$6:$E$433="Millésime"),--('Repartition stock'!$F$6:$F$433="2023"))=0,SUMPRODUCT(--('Repartition stock'!$A$6:$A$433="2026Q3"),--('Repartition stock'!$B$6:$B$433="AT"),--('Repartition stock'!$E$6:$E$433="Millésime"),--('Repartition stock'!$F$6:$F$433="2023"),--('Repartition stock'!$G$6:$G$433="n.d."))&gt;0),"n.d.",SUMPRODUCT(--('Repartition stock'!$A$6:$A$433="2026Q3"),--('Repartition stock'!$B$6:$B$433="AT"),--('Repartition stock'!$E$6:$E$433="Millésime"),--('Repartition stock'!$F$6:$F$433="2023"),'Repartition stock'!$G$6:$G$433)))="n.d.",0,IF(OR(SUMPRODUCT(--('Repartition stock'!$A$6:$A$433="2026Q3"),--('Repartition stock'!$B$6:$B$433="AT"),--('Repartition stock'!$E$6:$E$433="Millésime"),--('Repartition stock'!$F$6:$F$433="2023"))=0,SUMPRODUCT(--('Repartition stock'!$A$6:$A$433="2026Q3"),--('Repartition stock'!$B$6:$B$433="AT"),--('Repartition stock'!$E$6:$E$433="Millésime"),--('Repartition stock'!$F$6:$F$433="2023"),--('Repartition stock'!$G$6:$G$433="n.d."))&gt;0),"n.d.",SUMPRODUCT(--('Repartition stock'!$A$6:$A$433="2026Q3"),--('Repartition stock'!$B$6:$B$433="AT"),--('Repartition stock'!$E$6:$E$433="Millésime"),--('Repartition stock'!$F$6:$F$433="2023"),'Repartition stock'!$G$6:$G$433)))</f>
        <v>1.0</v>
      </c>
      <c r="Y20" s="8"/>
      <c r="Z20" s="8">
        <f>IF((IF(OR(SUMPRODUCT(--('Repartition stock'!$A$6:$A$433="2026Q3"),--('Repartition stock'!$B$6:$B$433="AT"),--('Repartition stock'!$E$6:$E$433="Millésime"),--('Repartition stock'!$F$6:$F$433="2023"))=0,SUMPRODUCT(--('Repartition stock'!$A$6:$A$433="2026Q3"),--('Repartition stock'!$B$6:$B$433="AT"),--('Repartition stock'!$E$6:$E$433="Millésime"),--('Repartition stock'!$F$6:$F$433="2023"),--('Repartition stock'!$J$6:$J$433="n.d."))&gt;0),"n.d.",SUMPRODUCT(--('Repartition stock'!$A$6:$A$433="2026Q3"),--('Repartition stock'!$B$6:$B$433="AT"),--('Repartition stock'!$E$6:$E$433="Millésime"),--('Repartition stock'!$F$6:$F$433="2023"),'Repartition stock'!$J$6:$J$433)))="n.d.",0,IF(OR(SUMPRODUCT(--('Repartition stock'!$A$6:$A$433="2026Q3"),--('Repartition stock'!$B$6:$B$433="AT"),--('Repartition stock'!$E$6:$E$433="Millésime"),--('Repartition stock'!$F$6:$F$433="2023"))=0,SUMPRODUCT(--('Repartition stock'!$A$6:$A$433="2026Q3"),--('Repartition stock'!$B$6:$B$433="AT"),--('Repartition stock'!$E$6:$E$433="Millésime"),--('Repartition stock'!$F$6:$F$433="2023"),--('Repartition stock'!$J$6:$J$433="n.d."))&gt;0),"n.d.",SUMPRODUCT(--('Repartition stock'!$A$6:$A$433="2026Q3"),--('Repartition stock'!$B$6:$B$433="AT"),--('Repartition stock'!$E$6:$E$433="Millésime"),--('Repartition stock'!$F$6:$F$433="2023"),'Repartition stock'!$J$6:$J$433)))</f>
        <v>47.0</v>
      </c>
      <c r="AA20" s="8"/>
      <c r="AB20" s="8"/>
      <c r="AC20" s="7">
        <f>IF((IF(OR(COUNT(X20,X24)&lt;&gt;2,X24=0),"n.d.",X20/X24))="n.d.",0,IF(OR(COUNT(X20,X24)&lt;&gt;2,X24=0),"n.d.",X20/X24))</f>
        <v>0.013513513513513514</v>
      </c>
      <c r="AD20" s="7"/>
      <c r="AE20" s="7">
        <f>IF((IF(OR(COUNT(Z20,Z24)&lt;&gt;2,Z24=0),"n.d.",Z20/Z24))="n.d.",0,IF(OR(COUNT(Z20,Z24)&lt;&gt;2,Z24=0),"n.d.",Z20/Z24))</f>
        <v>0.003330970942593905</v>
      </c>
      <c r="AF20" s="7"/>
    </row>
    <row r="21" spans="1:32" ht="13.5" customHeight="1">
      <c r="A21" s="13"/>
      <c r="R21" s="4"/>
      <c r="S21" s="4"/>
      <c r="T21" s="4"/>
      <c r="U21" s="16" t="s">
        <v>80</v>
      </c>
      <c r="V21" s="16"/>
      <c r="W21" s="16"/>
      <c r="X21" s="8">
        <f>IF((IF(OR(SUMPRODUCT(--('Repartition stock'!$A$6:$A$433="2026Q3"),--('Repartition stock'!$B$6:$B$433="AT"),--('Repartition stock'!$E$6:$E$433="Millésime"),--('Repartition stock'!$F$6:$F$433="2024"))=0,SUMPRODUCT(--('Repartition stock'!$A$6:$A$433="2026Q3"),--('Repartition stock'!$B$6:$B$433="AT"),--('Repartition stock'!$E$6:$E$433="Millésime"),--('Repartition stock'!$F$6:$F$433="2024"),--('Repartition stock'!$G$6:$G$433="n.d."))&gt;0),"n.d.",SUMPRODUCT(--('Repartition stock'!$A$6:$A$433="2026Q3"),--('Repartition stock'!$B$6:$B$433="AT"),--('Repartition stock'!$E$6:$E$433="Millésime"),--('Repartition stock'!$F$6:$F$433="2024"),'Repartition stock'!$G$6:$G$433)))="n.d.",0,IF(OR(SUMPRODUCT(--('Repartition stock'!$A$6:$A$433="2026Q3"),--('Repartition stock'!$B$6:$B$433="AT"),--('Repartition stock'!$E$6:$E$433="Millésime"),--('Repartition stock'!$F$6:$F$433="2024"))=0,SUMPRODUCT(--('Repartition stock'!$A$6:$A$433="2026Q3"),--('Repartition stock'!$B$6:$B$433="AT"),--('Repartition stock'!$E$6:$E$433="Millésime"),--('Repartition stock'!$F$6:$F$433="2024"),--('Repartition stock'!$G$6:$G$433="n.d."))&gt;0),"n.d.",SUMPRODUCT(--('Repartition stock'!$A$6:$A$433="2026Q3"),--('Repartition stock'!$B$6:$B$433="AT"),--('Repartition stock'!$E$6:$E$433="Millésime"),--('Repartition stock'!$F$6:$F$433="2024"),'Repartition stock'!$G$6:$G$433)))</f>
        <v>3.0</v>
      </c>
      <c r="Y21" s="8"/>
      <c r="Z21" s="8">
        <f>IF((IF(OR(SUMPRODUCT(--('Repartition stock'!$A$6:$A$433="2026Q3"),--('Repartition stock'!$B$6:$B$433="AT"),--('Repartition stock'!$E$6:$E$433="Millésime"),--('Repartition stock'!$F$6:$F$433="2024"))=0,SUMPRODUCT(--('Repartition stock'!$A$6:$A$433="2026Q3"),--('Repartition stock'!$B$6:$B$433="AT"),--('Repartition stock'!$E$6:$E$433="Millésime"),--('Repartition stock'!$F$6:$F$433="2024"),--('Repartition stock'!$J$6:$J$433="n.d."))&gt;0),"n.d.",SUMPRODUCT(--('Repartition stock'!$A$6:$A$433="2026Q3"),--('Repartition stock'!$B$6:$B$433="AT"),--('Repartition stock'!$E$6:$E$433="Millésime"),--('Repartition stock'!$F$6:$F$433="2024"),'Repartition stock'!$J$6:$J$433)))="n.d.",0,IF(OR(SUMPRODUCT(--('Repartition stock'!$A$6:$A$433="2026Q3"),--('Repartition stock'!$B$6:$B$433="AT"),--('Repartition stock'!$E$6:$E$433="Millésime"),--('Repartition stock'!$F$6:$F$433="2024"))=0,SUMPRODUCT(--('Repartition stock'!$A$6:$A$433="2026Q3"),--('Repartition stock'!$B$6:$B$433="AT"),--('Repartition stock'!$E$6:$E$433="Millésime"),--('Repartition stock'!$F$6:$F$433="2024"),--('Repartition stock'!$J$6:$J$433="n.d."))&gt;0),"n.d.",SUMPRODUCT(--('Repartition stock'!$A$6:$A$433="2026Q3"),--('Repartition stock'!$B$6:$B$433="AT"),--('Repartition stock'!$E$6:$E$433="Millésime"),--('Repartition stock'!$F$6:$F$433="2024"),'Repartition stock'!$J$6:$J$433)))</f>
        <v>3734.0</v>
      </c>
      <c r="AA21" s="8"/>
      <c r="AB21" s="8"/>
      <c r="AC21" s="7">
        <f>IF((IF(OR(COUNT(X21,X24)&lt;&gt;2,X24=0),"n.d.",X21/X24))="n.d.",0,IF(OR(COUNT(X21,X24)&lt;&gt;2,X24=0),"n.d.",X21/X24))</f>
        <v>0.04054054054054054</v>
      </c>
      <c r="AD21" s="7"/>
      <c r="AE21" s="7">
        <f>IF((IF(OR(COUNT(Z21,Z24)&lt;&gt;2,Z24=0),"n.d.",Z21/Z24))="n.d.",0,IF(OR(COUNT(Z21,Z24)&lt;&gt;2,Z24=0),"n.d.",Z21/Z24))</f>
        <v>0.26463501063075834</v>
      </c>
      <c r="AF21" s="7"/>
    </row>
    <row r="22" spans="1:32" ht="13.5" customHeight="1">
      <c r="A22" s="13"/>
      <c r="R22" s="4"/>
      <c r="S22" s="4"/>
      <c r="T22" s="4"/>
      <c r="U22" s="16" t="s">
        <v>50</v>
      </c>
      <c r="V22" s="16"/>
      <c r="W22" s="16"/>
      <c r="X22" s="8">
        <f>IF((IF(OR(SUMPRODUCT(--('Repartition stock'!$A$6:$A$433="2026Q3"),--('Repartition stock'!$B$6:$B$433="AT"),--('Repartition stock'!$E$6:$E$433="Millésime"),--('Repartition stock'!$F$6:$F$433="2025"))=0,SUMPRODUCT(--('Repartition stock'!$A$6:$A$433="2026Q3"),--('Repartition stock'!$B$6:$B$433="AT"),--('Repartition stock'!$E$6:$E$433="Millésime"),--('Repartition stock'!$F$6:$F$433="2025"),--('Repartition stock'!$G$6:$G$433="n.d."))&gt;0),"n.d.",SUMPRODUCT(--('Repartition stock'!$A$6:$A$433="2026Q3"),--('Repartition stock'!$B$6:$B$433="AT"),--('Repartition stock'!$E$6:$E$433="Millésime"),--('Repartition stock'!$F$6:$F$433="2025"),'Repartition stock'!$G$6:$G$433)))="n.d.",0,IF(OR(SUMPRODUCT(--('Repartition stock'!$A$6:$A$433="2026Q3"),--('Repartition stock'!$B$6:$B$433="AT"),--('Repartition stock'!$E$6:$E$433="Millésime"),--('Repartition stock'!$F$6:$F$433="2025"))=0,SUMPRODUCT(--('Repartition stock'!$A$6:$A$433="2026Q3"),--('Repartition stock'!$B$6:$B$433="AT"),--('Repartition stock'!$E$6:$E$433="Millésime"),--('Repartition stock'!$F$6:$F$433="2025"),--('Repartition stock'!$G$6:$G$433="n.d."))&gt;0),"n.d.",SUMPRODUCT(--('Repartition stock'!$A$6:$A$433="2026Q3"),--('Repartition stock'!$B$6:$B$433="AT"),--('Repartition stock'!$E$6:$E$433="Millésime"),--('Repartition stock'!$F$6:$F$433="2025"),'Repartition stock'!$G$6:$G$433)))</f>
        <v>9.0</v>
      </c>
      <c r="Y22" s="8"/>
      <c r="Z22" s="8">
        <f>IF((IF(OR(SUMPRODUCT(--('Repartition stock'!$A$6:$A$433="2026Q3"),--('Repartition stock'!$B$6:$B$433="AT"),--('Repartition stock'!$E$6:$E$433="Millésime"),--('Repartition stock'!$F$6:$F$433="2025"))=0,SUMPRODUCT(--('Repartition stock'!$A$6:$A$433="2026Q3"),--('Repartition stock'!$B$6:$B$433="AT"),--('Repartition stock'!$E$6:$E$433="Millésime"),--('Repartition stock'!$F$6:$F$433="2025"),--('Repartition stock'!$J$6:$J$433="n.d."))&gt;0),"n.d.",SUMPRODUCT(--('Repartition stock'!$A$6:$A$433="2026Q3"),--('Repartition stock'!$B$6:$B$433="AT"),--('Repartition stock'!$E$6:$E$433="Millésime"),--('Repartition stock'!$F$6:$F$433="2025"),'Repartition stock'!$J$6:$J$433)))="n.d.",0,IF(OR(SUMPRODUCT(--('Repartition stock'!$A$6:$A$433="2026Q3"),--('Repartition stock'!$B$6:$B$433="AT"),--('Repartition stock'!$E$6:$E$433="Millésime"),--('Repartition stock'!$F$6:$F$433="2025"))=0,SUMPRODUCT(--('Repartition stock'!$A$6:$A$433="2026Q3"),--('Repartition stock'!$B$6:$B$433="AT"),--('Repartition stock'!$E$6:$E$433="Millésime"),--('Repartition stock'!$F$6:$F$433="2025"),--('Repartition stock'!$J$6:$J$433="n.d."))&gt;0),"n.d.",SUMPRODUCT(--('Repartition stock'!$A$6:$A$433="2026Q3"),--('Repartition stock'!$B$6:$B$433="AT"),--('Repartition stock'!$E$6:$E$433="Millésime"),--('Repartition stock'!$F$6:$F$433="2025"),'Repartition stock'!$J$6:$J$433)))</f>
        <v>1125.0</v>
      </c>
      <c r="AA22" s="8"/>
      <c r="AB22" s="8"/>
      <c r="AC22" s="7">
        <f>IF((IF(OR(COUNT(X22,X24)&lt;&gt;2,X24=0),"n.d.",X22/X24))="n.d.",0,IF(OR(COUNT(X22,X24)&lt;&gt;2,X24=0),"n.d.",X22/X24))</f>
        <v>0.12162162162162163</v>
      </c>
      <c r="AD22" s="7"/>
      <c r="AE22" s="7">
        <f>IF((IF(OR(COUNT(Z22,Z24)&lt;&gt;2,Z24=0),"n.d.",Z22/Z24))="n.d.",0,IF(OR(COUNT(Z22,Z24)&lt;&gt;2,Z24=0),"n.d.",Z22/Z24))</f>
        <v>0.07973068745570518</v>
      </c>
      <c r="AF22" s="7"/>
    </row>
    <row r="23" spans="1:32" ht="13.5" customHeight="1">
      <c r="A23" s="13"/>
      <c r="R23" s="4"/>
      <c r="S23" s="4"/>
      <c r="T23" s="4"/>
      <c r="U23" s="16" t="s">
        <v>51</v>
      </c>
      <c r="V23" s="16"/>
      <c r="W23" s="16"/>
      <c r="X23" s="8">
        <f>IF((IF(OR(SUMPRODUCT(--('Repartition stock'!$A$6:$A$433="2026Q3"),--('Repartition stock'!$B$6:$B$433="AT"),--('Repartition stock'!$E$6:$E$433="Millésime"),--('Repartition stock'!$F$6:$F$433="2026"))=0,SUMPRODUCT(--('Repartition stock'!$A$6:$A$433="2026Q3"),--('Repartition stock'!$B$6:$B$433="AT"),--('Repartition stock'!$E$6:$E$433="Millésime"),--('Repartition stock'!$F$6:$F$433="2026"),--('Repartition stock'!$G$6:$G$433="n.d."))&gt;0),"n.d.",SUMPRODUCT(--('Repartition stock'!$A$6:$A$433="2026Q3"),--('Repartition stock'!$B$6:$B$433="AT"),--('Repartition stock'!$E$6:$E$433="Millésime"),--('Repartition stock'!$F$6:$F$433="2026"),'Repartition stock'!$G$6:$G$433)))="n.d.",0,IF(OR(SUMPRODUCT(--('Repartition stock'!$A$6:$A$433="2026Q3"),--('Repartition stock'!$B$6:$B$433="AT"),--('Repartition stock'!$E$6:$E$433="Millésime"),--('Repartition stock'!$F$6:$F$433="2026"))=0,SUMPRODUCT(--('Repartition stock'!$A$6:$A$433="2026Q3"),--('Repartition stock'!$B$6:$B$433="AT"),--('Repartition stock'!$E$6:$E$433="Millésime"),--('Repartition stock'!$F$6:$F$433="2026"),--('Repartition stock'!$G$6:$G$433="n.d."))&gt;0),"n.d.",SUMPRODUCT(--('Repartition stock'!$A$6:$A$433="2026Q3"),--('Repartition stock'!$B$6:$B$433="AT"),--('Repartition stock'!$E$6:$E$433="Millésime"),--('Repartition stock'!$F$6:$F$433="2026"),'Repartition stock'!$G$6:$G$433)))</f>
        <v>59.0</v>
      </c>
      <c r="Y23" s="8"/>
      <c r="Z23" s="8">
        <f>IF((IF(OR(SUMPRODUCT(--('Repartition stock'!$A$6:$A$433="2026Q3"),--('Repartition stock'!$B$6:$B$433="AT"),--('Repartition stock'!$E$6:$E$433="Millésime"),--('Repartition stock'!$F$6:$F$433="2026"))=0,SUMPRODUCT(--('Repartition stock'!$A$6:$A$433="2026Q3"),--('Repartition stock'!$B$6:$B$433="AT"),--('Repartition stock'!$E$6:$E$433="Millésime"),--('Repartition stock'!$F$6:$F$433="2026"),--('Repartition stock'!$J$6:$J$433="n.d."))&gt;0),"n.d.",SUMPRODUCT(--('Repartition stock'!$A$6:$A$433="2026Q3"),--('Repartition stock'!$B$6:$B$433="AT"),--('Repartition stock'!$E$6:$E$433="Millésime"),--('Repartition stock'!$F$6:$F$433="2026"),'Repartition stock'!$J$6:$J$433)))="n.d.",0,IF(OR(SUMPRODUCT(--('Repartition stock'!$A$6:$A$433="2026Q3"),--('Repartition stock'!$B$6:$B$433="AT"),--('Repartition stock'!$E$6:$E$433="Millésime"),--('Repartition stock'!$F$6:$F$433="2026"))=0,SUMPRODUCT(--('Repartition stock'!$A$6:$A$433="2026Q3"),--('Repartition stock'!$B$6:$B$433="AT"),--('Repartition stock'!$E$6:$E$433="Millésime"),--('Repartition stock'!$F$6:$F$433="2026"),--('Repartition stock'!$J$6:$J$433="n.d."))&gt;0),"n.d.",SUMPRODUCT(--('Repartition stock'!$A$6:$A$433="2026Q3"),--('Repartition stock'!$B$6:$B$433="AT"),--('Repartition stock'!$E$6:$E$433="Millésime"),--('Repartition stock'!$F$6:$F$433="2026"),'Repartition stock'!$J$6:$J$433)))</f>
        <v>6808.0</v>
      </c>
      <c r="AA23" s="8"/>
      <c r="AB23" s="8"/>
      <c r="AC23" s="7">
        <f>IF((IF(OR(COUNT(X23,X24)&lt;&gt;2,X24=0),"n.d.",X23/X24))="n.d.",0,IF(OR(COUNT(X23,X24)&lt;&gt;2,X24=0),"n.d.",X23/X24))</f>
        <v>0.7972972972972973</v>
      </c>
      <c r="AD23" s="7"/>
      <c r="AE23" s="7">
        <f>IF((IF(OR(COUNT(Z23,Z24)&lt;&gt;2,Z24=0),"n.d.",Z23/Z24))="n.d.",0,IF(OR(COUNT(Z23,Z24)&lt;&gt;2,Z24=0),"n.d.",Z23/Z24))</f>
        <v>0.4824946846208363</v>
      </c>
      <c r="AF23" s="7"/>
    </row>
    <row r="24" spans="1:32" ht="13.5" customHeight="1">
      <c r="A24" s="13"/>
      <c r="R24" s="17" t="s">
        <v>71</v>
      </c>
      <c r="S24" s="17"/>
      <c r="T24" s="17"/>
      <c r="U24" s="17"/>
      <c r="V24" s="17"/>
      <c r="W24" s="17"/>
      <c r="X24" s="17">
        <f>IF(('Presentation inputs'!D11)="n.d.",0,'Presentation inputs'!D11)</f>
        <v>74.0</v>
      </c>
      <c r="Y24" s="17"/>
      <c r="Z24" s="17">
        <f>IF((IF(ISNUMBER('Presentation inputs'!E11),'Presentation inputs'!E11/(IF(OR(COUNTIFS('Consolidation'!$A$6:$A$47,"2026Q3",'Consolidation'!$B$6:$B$47,"AT")&lt;&gt;1,COUNTIFS('Consolidation'!$A$6:$A$47,"2026Q3",'Consolidation'!$B$6:$B$47,"AT",'Consolidation'!$E$6:$E$47,"n.d.")&gt;0),"n.d.",SUMIFS('Consolidation'!$E$6:$E$47,'Consolidation'!$A$6:$A$47,"2026Q3",'Consolidation'!$B$6:$B$47,"AT"))),"n.d."))="n.d.",0,IF(ISNUMBER('Presentation inputs'!E11),'Presentation inputs'!E11/(IF(OR(COUNTIFS('Consolidation'!$A$6:$A$47,"2026Q3",'Consolidation'!$B$6:$B$47,"AT")&lt;&gt;1,COUNTIFS('Consolidation'!$A$6:$A$47,"2026Q3",'Consolidation'!$B$6:$B$47,"AT",'Consolidation'!$E$6:$E$47,"n.d.")&gt;0),"n.d.",SUMIFS('Consolidation'!$E$6:$E$47,'Consolidation'!$A$6:$A$47,"2026Q3",'Consolidation'!$B$6:$B$47,"AT"))),"n.d."))</f>
        <v>14110.0</v>
      </c>
      <c r="AA24" s="17"/>
      <c r="AB24" s="17"/>
      <c r="AC24" s="10">
        <f>IF((IF(OR(NOT(ISNUMBER(X24)),X24=0),"n.d.",1))="n.d.",0,IF(OR(NOT(ISNUMBER(X24)),X24=0),"n.d.",1))</f>
        <v>1.0</v>
      </c>
      <c r="AD24" s="10"/>
      <c r="AE24" s="10">
        <f>IF((IF(OR(NOT(ISNUMBER(Z24)),Z24=0),"n.d.",1))="n.d.",0,IF(OR(NOT(ISNUMBER(Z24)),Z24=0),"n.d.",1))</f>
        <v>1.0</v>
      </c>
      <c r="AF24" s="10"/>
    </row>
    <row r="25" spans="1:32" ht="13.5" customHeight="1">
      <c r="A25" s="13"/>
    </row>
    <row r="26" spans="1:32" ht="13.5" customHeight="1">
      <c r="A26" s="13"/>
      <c r="R26" s="1" t="s">
        <v>81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3.5" customHeight="1">
      <c r="A27" s="1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3.5" customHeight="1">
      <c r="A28" s="1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3.5" customHeight="1">
      <c r="A29" s="13"/>
    </row>
    <row r="30" spans="1:32" ht="13.5" customHeight="1">
      <c r="A30" s="13"/>
      <c r="B30" s="11" t="str">
        <f>"Average monthly new flow: "&amp;IF(ISNUMBER('GraphData'!A145),TEXT('GraphData'!A145,"#,##0"),"0")&amp;" EUR. Average balance per contract: "&amp;IF(ISNUMBER('GraphData'!B145),TEXT('GraphData'!B145,"#,##0"),"0")&amp;" EUR."</f>
        <v>Average monthly new flow: 7,857 EUR. Average balance per contract: 113 EUR.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tr">
        <f>"Oldest cohort (M-5): "&amp;IF(ISNUMBER('GraphData'!C145),TEXT('GraphData'!C145,"0.0%"),"0")&amp;" treated in amount and "&amp;IF(ISNUMBER('GraphData'!D145),TEXT('GraphData'!D145,"0.0%"),"0")&amp;" in number."</f>
        <v>Oldest cohort (M-5): 100.0% treated in amount and 100.0% in number.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tr">
        <f>"Stock to process: "&amp;IF(ISNUMBER('GraphData'!E145),TEXT('GraphData'!E145,"#,##0"),"0")&amp;" EUR. Identified stock: "&amp;IF(ISNUMBER('GraphData'!F145),TEXT('GraphData'!F145,"#,##0"),"0")&amp;" EUR."</f>
        <v>Stock to process: 14,110 EUR. Identified stock: 14,110 EUR.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88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101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R26:AF28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61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65</v>
      </c>
      <c r="S7" s="4"/>
      <c r="T7" s="4"/>
      <c r="U7" s="16" t="s">
        <v>66</v>
      </c>
      <c r="V7" s="16"/>
      <c r="W7" s="16"/>
      <c r="X7" s="8">
        <f>IF((IF(OR(SUMPRODUCT(--('Repartition stock'!$A$6:$A$433="2026Q3"),--('Repartition stock'!$B$6:$B$433="BE"),--('Repartition stock'!$E$6:$E$433="Tranche"),--('Repartition stock'!$F$6:$F$433="0 - 1 €"))=0,SUMPRODUCT(--('Repartition stock'!$A$6:$A$433="2026Q3"),--('Repartition stock'!$B$6:$B$433="BE"),--('Repartition stock'!$E$6:$E$433="Tranche"),--('Repartition stock'!$F$6:$F$433="0 - 1 €"),--('Repartition stock'!$G$6:$G$433="n.d."))&gt;0),"n.d.",SUMPRODUCT(--('Repartition stock'!$A$6:$A$433="2026Q3"),--('Repartition stock'!$B$6:$B$433="BE"),--('Repartition stock'!$E$6:$E$433="Tranche"),--('Repartition stock'!$F$6:$F$433="0 - 1 €"),'Repartition stock'!$G$6:$G$433)))="n.d.",0,IF(OR(SUMPRODUCT(--('Repartition stock'!$A$6:$A$433="2026Q3"),--('Repartition stock'!$B$6:$B$433="BE"),--('Repartition stock'!$E$6:$E$433="Tranche"),--('Repartition stock'!$F$6:$F$433="0 - 1 €"))=0,SUMPRODUCT(--('Repartition stock'!$A$6:$A$433="2026Q3"),--('Repartition stock'!$B$6:$B$433="BE"),--('Repartition stock'!$E$6:$E$433="Tranche"),--('Repartition stock'!$F$6:$F$433="0 - 1 €"),--('Repartition stock'!$G$6:$G$433="n.d."))&gt;0),"n.d.",SUMPRODUCT(--('Repartition stock'!$A$6:$A$433="2026Q3"),--('Repartition stock'!$B$6:$B$433="BE"),--('Repartition stock'!$E$6:$E$433="Tranche"),--('Repartition stock'!$F$6:$F$433="0 - 1 €"),'Repartition stock'!$G$6:$G$433)))</f>
        <v>5.0</v>
      </c>
      <c r="Y7" s="8"/>
      <c r="Z7" s="8">
        <f>IF((IF(OR(SUMPRODUCT(--('Repartition stock'!$A$6:$A$433="2026Q3"),--('Repartition stock'!$B$6:$B$433="BE"),--('Repartition stock'!$E$6:$E$433="Tranche"),--('Repartition stock'!$F$6:$F$433="0 - 1 €"))=0,SUMPRODUCT(--('Repartition stock'!$A$6:$A$433="2026Q3"),--('Repartition stock'!$B$6:$B$433="BE"),--('Repartition stock'!$E$6:$E$433="Tranche"),--('Repartition stock'!$F$6:$F$433="0 - 1 €"),--('Repartition stock'!$J$6:$J$433="n.d."))&gt;0),"n.d.",SUMPRODUCT(--('Repartition stock'!$A$6:$A$433="2026Q3"),--('Repartition stock'!$B$6:$B$433="BE"),--('Repartition stock'!$E$6:$E$433="Tranche"),--('Repartition stock'!$F$6:$F$433="0 - 1 €"),'Repartition stock'!$J$6:$J$433)))="n.d.",0,IF(OR(SUMPRODUCT(--('Repartition stock'!$A$6:$A$433="2026Q3"),--('Repartition stock'!$B$6:$B$433="BE"),--('Repartition stock'!$E$6:$E$433="Tranche"),--('Repartition stock'!$F$6:$F$433="0 - 1 €"))=0,SUMPRODUCT(--('Repartition stock'!$A$6:$A$433="2026Q3"),--('Repartition stock'!$B$6:$B$433="BE"),--('Repartition stock'!$E$6:$E$433="Tranche"),--('Repartition stock'!$F$6:$F$433="0 - 1 €"),--('Repartition stock'!$J$6:$J$433="n.d."))&gt;0),"n.d.",SUMPRODUCT(--('Repartition stock'!$A$6:$A$433="2026Q3"),--('Repartition stock'!$B$6:$B$433="BE"),--('Repartition stock'!$E$6:$E$433="Tranche"),--('Repartition stock'!$F$6:$F$433="0 - 1 €"),'Repartition stock'!$J$6:$J$433)))</f>
        <v>2.0</v>
      </c>
      <c r="AA7" s="8"/>
      <c r="AB7" s="8"/>
      <c r="AC7" s="7">
        <f>IF((IF(OR(COUNT(X7,X12)&lt;&gt;2,X12=0),"n.d.",X7/X12))="n.d.",0,IF(OR(COUNT(X7,X12)&lt;&gt;2,X12=0),"n.d.",X7/X12))</f>
        <v>0.02109704641350211</v>
      </c>
      <c r="AD7" s="7"/>
      <c r="AE7" s="7">
        <f>IF((IF(OR(COUNT(Z7,Z12)&lt;&gt;2,Z12=0),"n.d.",Z7/Z12))="n.d.",0,IF(OR(COUNT(Z7,Z12)&lt;&gt;2,Z12=0),"n.d.",Z7/Z12))</f>
        <v>1.8859740112781245e-05</v>
      </c>
      <c r="AF7" s="7"/>
    </row>
    <row r="8" spans="1:32" ht="13.5" customHeight="1">
      <c r="A8" s="13"/>
      <c r="R8" s="4"/>
      <c r="S8" s="4"/>
      <c r="T8" s="4"/>
      <c r="U8" s="16" t="s">
        <v>67</v>
      </c>
      <c r="V8" s="16"/>
      <c r="W8" s="16"/>
      <c r="X8" s="8">
        <f>IF((IF(OR(SUMPRODUCT(--('Repartition stock'!$A$6:$A$433="2026Q3"),--('Repartition stock'!$B$6:$B$433="BE"),--('Repartition stock'!$E$6:$E$433="Tranche"),--('Repartition stock'!$F$6:$F$433="1 - 10 €"))=0,SUMPRODUCT(--('Repartition stock'!$A$6:$A$433="2026Q3"),--('Repartition stock'!$B$6:$B$433="BE"),--('Repartition stock'!$E$6:$E$433="Tranche"),--('Repartition stock'!$F$6:$F$433="1 - 10 €"),--('Repartition stock'!$G$6:$G$433="n.d."))&gt;0),"n.d.",SUMPRODUCT(--('Repartition stock'!$A$6:$A$433="2026Q3"),--('Repartition stock'!$B$6:$B$433="BE"),--('Repartition stock'!$E$6:$E$433="Tranche"),--('Repartition stock'!$F$6:$F$433="1 - 10 €"),'Repartition stock'!$G$6:$G$433)))="n.d.",0,IF(OR(SUMPRODUCT(--('Repartition stock'!$A$6:$A$433="2026Q3"),--('Repartition stock'!$B$6:$B$433="BE"),--('Repartition stock'!$E$6:$E$433="Tranche"),--('Repartition stock'!$F$6:$F$433="1 - 10 €"))=0,SUMPRODUCT(--('Repartition stock'!$A$6:$A$433="2026Q3"),--('Repartition stock'!$B$6:$B$433="BE"),--('Repartition stock'!$E$6:$E$433="Tranche"),--('Repartition stock'!$F$6:$F$433="1 - 10 €"),--('Repartition stock'!$G$6:$G$433="n.d."))&gt;0),"n.d.",SUMPRODUCT(--('Repartition stock'!$A$6:$A$433="2026Q3"),--('Repartition stock'!$B$6:$B$433="BE"),--('Repartition stock'!$E$6:$E$433="Tranche"),--('Repartition stock'!$F$6:$F$433="1 - 10 €"),'Repartition stock'!$G$6:$G$433)))</f>
        <v>11.0</v>
      </c>
      <c r="Y8" s="8"/>
      <c r="Z8" s="8">
        <f>IF((IF(OR(SUMPRODUCT(--('Repartition stock'!$A$6:$A$433="2026Q3"),--('Repartition stock'!$B$6:$B$433="BE"),--('Repartition stock'!$E$6:$E$433="Tranche"),--('Repartition stock'!$F$6:$F$433="1 - 10 €"))=0,SUMPRODUCT(--('Repartition stock'!$A$6:$A$433="2026Q3"),--('Repartition stock'!$B$6:$B$433="BE"),--('Repartition stock'!$E$6:$E$433="Tranche"),--('Repartition stock'!$F$6:$F$433="1 - 10 €"),--('Repartition stock'!$J$6:$J$433="n.d."))&gt;0),"n.d.",SUMPRODUCT(--('Repartition stock'!$A$6:$A$433="2026Q3"),--('Repartition stock'!$B$6:$B$433="BE"),--('Repartition stock'!$E$6:$E$433="Tranche"),--('Repartition stock'!$F$6:$F$433="1 - 10 €"),'Repartition stock'!$J$6:$J$433)))="n.d.",0,IF(OR(SUMPRODUCT(--('Repartition stock'!$A$6:$A$433="2026Q3"),--('Repartition stock'!$B$6:$B$433="BE"),--('Repartition stock'!$E$6:$E$433="Tranche"),--('Repartition stock'!$F$6:$F$433="1 - 10 €"))=0,SUMPRODUCT(--('Repartition stock'!$A$6:$A$433="2026Q3"),--('Repartition stock'!$B$6:$B$433="BE"),--('Repartition stock'!$E$6:$E$433="Tranche"),--('Repartition stock'!$F$6:$F$433="1 - 10 €"),--('Repartition stock'!$J$6:$J$433="n.d."))&gt;0),"n.d.",SUMPRODUCT(--('Repartition stock'!$A$6:$A$433="2026Q3"),--('Repartition stock'!$B$6:$B$433="BE"),--('Repartition stock'!$E$6:$E$433="Tranche"),--('Repartition stock'!$F$6:$F$433="1 - 10 €"),'Repartition stock'!$J$6:$J$433)))</f>
        <v>72.0</v>
      </c>
      <c r="AA8" s="8"/>
      <c r="AB8" s="8"/>
      <c r="AC8" s="7">
        <f>IF((IF(OR(COUNT(X8,X12)&lt;&gt;2,X12=0),"n.d.",X8/X12))="n.d.",0,IF(OR(COUNT(X8,X12)&lt;&gt;2,X12=0),"n.d.",X8/X12))</f>
        <v>0.046413502109704644</v>
      </c>
      <c r="AD8" s="7"/>
      <c r="AE8" s="7">
        <f>IF((IF(OR(COUNT(Z8,Z12)&lt;&gt;2,Z12=0),"n.d.",Z8/Z12))="n.d.",0,IF(OR(COUNT(Z8,Z12)&lt;&gt;2,Z12=0),"n.d.",Z8/Z12))</f>
        <v>0.0006789506440601249</v>
      </c>
      <c r="AF8" s="7"/>
    </row>
    <row r="9" spans="1:32" ht="13.5" customHeight="1">
      <c r="A9" s="13"/>
      <c r="R9" s="4"/>
      <c r="S9" s="4"/>
      <c r="T9" s="4"/>
      <c r="U9" s="16" t="s">
        <v>68</v>
      </c>
      <c r="V9" s="16"/>
      <c r="W9" s="16"/>
      <c r="X9" s="8">
        <f>IF((IF(OR(SUMPRODUCT(--('Repartition stock'!$A$6:$A$433="2026Q3"),--('Repartition stock'!$B$6:$B$433="BE"),--('Repartition stock'!$E$6:$E$433="Tranche"),--('Repartition stock'!$F$6:$F$433="10 - 100 €"))=0,SUMPRODUCT(--('Repartition stock'!$A$6:$A$433="2026Q3"),--('Repartition stock'!$B$6:$B$433="BE"),--('Repartition stock'!$E$6:$E$433="Tranche"),--('Repartition stock'!$F$6:$F$433="10 - 100 €"),--('Repartition stock'!$G$6:$G$433="n.d."))&gt;0),"n.d.",SUMPRODUCT(--('Repartition stock'!$A$6:$A$433="2026Q3"),--('Repartition stock'!$B$6:$B$433="BE"),--('Repartition stock'!$E$6:$E$433="Tranche"),--('Repartition stock'!$F$6:$F$433="10 - 100 €"),'Repartition stock'!$G$6:$G$433)))="n.d.",0,IF(OR(SUMPRODUCT(--('Repartition stock'!$A$6:$A$433="2026Q3"),--('Repartition stock'!$B$6:$B$433="BE"),--('Repartition stock'!$E$6:$E$433="Tranche"),--('Repartition stock'!$F$6:$F$433="10 - 100 €"))=0,SUMPRODUCT(--('Repartition stock'!$A$6:$A$433="2026Q3"),--('Repartition stock'!$B$6:$B$433="BE"),--('Repartition stock'!$E$6:$E$433="Tranche"),--('Repartition stock'!$F$6:$F$433="10 - 100 €"),--('Repartition stock'!$G$6:$G$433="n.d."))&gt;0),"n.d.",SUMPRODUCT(--('Repartition stock'!$A$6:$A$433="2026Q3"),--('Repartition stock'!$B$6:$B$433="BE"),--('Repartition stock'!$E$6:$E$433="Tranche"),--('Repartition stock'!$F$6:$F$433="10 - 100 €"),'Repartition stock'!$G$6:$G$433)))</f>
        <v>54.0</v>
      </c>
      <c r="Y9" s="8"/>
      <c r="Z9" s="8">
        <f>IF((IF(OR(SUMPRODUCT(--('Repartition stock'!$A$6:$A$433="2026Q3"),--('Repartition stock'!$B$6:$B$433="BE"),--('Repartition stock'!$E$6:$E$433="Tranche"),--('Repartition stock'!$F$6:$F$433="10 - 100 €"))=0,SUMPRODUCT(--('Repartition stock'!$A$6:$A$433="2026Q3"),--('Repartition stock'!$B$6:$B$433="BE"),--('Repartition stock'!$E$6:$E$433="Tranche"),--('Repartition stock'!$F$6:$F$433="10 - 100 €"),--('Repartition stock'!$J$6:$J$433="n.d."))&gt;0),"n.d.",SUMPRODUCT(--('Repartition stock'!$A$6:$A$433="2026Q3"),--('Repartition stock'!$B$6:$B$433="BE"),--('Repartition stock'!$E$6:$E$433="Tranche"),--('Repartition stock'!$F$6:$F$433="10 - 100 €"),'Repartition stock'!$J$6:$J$433)))="n.d.",0,IF(OR(SUMPRODUCT(--('Repartition stock'!$A$6:$A$433="2026Q3"),--('Repartition stock'!$B$6:$B$433="BE"),--('Repartition stock'!$E$6:$E$433="Tranche"),--('Repartition stock'!$F$6:$F$433="10 - 100 €"))=0,SUMPRODUCT(--('Repartition stock'!$A$6:$A$433="2026Q3"),--('Repartition stock'!$B$6:$B$433="BE"),--('Repartition stock'!$E$6:$E$433="Tranche"),--('Repartition stock'!$F$6:$F$433="10 - 100 €"),--('Repartition stock'!$J$6:$J$433="n.d."))&gt;0),"n.d.",SUMPRODUCT(--('Repartition stock'!$A$6:$A$433="2026Q3"),--('Repartition stock'!$B$6:$B$433="BE"),--('Repartition stock'!$E$6:$E$433="Tranche"),--('Repartition stock'!$F$6:$F$433="10 - 100 €"),'Repartition stock'!$J$6:$J$433)))</f>
        <v>2685.0</v>
      </c>
      <c r="AA9" s="8"/>
      <c r="AB9" s="8"/>
      <c r="AC9" s="7">
        <f>IF((IF(OR(COUNT(X9,X12)&lt;&gt;2,X12=0),"n.d.",X9/X12))="n.d.",0,IF(OR(COUNT(X9,X12)&lt;&gt;2,X12=0),"n.d.",X9/X12))</f>
        <v>0.22784810126582278</v>
      </c>
      <c r="AD9" s="7"/>
      <c r="AE9" s="7">
        <f>IF((IF(OR(COUNT(Z9,Z12)&lt;&gt;2,Z12=0),"n.d.",Z9/Z12))="n.d.",0,IF(OR(COUNT(Z9,Z12)&lt;&gt;2,Z12=0),"n.d.",Z9/Z12))</f>
        <v>0.025319201101408822</v>
      </c>
      <c r="AF9" s="7"/>
    </row>
    <row r="10" spans="1:32" ht="13.5" customHeight="1">
      <c r="A10" s="13"/>
      <c r="R10" s="4"/>
      <c r="S10" s="4"/>
      <c r="T10" s="4"/>
      <c r="U10" s="16" t="s">
        <v>69</v>
      </c>
      <c r="V10" s="16"/>
      <c r="W10" s="16"/>
      <c r="X10" s="8">
        <f>IF((IF(OR(SUMPRODUCT(--('Repartition stock'!$A$6:$A$433="2026Q3"),--('Repartition stock'!$B$6:$B$433="BE"),--('Repartition stock'!$E$6:$E$433="Tranche"),--('Repartition stock'!$F$6:$F$433="100 - 1 000 €"))=0,SUMPRODUCT(--('Repartition stock'!$A$6:$A$433="2026Q3"),--('Repartition stock'!$B$6:$B$433="BE"),--('Repartition stock'!$E$6:$E$433="Tranche"),--('Repartition stock'!$F$6:$F$433="100 - 1 000 €"),--('Repartition stock'!$G$6:$G$433="n.d."))&gt;0),"n.d.",SUMPRODUCT(--('Repartition stock'!$A$6:$A$433="2026Q3"),--('Repartition stock'!$B$6:$B$433="BE"),--('Repartition stock'!$E$6:$E$433="Tranche"),--('Repartition stock'!$F$6:$F$433="100 - 1 000 €"),'Repartition stock'!$G$6:$G$433)))="n.d.",0,IF(OR(SUMPRODUCT(--('Repartition stock'!$A$6:$A$433="2026Q3"),--('Repartition stock'!$B$6:$B$433="BE"),--('Repartition stock'!$E$6:$E$433="Tranche"),--('Repartition stock'!$F$6:$F$433="100 - 1 000 €"))=0,SUMPRODUCT(--('Repartition stock'!$A$6:$A$433="2026Q3"),--('Repartition stock'!$B$6:$B$433="BE"),--('Repartition stock'!$E$6:$E$433="Tranche"),--('Repartition stock'!$F$6:$F$433="100 - 1 000 €"),--('Repartition stock'!$G$6:$G$433="n.d."))&gt;0),"n.d.",SUMPRODUCT(--('Repartition stock'!$A$6:$A$433="2026Q3"),--('Repartition stock'!$B$6:$B$433="BE"),--('Repartition stock'!$E$6:$E$433="Tranche"),--('Repartition stock'!$F$6:$F$433="100 - 1 000 €"),'Repartition stock'!$G$6:$G$433)))</f>
        <v>157.0</v>
      </c>
      <c r="Y10" s="8"/>
      <c r="Z10" s="8">
        <f>IF((IF(OR(SUMPRODUCT(--('Repartition stock'!$A$6:$A$433="2026Q3"),--('Repartition stock'!$B$6:$B$433="BE"),--('Repartition stock'!$E$6:$E$433="Tranche"),--('Repartition stock'!$F$6:$F$433="100 - 1 000 €"))=0,SUMPRODUCT(--('Repartition stock'!$A$6:$A$433="2026Q3"),--('Repartition stock'!$B$6:$B$433="BE"),--('Repartition stock'!$E$6:$E$433="Tranche"),--('Repartition stock'!$F$6:$F$433="100 - 1 000 €"),--('Repartition stock'!$J$6:$J$433="n.d."))&gt;0),"n.d.",SUMPRODUCT(--('Repartition stock'!$A$6:$A$433="2026Q3"),--('Repartition stock'!$B$6:$B$433="BE"),--('Repartition stock'!$E$6:$E$433="Tranche"),--('Repartition stock'!$F$6:$F$433="100 - 1 000 €"),'Repartition stock'!$J$6:$J$433)))="n.d.",0,IF(OR(SUMPRODUCT(--('Repartition stock'!$A$6:$A$433="2026Q3"),--('Repartition stock'!$B$6:$B$433="BE"),--('Repartition stock'!$E$6:$E$433="Tranche"),--('Repartition stock'!$F$6:$F$433="100 - 1 000 €"))=0,SUMPRODUCT(--('Repartition stock'!$A$6:$A$433="2026Q3"),--('Repartition stock'!$B$6:$B$433="BE"),--('Repartition stock'!$E$6:$E$433="Tranche"),--('Repartition stock'!$F$6:$F$433="100 - 1 000 €"),--('Repartition stock'!$J$6:$J$433="n.d."))&gt;0),"n.d.",SUMPRODUCT(--('Repartition stock'!$A$6:$A$433="2026Q3"),--('Repartition stock'!$B$6:$B$433="BE"),--('Repartition stock'!$E$6:$E$433="Tranche"),--('Repartition stock'!$F$6:$F$433="100 - 1 000 €"),'Repartition stock'!$J$6:$J$433)))</f>
        <v>44176.0</v>
      </c>
      <c r="AA10" s="8"/>
      <c r="AB10" s="8"/>
      <c r="AC10" s="7">
        <f>IF((IF(OR(COUNT(X10,X12)&lt;&gt;2,X12=0),"n.d.",X10/X12))="n.d.",0,IF(OR(COUNT(X10,X12)&lt;&gt;2,X12=0),"n.d.",X10/X12))</f>
        <v>0.6624472573839663</v>
      </c>
      <c r="AD10" s="7"/>
      <c r="AE10" s="7">
        <f>IF((IF(OR(COUNT(Z10,Z12)&lt;&gt;2,Z12=0),"n.d.",Z10/Z12))="n.d.",0,IF(OR(COUNT(Z10,Z12)&lt;&gt;2,Z12=0),"n.d.",Z10/Z12))</f>
        <v>0.41657393961111217</v>
      </c>
      <c r="AF10" s="7"/>
    </row>
    <row r="11" spans="1:32" ht="13.5" customHeight="1">
      <c r="A11" s="13"/>
      <c r="R11" s="4"/>
      <c r="S11" s="4"/>
      <c r="T11" s="4"/>
      <c r="U11" s="16" t="s">
        <v>70</v>
      </c>
      <c r="V11" s="16"/>
      <c r="W11" s="16"/>
      <c r="X11" s="8">
        <f>IF((IF(OR(SUMPRODUCT(--('Repartition stock'!$A$6:$A$433="2026Q3"),--('Repartition stock'!$B$6:$B$433="BE"),--('Repartition stock'!$E$6:$E$433="Tranche"),--('Repartition stock'!$F$6:$F$433="&gt; 1 000 €"))=0,SUMPRODUCT(--('Repartition stock'!$A$6:$A$433="2026Q3"),--('Repartition stock'!$B$6:$B$433="BE"),--('Repartition stock'!$E$6:$E$433="Tranche"),--('Repartition stock'!$F$6:$F$433="&gt; 1 000 €"),--('Repartition stock'!$G$6:$G$433="n.d."))&gt;0),"n.d.",SUMPRODUCT(--('Repartition stock'!$A$6:$A$433="2026Q3"),--('Repartition stock'!$B$6:$B$433="BE"),--('Repartition stock'!$E$6:$E$433="Tranche"),--('Repartition stock'!$F$6:$F$433="&gt; 1 000 €"),'Repartition stock'!$G$6:$G$433)))="n.d.",0,IF(OR(SUMPRODUCT(--('Repartition stock'!$A$6:$A$433="2026Q3"),--('Repartition stock'!$B$6:$B$433="BE"),--('Repartition stock'!$E$6:$E$433="Tranche"),--('Repartition stock'!$F$6:$F$433="&gt; 1 000 €"))=0,SUMPRODUCT(--('Repartition stock'!$A$6:$A$433="2026Q3"),--('Repartition stock'!$B$6:$B$433="BE"),--('Repartition stock'!$E$6:$E$433="Tranche"),--('Repartition stock'!$F$6:$F$433="&gt; 1 000 €"),--('Repartition stock'!$G$6:$G$433="n.d."))&gt;0),"n.d.",SUMPRODUCT(--('Repartition stock'!$A$6:$A$433="2026Q3"),--('Repartition stock'!$B$6:$B$433="BE"),--('Repartition stock'!$E$6:$E$433="Tranche"),--('Repartition stock'!$F$6:$F$433="&gt; 1 000 €"),'Repartition stock'!$G$6:$G$433)))</f>
        <v>10.0</v>
      </c>
      <c r="Y11" s="8"/>
      <c r="Z11" s="8">
        <f>IF((IF(OR(SUMPRODUCT(--('Repartition stock'!$A$6:$A$433="2026Q3"),--('Repartition stock'!$B$6:$B$433="BE"),--('Repartition stock'!$E$6:$E$433="Tranche"),--('Repartition stock'!$F$6:$F$433="&gt; 1 000 €"))=0,SUMPRODUCT(--('Repartition stock'!$A$6:$A$433="2026Q3"),--('Repartition stock'!$B$6:$B$433="BE"),--('Repartition stock'!$E$6:$E$433="Tranche"),--('Repartition stock'!$F$6:$F$433="&gt; 1 000 €"),--('Repartition stock'!$J$6:$J$433="n.d."))&gt;0),"n.d.",SUMPRODUCT(--('Repartition stock'!$A$6:$A$433="2026Q3"),--('Repartition stock'!$B$6:$B$433="BE"),--('Repartition stock'!$E$6:$E$433="Tranche"),--('Repartition stock'!$F$6:$F$433="&gt; 1 000 €"),'Repartition stock'!$J$6:$J$433)))="n.d.",0,IF(OR(SUMPRODUCT(--('Repartition stock'!$A$6:$A$433="2026Q3"),--('Repartition stock'!$B$6:$B$433="BE"),--('Repartition stock'!$E$6:$E$433="Tranche"),--('Repartition stock'!$F$6:$F$433="&gt; 1 000 €"))=0,SUMPRODUCT(--('Repartition stock'!$A$6:$A$433="2026Q3"),--('Repartition stock'!$B$6:$B$433="BE"),--('Repartition stock'!$E$6:$E$433="Tranche"),--('Repartition stock'!$F$6:$F$433="&gt; 1 000 €"),--('Repartition stock'!$J$6:$J$433="n.d."))&gt;0),"n.d.",SUMPRODUCT(--('Repartition stock'!$A$6:$A$433="2026Q3"),--('Repartition stock'!$B$6:$B$433="BE"),--('Repartition stock'!$E$6:$E$433="Tranche"),--('Repartition stock'!$F$6:$F$433="&gt; 1 000 €"),'Repartition stock'!$J$6:$J$433)))</f>
        <v>59111.0</v>
      </c>
      <c r="AA11" s="8"/>
      <c r="AB11" s="8"/>
      <c r="AC11" s="7">
        <f>IF((IF(OR(COUNT(X11,X12)&lt;&gt;2,X12=0),"n.d.",X11/X12))="n.d.",0,IF(OR(COUNT(X11,X12)&lt;&gt;2,X12=0),"n.d.",X11/X12))</f>
        <v>0.04219409282700422</v>
      </c>
      <c r="AD11" s="7"/>
      <c r="AE11" s="7">
        <f>IF((IF(OR(COUNT(Z11,Z12)&lt;&gt;2,Z12=0),"n.d.",Z11/Z12))="n.d.",0,IF(OR(COUNT(Z11,Z12)&lt;&gt;2,Z12=0),"n.d.",Z11/Z12))</f>
        <v>0.5574090489033061</v>
      </c>
      <c r="AF11" s="7"/>
    </row>
    <row r="12" spans="1:32" ht="13.5" customHeight="1">
      <c r="A12" s="13"/>
      <c r="R12" s="17" t="s">
        <v>71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237.0</v>
      </c>
      <c r="Y12" s="17"/>
      <c r="Z12" s="17">
        <f>IF((IF(COUNT(Z7:Z11)=5,SUM(Z7:Z11),"n.d."))="n.d.",0,IF(COUNT(Z7:Z11)=5,SUM(Z7:Z11),"n.d."))</f>
        <v>106046.0</v>
      </c>
      <c r="AA12" s="17"/>
      <c r="AB12" s="17"/>
      <c r="AC12" s="10">
        <f>IF((IF(OR(NOT(ISNUMBER(X12)),X12=0),"n.d.",1))="n.d.",0,IF(OR(NOT(ISNUMBER(X12)),X12=0),"n.d.",1))</f>
        <v>1.0</v>
      </c>
      <c r="AD12" s="10"/>
      <c r="AE12" s="10">
        <f>IF((IF(OR(NOT(ISNUMBER(Z12)),Z12=0),"n.d.",1))="n.d.",0,IF(OR(NOT(ISNUMBER(Z12)),Z12=0),"n.d.",1))</f>
        <v>1.0</v>
      </c>
      <c r="AF12" s="10"/>
    </row>
    <row r="13" spans="1:32" ht="13.5" customHeight="1">
      <c r="A13" s="13"/>
    </row>
    <row r="14" spans="1:32" ht="13.5" customHeight="1">
      <c r="A14" s="13"/>
      <c r="R14" s="4" t="s">
        <v>72</v>
      </c>
      <c r="S14" s="4"/>
      <c r="T14" s="4"/>
      <c r="U14" s="16" t="s">
        <v>73</v>
      </c>
      <c r="V14" s="16"/>
      <c r="W14" s="16"/>
      <c r="X14" s="8">
        <f>IF((IF(OR(SUMPRODUCT(--('Repartition stock'!$A$6:$A$433="2026Q3"),--('Repartition stock'!$B$6:$B$433="BE"),--('Repartition stock'!$E$6:$E$433="Millésime"),--('Repartition stock'!$F$6:$F$433="&lt;2018"))=0,SUMPRODUCT(--('Repartition stock'!$A$6:$A$433="2026Q3"),--('Repartition stock'!$B$6:$B$433="BE"),--('Repartition stock'!$E$6:$E$433="Millésime"),--('Repartition stock'!$F$6:$F$433="&lt;2018"),--('Repartition stock'!$G$6:$G$433="n.d."))&gt;0),"n.d.",SUMPRODUCT(--('Repartition stock'!$A$6:$A$433="2026Q3"),--('Repartition stock'!$B$6:$B$433="BE"),--('Repartition stock'!$E$6:$E$433="Millésime"),--('Repartition stock'!$F$6:$F$433="&lt;2018"),'Repartition stock'!$G$6:$G$433)))="n.d.",0,IF(OR(SUMPRODUCT(--('Repartition stock'!$A$6:$A$433="2026Q3"),--('Repartition stock'!$B$6:$B$433="BE"),--('Repartition stock'!$E$6:$E$433="Millésime"),--('Repartition stock'!$F$6:$F$433="&lt;2018"))=0,SUMPRODUCT(--('Repartition stock'!$A$6:$A$433="2026Q3"),--('Repartition stock'!$B$6:$B$433="BE"),--('Repartition stock'!$E$6:$E$433="Millésime"),--('Repartition stock'!$F$6:$F$433="&lt;2018"),--('Repartition stock'!$G$6:$G$433="n.d."))&gt;0),"n.d.",SUMPRODUCT(--('Repartition stock'!$A$6:$A$433="2026Q3"),--('Repartition stock'!$B$6:$B$433="BE"),--('Repartition stock'!$E$6:$E$433="Millésime"),--('Repartition stock'!$F$6:$F$433="&lt;2018"),'Repartition stock'!$G$6:$G$433)))</f>
        <v>0</v>
      </c>
      <c r="Y14" s="8"/>
      <c r="Z14" s="8">
        <f>IF((IF(OR(SUMPRODUCT(--('Repartition stock'!$A$6:$A$433="2026Q3"),--('Repartition stock'!$B$6:$B$433="BE"),--('Repartition stock'!$E$6:$E$433="Millésime"),--('Repartition stock'!$F$6:$F$433="&lt;2018"))=0,SUMPRODUCT(--('Repartition stock'!$A$6:$A$433="2026Q3"),--('Repartition stock'!$B$6:$B$433="BE"),--('Repartition stock'!$E$6:$E$433="Millésime"),--('Repartition stock'!$F$6:$F$433="&lt;2018"),--('Repartition stock'!$J$6:$J$433="n.d."))&gt;0),"n.d.",SUMPRODUCT(--('Repartition stock'!$A$6:$A$433="2026Q3"),--('Repartition stock'!$B$6:$B$433="BE"),--('Repartition stock'!$E$6:$E$433="Millésime"),--('Repartition stock'!$F$6:$F$433="&lt;2018"),'Repartition stock'!$J$6:$J$433)))="n.d.",0,IF(OR(SUMPRODUCT(--('Repartition stock'!$A$6:$A$433="2026Q3"),--('Repartition stock'!$B$6:$B$433="BE"),--('Repartition stock'!$E$6:$E$433="Millésime"),--('Repartition stock'!$F$6:$F$433="&lt;2018"))=0,SUMPRODUCT(--('Repartition stock'!$A$6:$A$433="2026Q3"),--('Repartition stock'!$B$6:$B$433="BE"),--('Repartition stock'!$E$6:$E$433="Millésime"),--('Repartition stock'!$F$6:$F$433="&lt;2018"),--('Repartition stock'!$J$6:$J$433="n.d."))&gt;0),"n.d.",SUMPRODUCT(--('Repartition stock'!$A$6:$A$433="2026Q3"),--('Repartition stock'!$B$6:$B$433="BE"),--('Repartition stock'!$E$6:$E$433="Millésime"),--('Repartition stock'!$F$6:$F$433="&lt;2018"),'Repartition stock'!$J$6:$J$433)))</f>
        <v>0</v>
      </c>
      <c r="AA14" s="8"/>
      <c r="AB14" s="8"/>
      <c r="AC14" s="7">
        <f>IF((IF(OR(COUNT(X14,X24)&lt;&gt;2,X24=0),"n.d.",X14/X24))="n.d.",0,IF(OR(COUNT(X14,X24)&lt;&gt;2,X24=0),"n.d.",X14/X24))</f>
        <v>0</v>
      </c>
      <c r="AD14" s="7"/>
      <c r="AE14" s="7">
        <f>IF((IF(OR(COUNT(Z14,Z24)&lt;&gt;2,Z24=0),"n.d.",Z14/Z24))="n.d.",0,IF(OR(COUNT(Z14,Z24)&lt;&gt;2,Z24=0),"n.d.",Z14/Z24))</f>
        <v>0</v>
      </c>
      <c r="AF14" s="7"/>
    </row>
    <row r="15" spans="1:32" ht="13.5" customHeight="1">
      <c r="A15" s="13"/>
      <c r="R15" s="4"/>
      <c r="S15" s="4"/>
      <c r="T15" s="4"/>
      <c r="U15" s="16" t="s">
        <v>74</v>
      </c>
      <c r="V15" s="16"/>
      <c r="W15" s="16"/>
      <c r="X15" s="8">
        <f>IF((IF(OR(SUMPRODUCT(--('Repartition stock'!$A$6:$A$433="2026Q3"),--('Repartition stock'!$B$6:$B$433="BE"),--('Repartition stock'!$E$6:$E$433="Millésime"),--('Repartition stock'!$F$6:$F$433="2018"))=0,SUMPRODUCT(--('Repartition stock'!$A$6:$A$433="2026Q3"),--('Repartition stock'!$B$6:$B$433="BE"),--('Repartition stock'!$E$6:$E$433="Millésime"),--('Repartition stock'!$F$6:$F$433="2018"),--('Repartition stock'!$G$6:$G$433="n.d."))&gt;0),"n.d.",SUMPRODUCT(--('Repartition stock'!$A$6:$A$433="2026Q3"),--('Repartition stock'!$B$6:$B$433="BE"),--('Repartition stock'!$E$6:$E$433="Millésime"),--('Repartition stock'!$F$6:$F$433="2018"),'Repartition stock'!$G$6:$G$433)))="n.d.",0,IF(OR(SUMPRODUCT(--('Repartition stock'!$A$6:$A$433="2026Q3"),--('Repartition stock'!$B$6:$B$433="BE"),--('Repartition stock'!$E$6:$E$433="Millésime"),--('Repartition stock'!$F$6:$F$433="2018"))=0,SUMPRODUCT(--('Repartition stock'!$A$6:$A$433="2026Q3"),--('Repartition stock'!$B$6:$B$433="BE"),--('Repartition stock'!$E$6:$E$433="Millésime"),--('Repartition stock'!$F$6:$F$433="2018"),--('Repartition stock'!$G$6:$G$433="n.d."))&gt;0),"n.d.",SUMPRODUCT(--('Repartition stock'!$A$6:$A$433="2026Q3"),--('Repartition stock'!$B$6:$B$433="BE"),--('Repartition stock'!$E$6:$E$433="Millésime"),--('Repartition stock'!$F$6:$F$433="2018"),'Repartition stock'!$G$6:$G$433)))</f>
        <v>0</v>
      </c>
      <c r="Y15" s="8"/>
      <c r="Z15" s="8">
        <f>IF((IF(OR(SUMPRODUCT(--('Repartition stock'!$A$6:$A$433="2026Q3"),--('Repartition stock'!$B$6:$B$433="BE"),--('Repartition stock'!$E$6:$E$433="Millésime"),--('Repartition stock'!$F$6:$F$433="2018"))=0,SUMPRODUCT(--('Repartition stock'!$A$6:$A$433="2026Q3"),--('Repartition stock'!$B$6:$B$433="BE"),--('Repartition stock'!$E$6:$E$433="Millésime"),--('Repartition stock'!$F$6:$F$433="2018"),--('Repartition stock'!$J$6:$J$433="n.d."))&gt;0),"n.d.",SUMPRODUCT(--('Repartition stock'!$A$6:$A$433="2026Q3"),--('Repartition stock'!$B$6:$B$433="BE"),--('Repartition stock'!$E$6:$E$433="Millésime"),--('Repartition stock'!$F$6:$F$433="2018"),'Repartition stock'!$J$6:$J$433)))="n.d.",0,IF(OR(SUMPRODUCT(--('Repartition stock'!$A$6:$A$433="2026Q3"),--('Repartition stock'!$B$6:$B$433="BE"),--('Repartition stock'!$E$6:$E$433="Millésime"),--('Repartition stock'!$F$6:$F$433="2018"))=0,SUMPRODUCT(--('Repartition stock'!$A$6:$A$433="2026Q3"),--('Repartition stock'!$B$6:$B$433="BE"),--('Repartition stock'!$E$6:$E$433="Millésime"),--('Repartition stock'!$F$6:$F$433="2018"),--('Repartition stock'!$J$6:$J$433="n.d."))&gt;0),"n.d.",SUMPRODUCT(--('Repartition stock'!$A$6:$A$433="2026Q3"),--('Repartition stock'!$B$6:$B$433="BE"),--('Repartition stock'!$E$6:$E$433="Millésime"),--('Repartition stock'!$F$6:$F$433="2018"),'Repartition stock'!$J$6:$J$433)))</f>
        <v>0</v>
      </c>
      <c r="AA15" s="8"/>
      <c r="AB15" s="8"/>
      <c r="AC15" s="7">
        <f>IF((IF(OR(COUNT(X15,X24)&lt;&gt;2,X24=0),"n.d.",X15/X24))="n.d.",0,IF(OR(COUNT(X15,X24)&lt;&gt;2,X24=0),"n.d.",X15/X24))</f>
        <v>0</v>
      </c>
      <c r="AD15" s="7"/>
      <c r="AE15" s="7">
        <f>IF((IF(OR(COUNT(Z15,Z24)&lt;&gt;2,Z24=0),"n.d.",Z15/Z24))="n.d.",0,IF(OR(COUNT(Z15,Z24)&lt;&gt;2,Z24=0),"n.d.",Z15/Z24))</f>
        <v>0</v>
      </c>
      <c r="AF15" s="7"/>
    </row>
    <row r="16" spans="1:32" ht="13.5" customHeight="1">
      <c r="A16" s="13"/>
      <c r="R16" s="4"/>
      <c r="S16" s="4"/>
      <c r="T16" s="4"/>
      <c r="U16" s="16" t="s">
        <v>75</v>
      </c>
      <c r="V16" s="16"/>
      <c r="W16" s="16"/>
      <c r="X16" s="8">
        <f>IF((IF(OR(SUMPRODUCT(--('Repartition stock'!$A$6:$A$433="2026Q3"),--('Repartition stock'!$B$6:$B$433="BE"),--('Repartition stock'!$E$6:$E$433="Millésime"),--('Repartition stock'!$F$6:$F$433="2019"))=0,SUMPRODUCT(--('Repartition stock'!$A$6:$A$433="2026Q3"),--('Repartition stock'!$B$6:$B$433="BE"),--('Repartition stock'!$E$6:$E$433="Millésime"),--('Repartition stock'!$F$6:$F$433="2019"),--('Repartition stock'!$G$6:$G$433="n.d."))&gt;0),"n.d.",SUMPRODUCT(--('Repartition stock'!$A$6:$A$433="2026Q3"),--('Repartition stock'!$B$6:$B$433="BE"),--('Repartition stock'!$E$6:$E$433="Millésime"),--('Repartition stock'!$F$6:$F$433="2019"),'Repartition stock'!$G$6:$G$433)))="n.d.",0,IF(OR(SUMPRODUCT(--('Repartition stock'!$A$6:$A$433="2026Q3"),--('Repartition stock'!$B$6:$B$433="BE"),--('Repartition stock'!$E$6:$E$433="Millésime"),--('Repartition stock'!$F$6:$F$433="2019"))=0,SUMPRODUCT(--('Repartition stock'!$A$6:$A$433="2026Q3"),--('Repartition stock'!$B$6:$B$433="BE"),--('Repartition stock'!$E$6:$E$433="Millésime"),--('Repartition stock'!$F$6:$F$433="2019"),--('Repartition stock'!$G$6:$G$433="n.d."))&gt;0),"n.d.",SUMPRODUCT(--('Repartition stock'!$A$6:$A$433="2026Q3"),--('Repartition stock'!$B$6:$B$433="BE"),--('Repartition stock'!$E$6:$E$433="Millésime"),--('Repartition stock'!$F$6:$F$433="2019"),'Repartition stock'!$G$6:$G$433)))</f>
        <v>0</v>
      </c>
      <c r="Y16" s="8"/>
      <c r="Z16" s="8">
        <f>IF((IF(OR(SUMPRODUCT(--('Repartition stock'!$A$6:$A$433="2026Q3"),--('Repartition stock'!$B$6:$B$433="BE"),--('Repartition stock'!$E$6:$E$433="Millésime"),--('Repartition stock'!$F$6:$F$433="2019"))=0,SUMPRODUCT(--('Repartition stock'!$A$6:$A$433="2026Q3"),--('Repartition stock'!$B$6:$B$433="BE"),--('Repartition stock'!$E$6:$E$433="Millésime"),--('Repartition stock'!$F$6:$F$433="2019"),--('Repartition stock'!$J$6:$J$433="n.d."))&gt;0),"n.d.",SUMPRODUCT(--('Repartition stock'!$A$6:$A$433="2026Q3"),--('Repartition stock'!$B$6:$B$433="BE"),--('Repartition stock'!$E$6:$E$433="Millésime"),--('Repartition stock'!$F$6:$F$433="2019"),'Repartition stock'!$J$6:$J$433)))="n.d.",0,IF(OR(SUMPRODUCT(--('Repartition stock'!$A$6:$A$433="2026Q3"),--('Repartition stock'!$B$6:$B$433="BE"),--('Repartition stock'!$E$6:$E$433="Millésime"),--('Repartition stock'!$F$6:$F$433="2019"))=0,SUMPRODUCT(--('Repartition stock'!$A$6:$A$433="2026Q3"),--('Repartition stock'!$B$6:$B$433="BE"),--('Repartition stock'!$E$6:$E$433="Millésime"),--('Repartition stock'!$F$6:$F$433="2019"),--('Repartition stock'!$J$6:$J$433="n.d."))&gt;0),"n.d.",SUMPRODUCT(--('Repartition stock'!$A$6:$A$433="2026Q3"),--('Repartition stock'!$B$6:$B$433="BE"),--('Repartition stock'!$E$6:$E$433="Millésime"),--('Repartition stock'!$F$6:$F$433="2019"),'Repartition stock'!$J$6:$J$433)))</f>
        <v>0</v>
      </c>
      <c r="AA16" s="8"/>
      <c r="AB16" s="8"/>
      <c r="AC16" s="7">
        <f>IF((IF(OR(COUNT(X16,X24)&lt;&gt;2,X24=0),"n.d.",X16/X24))="n.d.",0,IF(OR(COUNT(X16,X24)&lt;&gt;2,X24=0),"n.d.",X16/X24))</f>
        <v>0</v>
      </c>
      <c r="AD16" s="7"/>
      <c r="AE16" s="7">
        <f>IF((IF(OR(COUNT(Z16,Z24)&lt;&gt;2,Z24=0),"n.d.",Z16/Z24))="n.d.",0,IF(OR(COUNT(Z16,Z24)&lt;&gt;2,Z24=0),"n.d.",Z16/Z24))</f>
        <v>0</v>
      </c>
      <c r="AF16" s="7"/>
    </row>
    <row r="17" spans="1:32" ht="13.5" customHeight="1">
      <c r="A17" s="13"/>
      <c r="R17" s="4"/>
      <c r="S17" s="4"/>
      <c r="T17" s="4"/>
      <c r="U17" s="16" t="s">
        <v>76</v>
      </c>
      <c r="V17" s="16"/>
      <c r="W17" s="16"/>
      <c r="X17" s="8">
        <f>IF((IF(OR(SUMPRODUCT(--('Repartition stock'!$A$6:$A$433="2026Q3"),--('Repartition stock'!$B$6:$B$433="BE"),--('Repartition stock'!$E$6:$E$433="Millésime"),--('Repartition stock'!$F$6:$F$433="2020"))=0,SUMPRODUCT(--('Repartition stock'!$A$6:$A$433="2026Q3"),--('Repartition stock'!$B$6:$B$433="BE"),--('Repartition stock'!$E$6:$E$433="Millésime"),--('Repartition stock'!$F$6:$F$433="2020"),--('Repartition stock'!$G$6:$G$433="n.d."))&gt;0),"n.d.",SUMPRODUCT(--('Repartition stock'!$A$6:$A$433="2026Q3"),--('Repartition stock'!$B$6:$B$433="BE"),--('Repartition stock'!$E$6:$E$433="Millésime"),--('Repartition stock'!$F$6:$F$433="2020"),'Repartition stock'!$G$6:$G$433)))="n.d.",0,IF(OR(SUMPRODUCT(--('Repartition stock'!$A$6:$A$433="2026Q3"),--('Repartition stock'!$B$6:$B$433="BE"),--('Repartition stock'!$E$6:$E$433="Millésime"),--('Repartition stock'!$F$6:$F$433="2020"))=0,SUMPRODUCT(--('Repartition stock'!$A$6:$A$433="2026Q3"),--('Repartition stock'!$B$6:$B$433="BE"),--('Repartition stock'!$E$6:$E$433="Millésime"),--('Repartition stock'!$F$6:$F$433="2020"),--('Repartition stock'!$G$6:$G$433="n.d."))&gt;0),"n.d.",SUMPRODUCT(--('Repartition stock'!$A$6:$A$433="2026Q3"),--('Repartition stock'!$B$6:$B$433="BE"),--('Repartition stock'!$E$6:$E$433="Millésime"),--('Repartition stock'!$F$6:$F$433="2020"),'Repartition stock'!$G$6:$G$433)))</f>
        <v>0</v>
      </c>
      <c r="Y17" s="8"/>
      <c r="Z17" s="8">
        <f>IF((IF(OR(SUMPRODUCT(--('Repartition stock'!$A$6:$A$433="2026Q3"),--('Repartition stock'!$B$6:$B$433="BE"),--('Repartition stock'!$E$6:$E$433="Millésime"),--('Repartition stock'!$F$6:$F$433="2020"))=0,SUMPRODUCT(--('Repartition stock'!$A$6:$A$433="2026Q3"),--('Repartition stock'!$B$6:$B$433="BE"),--('Repartition stock'!$E$6:$E$433="Millésime"),--('Repartition stock'!$F$6:$F$433="2020"),--('Repartition stock'!$J$6:$J$433="n.d."))&gt;0),"n.d.",SUMPRODUCT(--('Repartition stock'!$A$6:$A$433="2026Q3"),--('Repartition stock'!$B$6:$B$433="BE"),--('Repartition stock'!$E$6:$E$433="Millésime"),--('Repartition stock'!$F$6:$F$433="2020"),'Repartition stock'!$J$6:$J$433)))="n.d.",0,IF(OR(SUMPRODUCT(--('Repartition stock'!$A$6:$A$433="2026Q3"),--('Repartition stock'!$B$6:$B$433="BE"),--('Repartition stock'!$E$6:$E$433="Millésime"),--('Repartition stock'!$F$6:$F$433="2020"))=0,SUMPRODUCT(--('Repartition stock'!$A$6:$A$433="2026Q3"),--('Repartition stock'!$B$6:$B$433="BE"),--('Repartition stock'!$E$6:$E$433="Millésime"),--('Repartition stock'!$F$6:$F$433="2020"),--('Repartition stock'!$J$6:$J$433="n.d."))&gt;0),"n.d.",SUMPRODUCT(--('Repartition stock'!$A$6:$A$433="2026Q3"),--('Repartition stock'!$B$6:$B$433="BE"),--('Repartition stock'!$E$6:$E$433="Millésime"),--('Repartition stock'!$F$6:$F$433="2020"),'Repartition stock'!$J$6:$J$433)))</f>
        <v>0</v>
      </c>
      <c r="AA17" s="8"/>
      <c r="AB17" s="8"/>
      <c r="AC17" s="7">
        <f>IF((IF(OR(COUNT(X17,X24)&lt;&gt;2,X24=0),"n.d.",X17/X24))="n.d.",0,IF(OR(COUNT(X17,X24)&lt;&gt;2,X24=0),"n.d.",X17/X24))</f>
        <v>0</v>
      </c>
      <c r="AD17" s="7"/>
      <c r="AE17" s="7">
        <f>IF((IF(OR(COUNT(Z17,Z24)&lt;&gt;2,Z24=0),"n.d.",Z17/Z24))="n.d.",0,IF(OR(COUNT(Z17,Z24)&lt;&gt;2,Z24=0),"n.d.",Z17/Z24))</f>
        <v>0</v>
      </c>
      <c r="AF17" s="7"/>
    </row>
    <row r="18" spans="1:32" ht="13.5" customHeight="1">
      <c r="A18" s="13"/>
      <c r="R18" s="4"/>
      <c r="S18" s="4"/>
      <c r="T18" s="4"/>
      <c r="U18" s="16" t="s">
        <v>77</v>
      </c>
      <c r="V18" s="16"/>
      <c r="W18" s="16"/>
      <c r="X18" s="8">
        <f>IF((IF(OR(SUMPRODUCT(--('Repartition stock'!$A$6:$A$433="2026Q3"),--('Repartition stock'!$B$6:$B$433="BE"),--('Repartition stock'!$E$6:$E$433="Millésime"),--('Repartition stock'!$F$6:$F$433="2021"))=0,SUMPRODUCT(--('Repartition stock'!$A$6:$A$433="2026Q3"),--('Repartition stock'!$B$6:$B$433="BE"),--('Repartition stock'!$E$6:$E$433="Millésime"),--('Repartition stock'!$F$6:$F$433="2021"),--('Repartition stock'!$G$6:$G$433="n.d."))&gt;0),"n.d.",SUMPRODUCT(--('Repartition stock'!$A$6:$A$433="2026Q3"),--('Repartition stock'!$B$6:$B$433="BE"),--('Repartition stock'!$E$6:$E$433="Millésime"),--('Repartition stock'!$F$6:$F$433="2021"),'Repartition stock'!$G$6:$G$433)))="n.d.",0,IF(OR(SUMPRODUCT(--('Repartition stock'!$A$6:$A$433="2026Q3"),--('Repartition stock'!$B$6:$B$433="BE"),--('Repartition stock'!$E$6:$E$433="Millésime"),--('Repartition stock'!$F$6:$F$433="2021"))=0,SUMPRODUCT(--('Repartition stock'!$A$6:$A$433="2026Q3"),--('Repartition stock'!$B$6:$B$433="BE"),--('Repartition stock'!$E$6:$E$433="Millésime"),--('Repartition stock'!$F$6:$F$433="2021"),--('Repartition stock'!$G$6:$G$433="n.d."))&gt;0),"n.d.",SUMPRODUCT(--('Repartition stock'!$A$6:$A$433="2026Q3"),--('Repartition stock'!$B$6:$B$433="BE"),--('Repartition stock'!$E$6:$E$433="Millésime"),--('Repartition stock'!$F$6:$F$433="2021"),'Repartition stock'!$G$6:$G$433)))</f>
        <v>0</v>
      </c>
      <c r="Y18" s="8"/>
      <c r="Z18" s="8">
        <f>IF((IF(OR(SUMPRODUCT(--('Repartition stock'!$A$6:$A$433="2026Q3"),--('Repartition stock'!$B$6:$B$433="BE"),--('Repartition stock'!$E$6:$E$433="Millésime"),--('Repartition stock'!$F$6:$F$433="2021"))=0,SUMPRODUCT(--('Repartition stock'!$A$6:$A$433="2026Q3"),--('Repartition stock'!$B$6:$B$433="BE"),--('Repartition stock'!$E$6:$E$433="Millésime"),--('Repartition stock'!$F$6:$F$433="2021"),--('Repartition stock'!$J$6:$J$433="n.d."))&gt;0),"n.d.",SUMPRODUCT(--('Repartition stock'!$A$6:$A$433="2026Q3"),--('Repartition stock'!$B$6:$B$433="BE"),--('Repartition stock'!$E$6:$E$433="Millésime"),--('Repartition stock'!$F$6:$F$433="2021"),'Repartition stock'!$J$6:$J$433)))="n.d.",0,IF(OR(SUMPRODUCT(--('Repartition stock'!$A$6:$A$433="2026Q3"),--('Repartition stock'!$B$6:$B$433="BE"),--('Repartition stock'!$E$6:$E$433="Millésime"),--('Repartition stock'!$F$6:$F$433="2021"))=0,SUMPRODUCT(--('Repartition stock'!$A$6:$A$433="2026Q3"),--('Repartition stock'!$B$6:$B$433="BE"),--('Repartition stock'!$E$6:$E$433="Millésime"),--('Repartition stock'!$F$6:$F$433="2021"),--('Repartition stock'!$J$6:$J$433="n.d."))&gt;0),"n.d.",SUMPRODUCT(--('Repartition stock'!$A$6:$A$433="2026Q3"),--('Repartition stock'!$B$6:$B$433="BE"),--('Repartition stock'!$E$6:$E$433="Millésime"),--('Repartition stock'!$F$6:$F$433="2021"),'Repartition stock'!$J$6:$J$433)))</f>
        <v>0</v>
      </c>
      <c r="AA18" s="8"/>
      <c r="AB18" s="8"/>
      <c r="AC18" s="7">
        <f>IF((IF(OR(COUNT(X18,X24)&lt;&gt;2,X24=0),"n.d.",X18/X24))="n.d.",0,IF(OR(COUNT(X18,X24)&lt;&gt;2,X24=0),"n.d.",X18/X24))</f>
        <v>0</v>
      </c>
      <c r="AD18" s="7"/>
      <c r="AE18" s="7">
        <f>IF((IF(OR(COUNT(Z18,Z24)&lt;&gt;2,Z24=0),"n.d.",Z18/Z24))="n.d.",0,IF(OR(COUNT(Z18,Z24)&lt;&gt;2,Z24=0),"n.d.",Z18/Z24))</f>
        <v>0</v>
      </c>
      <c r="AF18" s="7"/>
    </row>
    <row r="19" spans="1:32" ht="13.5" customHeight="1">
      <c r="A19" s="13"/>
      <c r="R19" s="4"/>
      <c r="S19" s="4"/>
      <c r="T19" s="4"/>
      <c r="U19" s="16" t="s">
        <v>78</v>
      </c>
      <c r="V19" s="16"/>
      <c r="W19" s="16"/>
      <c r="X19" s="8">
        <f>IF((IF(OR(SUMPRODUCT(--('Repartition stock'!$A$6:$A$433="2026Q3"),--('Repartition stock'!$B$6:$B$433="BE"),--('Repartition stock'!$E$6:$E$433="Millésime"),--('Repartition stock'!$F$6:$F$433="2022"))=0,SUMPRODUCT(--('Repartition stock'!$A$6:$A$433="2026Q3"),--('Repartition stock'!$B$6:$B$433="BE"),--('Repartition stock'!$E$6:$E$433="Millésime"),--('Repartition stock'!$F$6:$F$433="2022"),--('Repartition stock'!$G$6:$G$433="n.d."))&gt;0),"n.d.",SUMPRODUCT(--('Repartition stock'!$A$6:$A$433="2026Q3"),--('Repartition stock'!$B$6:$B$433="BE"),--('Repartition stock'!$E$6:$E$433="Millésime"),--('Repartition stock'!$F$6:$F$433="2022"),'Repartition stock'!$G$6:$G$433)))="n.d.",0,IF(OR(SUMPRODUCT(--('Repartition stock'!$A$6:$A$433="2026Q3"),--('Repartition stock'!$B$6:$B$433="BE"),--('Repartition stock'!$E$6:$E$433="Millésime"),--('Repartition stock'!$F$6:$F$433="2022"))=0,SUMPRODUCT(--('Repartition stock'!$A$6:$A$433="2026Q3"),--('Repartition stock'!$B$6:$B$433="BE"),--('Repartition stock'!$E$6:$E$433="Millésime"),--('Repartition stock'!$F$6:$F$433="2022"),--('Repartition stock'!$G$6:$G$433="n.d."))&gt;0),"n.d.",SUMPRODUCT(--('Repartition stock'!$A$6:$A$433="2026Q3"),--('Repartition stock'!$B$6:$B$433="BE"),--('Repartition stock'!$E$6:$E$433="Millésime"),--('Repartition stock'!$F$6:$F$433="2022"),'Repartition stock'!$G$6:$G$433)))</f>
        <v>0</v>
      </c>
      <c r="Y19" s="8"/>
      <c r="Z19" s="8">
        <f>IF((IF(OR(SUMPRODUCT(--('Repartition stock'!$A$6:$A$433="2026Q3"),--('Repartition stock'!$B$6:$B$433="BE"),--('Repartition stock'!$E$6:$E$433="Millésime"),--('Repartition stock'!$F$6:$F$433="2022"))=0,SUMPRODUCT(--('Repartition stock'!$A$6:$A$433="2026Q3"),--('Repartition stock'!$B$6:$B$433="BE"),--('Repartition stock'!$E$6:$E$433="Millésime"),--('Repartition stock'!$F$6:$F$433="2022"),--('Repartition stock'!$J$6:$J$433="n.d."))&gt;0),"n.d.",SUMPRODUCT(--('Repartition stock'!$A$6:$A$433="2026Q3"),--('Repartition stock'!$B$6:$B$433="BE"),--('Repartition stock'!$E$6:$E$433="Millésime"),--('Repartition stock'!$F$6:$F$433="2022"),'Repartition stock'!$J$6:$J$433)))="n.d.",0,IF(OR(SUMPRODUCT(--('Repartition stock'!$A$6:$A$433="2026Q3"),--('Repartition stock'!$B$6:$B$433="BE"),--('Repartition stock'!$E$6:$E$433="Millésime"),--('Repartition stock'!$F$6:$F$433="2022"))=0,SUMPRODUCT(--('Repartition stock'!$A$6:$A$433="2026Q3"),--('Repartition stock'!$B$6:$B$433="BE"),--('Repartition stock'!$E$6:$E$433="Millésime"),--('Repartition stock'!$F$6:$F$433="2022"),--('Repartition stock'!$J$6:$J$433="n.d."))&gt;0),"n.d.",SUMPRODUCT(--('Repartition stock'!$A$6:$A$433="2026Q3"),--('Repartition stock'!$B$6:$B$433="BE"),--('Repartition stock'!$E$6:$E$433="Millésime"),--('Repartition stock'!$F$6:$F$433="2022"),'Repartition stock'!$J$6:$J$433)))</f>
        <v>0</v>
      </c>
      <c r="AA19" s="8"/>
      <c r="AB19" s="8"/>
      <c r="AC19" s="7">
        <f>IF((IF(OR(COUNT(X19,X24)&lt;&gt;2,X24=0),"n.d.",X19/X24))="n.d.",0,IF(OR(COUNT(X19,X24)&lt;&gt;2,X24=0),"n.d.",X19/X24))</f>
        <v>0</v>
      </c>
      <c r="AD19" s="7"/>
      <c r="AE19" s="7">
        <f>IF((IF(OR(COUNT(Z19,Z24)&lt;&gt;2,Z24=0),"n.d.",Z19/Z24))="n.d.",0,IF(OR(COUNT(Z19,Z24)&lt;&gt;2,Z24=0),"n.d.",Z19/Z24))</f>
        <v>0</v>
      </c>
      <c r="AF19" s="7"/>
    </row>
    <row r="20" spans="1:32" ht="13.5" customHeight="1">
      <c r="A20" s="13"/>
      <c r="R20" s="4"/>
      <c r="S20" s="4"/>
      <c r="T20" s="4"/>
      <c r="U20" s="16" t="s">
        <v>79</v>
      </c>
      <c r="V20" s="16"/>
      <c r="W20" s="16"/>
      <c r="X20" s="8">
        <f>IF((IF(OR(SUMPRODUCT(--('Repartition stock'!$A$6:$A$433="2026Q3"),--('Repartition stock'!$B$6:$B$433="BE"),--('Repartition stock'!$E$6:$E$433="Millésime"),--('Repartition stock'!$F$6:$F$433="2023"))=0,SUMPRODUCT(--('Repartition stock'!$A$6:$A$433="2026Q3"),--('Repartition stock'!$B$6:$B$433="BE"),--('Repartition stock'!$E$6:$E$433="Millésime"),--('Repartition stock'!$F$6:$F$433="2023"),--('Repartition stock'!$G$6:$G$433="n.d."))&gt;0),"n.d.",SUMPRODUCT(--('Repartition stock'!$A$6:$A$433="2026Q3"),--('Repartition stock'!$B$6:$B$433="BE"),--('Repartition stock'!$E$6:$E$433="Millésime"),--('Repartition stock'!$F$6:$F$433="2023"),'Repartition stock'!$G$6:$G$433)))="n.d.",0,IF(OR(SUMPRODUCT(--('Repartition stock'!$A$6:$A$433="2026Q3"),--('Repartition stock'!$B$6:$B$433="BE"),--('Repartition stock'!$E$6:$E$433="Millésime"),--('Repartition stock'!$F$6:$F$433="2023"))=0,SUMPRODUCT(--('Repartition stock'!$A$6:$A$433="2026Q3"),--('Repartition stock'!$B$6:$B$433="BE"),--('Repartition stock'!$E$6:$E$433="Millésime"),--('Repartition stock'!$F$6:$F$433="2023"),--('Repartition stock'!$G$6:$G$433="n.d."))&gt;0),"n.d.",SUMPRODUCT(--('Repartition stock'!$A$6:$A$433="2026Q3"),--('Repartition stock'!$B$6:$B$433="BE"),--('Repartition stock'!$E$6:$E$433="Millésime"),--('Repartition stock'!$F$6:$F$433="2023"),'Repartition stock'!$G$6:$G$433)))</f>
        <v>1.0</v>
      </c>
      <c r="Y20" s="8"/>
      <c r="Z20" s="8">
        <f>IF((IF(OR(SUMPRODUCT(--('Repartition stock'!$A$6:$A$433="2026Q3"),--('Repartition stock'!$B$6:$B$433="BE"),--('Repartition stock'!$E$6:$E$433="Millésime"),--('Repartition stock'!$F$6:$F$433="2023"))=0,SUMPRODUCT(--('Repartition stock'!$A$6:$A$433="2026Q3"),--('Repartition stock'!$B$6:$B$433="BE"),--('Repartition stock'!$E$6:$E$433="Millésime"),--('Repartition stock'!$F$6:$F$433="2023"),--('Repartition stock'!$J$6:$J$433="n.d."))&gt;0),"n.d.",SUMPRODUCT(--('Repartition stock'!$A$6:$A$433="2026Q3"),--('Repartition stock'!$B$6:$B$433="BE"),--('Repartition stock'!$E$6:$E$433="Millésime"),--('Repartition stock'!$F$6:$F$433="2023"),'Repartition stock'!$J$6:$J$433)))="n.d.",0,IF(OR(SUMPRODUCT(--('Repartition stock'!$A$6:$A$433="2026Q3"),--('Repartition stock'!$B$6:$B$433="BE"),--('Repartition stock'!$E$6:$E$433="Millésime"),--('Repartition stock'!$F$6:$F$433="2023"))=0,SUMPRODUCT(--('Repartition stock'!$A$6:$A$433="2026Q3"),--('Repartition stock'!$B$6:$B$433="BE"),--('Repartition stock'!$E$6:$E$433="Millésime"),--('Repartition stock'!$F$6:$F$433="2023"),--('Repartition stock'!$J$6:$J$433="n.d."))&gt;0),"n.d.",SUMPRODUCT(--('Repartition stock'!$A$6:$A$433="2026Q3"),--('Repartition stock'!$B$6:$B$433="BE"),--('Repartition stock'!$E$6:$E$433="Millésime"),--('Repartition stock'!$F$6:$F$433="2023"),'Repartition stock'!$J$6:$J$433)))</f>
        <v>0.0</v>
      </c>
      <c r="AA20" s="8"/>
      <c r="AB20" s="8"/>
      <c r="AC20" s="7">
        <f>IF((IF(OR(COUNT(X20,X24)&lt;&gt;2,X24=0),"n.d.",X20/X24))="n.d.",0,IF(OR(COUNT(X20,X24)&lt;&gt;2,X24=0),"n.d.",X20/X24))</f>
        <v>0.004219409282700422</v>
      </c>
      <c r="AD20" s="7"/>
      <c r="AE20" s="7">
        <f>IF((IF(OR(COUNT(Z20,Z24)&lt;&gt;2,Z24=0),"n.d.",Z20/Z24))="n.d.",0,IF(OR(COUNT(Z20,Z24)&lt;&gt;2,Z24=0),"n.d.",Z20/Z24))</f>
        <v>0.0</v>
      </c>
      <c r="AF20" s="7"/>
    </row>
    <row r="21" spans="1:32" ht="13.5" customHeight="1">
      <c r="A21" s="13"/>
      <c r="R21" s="4"/>
      <c r="S21" s="4"/>
      <c r="T21" s="4"/>
      <c r="U21" s="16" t="s">
        <v>80</v>
      </c>
      <c r="V21" s="16"/>
      <c r="W21" s="16"/>
      <c r="X21" s="8">
        <f>IF((IF(OR(SUMPRODUCT(--('Repartition stock'!$A$6:$A$433="2026Q3"),--('Repartition stock'!$B$6:$B$433="BE"),--('Repartition stock'!$E$6:$E$433="Millésime"),--('Repartition stock'!$F$6:$F$433="2024"))=0,SUMPRODUCT(--('Repartition stock'!$A$6:$A$433="2026Q3"),--('Repartition stock'!$B$6:$B$433="BE"),--('Repartition stock'!$E$6:$E$433="Millésime"),--('Repartition stock'!$F$6:$F$433="2024"),--('Repartition stock'!$G$6:$G$433="n.d."))&gt;0),"n.d.",SUMPRODUCT(--('Repartition stock'!$A$6:$A$433="2026Q3"),--('Repartition stock'!$B$6:$B$433="BE"),--('Repartition stock'!$E$6:$E$433="Millésime"),--('Repartition stock'!$F$6:$F$433="2024"),'Repartition stock'!$G$6:$G$433)))="n.d.",0,IF(OR(SUMPRODUCT(--('Repartition stock'!$A$6:$A$433="2026Q3"),--('Repartition stock'!$B$6:$B$433="BE"),--('Repartition stock'!$E$6:$E$433="Millésime"),--('Repartition stock'!$F$6:$F$433="2024"))=0,SUMPRODUCT(--('Repartition stock'!$A$6:$A$433="2026Q3"),--('Repartition stock'!$B$6:$B$433="BE"),--('Repartition stock'!$E$6:$E$433="Millésime"),--('Repartition stock'!$F$6:$F$433="2024"),--('Repartition stock'!$G$6:$G$433="n.d."))&gt;0),"n.d.",SUMPRODUCT(--('Repartition stock'!$A$6:$A$433="2026Q3"),--('Repartition stock'!$B$6:$B$433="BE"),--('Repartition stock'!$E$6:$E$433="Millésime"),--('Repartition stock'!$F$6:$F$433="2024"),'Repartition stock'!$G$6:$G$433)))</f>
        <v>0</v>
      </c>
      <c r="Y21" s="8"/>
      <c r="Z21" s="8">
        <f>IF((IF(OR(SUMPRODUCT(--('Repartition stock'!$A$6:$A$433="2026Q3"),--('Repartition stock'!$B$6:$B$433="BE"),--('Repartition stock'!$E$6:$E$433="Millésime"),--('Repartition stock'!$F$6:$F$433="2024"))=0,SUMPRODUCT(--('Repartition stock'!$A$6:$A$433="2026Q3"),--('Repartition stock'!$B$6:$B$433="BE"),--('Repartition stock'!$E$6:$E$433="Millésime"),--('Repartition stock'!$F$6:$F$433="2024"),--('Repartition stock'!$J$6:$J$433="n.d."))&gt;0),"n.d.",SUMPRODUCT(--('Repartition stock'!$A$6:$A$433="2026Q3"),--('Repartition stock'!$B$6:$B$433="BE"),--('Repartition stock'!$E$6:$E$433="Millésime"),--('Repartition stock'!$F$6:$F$433="2024"),'Repartition stock'!$J$6:$J$433)))="n.d.",0,IF(OR(SUMPRODUCT(--('Repartition stock'!$A$6:$A$433="2026Q3"),--('Repartition stock'!$B$6:$B$433="BE"),--('Repartition stock'!$E$6:$E$433="Millésime"),--('Repartition stock'!$F$6:$F$433="2024"))=0,SUMPRODUCT(--('Repartition stock'!$A$6:$A$433="2026Q3"),--('Repartition stock'!$B$6:$B$433="BE"),--('Repartition stock'!$E$6:$E$433="Millésime"),--('Repartition stock'!$F$6:$F$433="2024"),--('Repartition stock'!$J$6:$J$433="n.d."))&gt;0),"n.d.",SUMPRODUCT(--('Repartition stock'!$A$6:$A$433="2026Q3"),--('Repartition stock'!$B$6:$B$433="BE"),--('Repartition stock'!$E$6:$E$433="Millésime"),--('Repartition stock'!$F$6:$F$433="2024"),'Repartition stock'!$J$6:$J$433)))</f>
        <v>0</v>
      </c>
      <c r="AA21" s="8"/>
      <c r="AB21" s="8"/>
      <c r="AC21" s="7">
        <f>IF((IF(OR(COUNT(X21,X24)&lt;&gt;2,X24=0),"n.d.",X21/X24))="n.d.",0,IF(OR(COUNT(X21,X24)&lt;&gt;2,X24=0),"n.d.",X21/X24))</f>
        <v>0</v>
      </c>
      <c r="AD21" s="7"/>
      <c r="AE21" s="7">
        <f>IF((IF(OR(COUNT(Z21,Z24)&lt;&gt;2,Z24=0),"n.d.",Z21/Z24))="n.d.",0,IF(OR(COUNT(Z21,Z24)&lt;&gt;2,Z24=0),"n.d.",Z21/Z24))</f>
        <v>0</v>
      </c>
      <c r="AF21" s="7"/>
    </row>
    <row r="22" spans="1:32" ht="13.5" customHeight="1">
      <c r="A22" s="13"/>
      <c r="R22" s="4"/>
      <c r="S22" s="4"/>
      <c r="T22" s="4"/>
      <c r="U22" s="16" t="s">
        <v>50</v>
      </c>
      <c r="V22" s="16"/>
      <c r="W22" s="16"/>
      <c r="X22" s="8">
        <f>IF((IF(OR(SUMPRODUCT(--('Repartition stock'!$A$6:$A$433="2026Q3"),--('Repartition stock'!$B$6:$B$433="BE"),--('Repartition stock'!$E$6:$E$433="Millésime"),--('Repartition stock'!$F$6:$F$433="2025"))=0,SUMPRODUCT(--('Repartition stock'!$A$6:$A$433="2026Q3"),--('Repartition stock'!$B$6:$B$433="BE"),--('Repartition stock'!$E$6:$E$433="Millésime"),--('Repartition stock'!$F$6:$F$433="2025"),--('Repartition stock'!$G$6:$G$433="n.d."))&gt;0),"n.d.",SUMPRODUCT(--('Repartition stock'!$A$6:$A$433="2026Q3"),--('Repartition stock'!$B$6:$B$433="BE"),--('Repartition stock'!$E$6:$E$433="Millésime"),--('Repartition stock'!$F$6:$F$433="2025"),'Repartition stock'!$G$6:$G$433)))="n.d.",0,IF(OR(SUMPRODUCT(--('Repartition stock'!$A$6:$A$433="2026Q3"),--('Repartition stock'!$B$6:$B$433="BE"),--('Repartition stock'!$E$6:$E$433="Millésime"),--('Repartition stock'!$F$6:$F$433="2025"))=0,SUMPRODUCT(--('Repartition stock'!$A$6:$A$433="2026Q3"),--('Repartition stock'!$B$6:$B$433="BE"),--('Repartition stock'!$E$6:$E$433="Millésime"),--('Repartition stock'!$F$6:$F$433="2025"),--('Repartition stock'!$G$6:$G$433="n.d."))&gt;0),"n.d.",SUMPRODUCT(--('Repartition stock'!$A$6:$A$433="2026Q3"),--('Repartition stock'!$B$6:$B$433="BE"),--('Repartition stock'!$E$6:$E$433="Millésime"),--('Repartition stock'!$F$6:$F$433="2025"),'Repartition stock'!$G$6:$G$433)))</f>
        <v>2.0</v>
      </c>
      <c r="Y22" s="8"/>
      <c r="Z22" s="8">
        <f>IF((IF(OR(SUMPRODUCT(--('Repartition stock'!$A$6:$A$433="2026Q3"),--('Repartition stock'!$B$6:$B$433="BE"),--('Repartition stock'!$E$6:$E$433="Millésime"),--('Repartition stock'!$F$6:$F$433="2025"))=0,SUMPRODUCT(--('Repartition stock'!$A$6:$A$433="2026Q3"),--('Repartition stock'!$B$6:$B$433="BE"),--('Repartition stock'!$E$6:$E$433="Millésime"),--('Repartition stock'!$F$6:$F$433="2025"),--('Repartition stock'!$J$6:$J$433="n.d."))&gt;0),"n.d.",SUMPRODUCT(--('Repartition stock'!$A$6:$A$433="2026Q3"),--('Repartition stock'!$B$6:$B$433="BE"),--('Repartition stock'!$E$6:$E$433="Millésime"),--('Repartition stock'!$F$6:$F$433="2025"),'Repartition stock'!$J$6:$J$433)))="n.d.",0,IF(OR(SUMPRODUCT(--('Repartition stock'!$A$6:$A$433="2026Q3"),--('Repartition stock'!$B$6:$B$433="BE"),--('Repartition stock'!$E$6:$E$433="Millésime"),--('Repartition stock'!$F$6:$F$433="2025"))=0,SUMPRODUCT(--('Repartition stock'!$A$6:$A$433="2026Q3"),--('Repartition stock'!$B$6:$B$433="BE"),--('Repartition stock'!$E$6:$E$433="Millésime"),--('Repartition stock'!$F$6:$F$433="2025"),--('Repartition stock'!$J$6:$J$433="n.d."))&gt;0),"n.d.",SUMPRODUCT(--('Repartition stock'!$A$6:$A$433="2026Q3"),--('Repartition stock'!$B$6:$B$433="BE"),--('Repartition stock'!$E$6:$E$433="Millésime"),--('Repartition stock'!$F$6:$F$433="2025"),'Repartition stock'!$J$6:$J$433)))</f>
        <v>1390.0</v>
      </c>
      <c r="AA22" s="8"/>
      <c r="AB22" s="8"/>
      <c r="AC22" s="7">
        <f>IF((IF(OR(COUNT(X22,X24)&lt;&gt;2,X24=0),"n.d.",X22/X24))="n.d.",0,IF(OR(COUNT(X22,X24)&lt;&gt;2,X24=0),"n.d.",X22/X24))</f>
        <v>0.008438818565400843</v>
      </c>
      <c r="AD22" s="7"/>
      <c r="AE22" s="7">
        <f>IF((IF(OR(COUNT(Z22,Z24)&lt;&gt;2,Z24=0),"n.d.",Z22/Z24))="n.d.",0,IF(OR(COUNT(Z22,Z24)&lt;&gt;2,Z24=0),"n.d.",Z22/Z24))</f>
        <v>0.013107519378382965</v>
      </c>
      <c r="AF22" s="7"/>
    </row>
    <row r="23" spans="1:32" ht="13.5" customHeight="1">
      <c r="A23" s="13"/>
      <c r="R23" s="4"/>
      <c r="S23" s="4"/>
      <c r="T23" s="4"/>
      <c r="U23" s="16" t="s">
        <v>51</v>
      </c>
      <c r="V23" s="16"/>
      <c r="W23" s="16"/>
      <c r="X23" s="8">
        <f>IF((IF(OR(SUMPRODUCT(--('Repartition stock'!$A$6:$A$433="2026Q3"),--('Repartition stock'!$B$6:$B$433="BE"),--('Repartition stock'!$E$6:$E$433="Millésime"),--('Repartition stock'!$F$6:$F$433="2026"))=0,SUMPRODUCT(--('Repartition stock'!$A$6:$A$433="2026Q3"),--('Repartition stock'!$B$6:$B$433="BE"),--('Repartition stock'!$E$6:$E$433="Millésime"),--('Repartition stock'!$F$6:$F$433="2026"),--('Repartition stock'!$G$6:$G$433="n.d."))&gt;0),"n.d.",SUMPRODUCT(--('Repartition stock'!$A$6:$A$433="2026Q3"),--('Repartition stock'!$B$6:$B$433="BE"),--('Repartition stock'!$E$6:$E$433="Millésime"),--('Repartition stock'!$F$6:$F$433="2026"),'Repartition stock'!$G$6:$G$433)))="n.d.",0,IF(OR(SUMPRODUCT(--('Repartition stock'!$A$6:$A$433="2026Q3"),--('Repartition stock'!$B$6:$B$433="BE"),--('Repartition stock'!$E$6:$E$433="Millésime"),--('Repartition stock'!$F$6:$F$433="2026"))=0,SUMPRODUCT(--('Repartition stock'!$A$6:$A$433="2026Q3"),--('Repartition stock'!$B$6:$B$433="BE"),--('Repartition stock'!$E$6:$E$433="Millésime"),--('Repartition stock'!$F$6:$F$433="2026"),--('Repartition stock'!$G$6:$G$433="n.d."))&gt;0),"n.d.",SUMPRODUCT(--('Repartition stock'!$A$6:$A$433="2026Q3"),--('Repartition stock'!$B$6:$B$433="BE"),--('Repartition stock'!$E$6:$E$433="Millésime"),--('Repartition stock'!$F$6:$F$433="2026"),'Repartition stock'!$G$6:$G$433)))</f>
        <v>234.0</v>
      </c>
      <c r="Y23" s="8"/>
      <c r="Z23" s="8">
        <f>IF((IF(OR(SUMPRODUCT(--('Repartition stock'!$A$6:$A$433="2026Q3"),--('Repartition stock'!$B$6:$B$433="BE"),--('Repartition stock'!$E$6:$E$433="Millésime"),--('Repartition stock'!$F$6:$F$433="2026"))=0,SUMPRODUCT(--('Repartition stock'!$A$6:$A$433="2026Q3"),--('Repartition stock'!$B$6:$B$433="BE"),--('Repartition stock'!$E$6:$E$433="Millésime"),--('Repartition stock'!$F$6:$F$433="2026"),--('Repartition stock'!$J$6:$J$433="n.d."))&gt;0),"n.d.",SUMPRODUCT(--('Repartition stock'!$A$6:$A$433="2026Q3"),--('Repartition stock'!$B$6:$B$433="BE"),--('Repartition stock'!$E$6:$E$433="Millésime"),--('Repartition stock'!$F$6:$F$433="2026"),'Repartition stock'!$J$6:$J$433)))="n.d.",0,IF(OR(SUMPRODUCT(--('Repartition stock'!$A$6:$A$433="2026Q3"),--('Repartition stock'!$B$6:$B$433="BE"),--('Repartition stock'!$E$6:$E$433="Millésime"),--('Repartition stock'!$F$6:$F$433="2026"))=0,SUMPRODUCT(--('Repartition stock'!$A$6:$A$433="2026Q3"),--('Repartition stock'!$B$6:$B$433="BE"),--('Repartition stock'!$E$6:$E$433="Millésime"),--('Repartition stock'!$F$6:$F$433="2026"),--('Repartition stock'!$J$6:$J$433="n.d."))&gt;0),"n.d.",SUMPRODUCT(--('Repartition stock'!$A$6:$A$433="2026Q3"),--('Repartition stock'!$B$6:$B$433="BE"),--('Repartition stock'!$E$6:$E$433="Millésime"),--('Repartition stock'!$F$6:$F$433="2026"),'Repartition stock'!$J$6:$J$433)))</f>
        <v>104655.0</v>
      </c>
      <c r="AA23" s="8"/>
      <c r="AB23" s="8"/>
      <c r="AC23" s="7">
        <f>IF((IF(OR(COUNT(X23,X24)&lt;&gt;2,X24=0),"n.d.",X23/X24))="n.d.",0,IF(OR(COUNT(X23,X24)&lt;&gt;2,X24=0),"n.d.",X23/X24))</f>
        <v>0.9873417721518988</v>
      </c>
      <c r="AD23" s="7"/>
      <c r="AE23" s="7">
        <f>IF((IF(OR(COUNT(Z23,Z24)&lt;&gt;2,Z24=0),"n.d.",Z23/Z24))="n.d.",0,IF(OR(COUNT(Z23,Z24)&lt;&gt;2,Z24=0),"n.d.",Z23/Z24))</f>
        <v>0.9868830507515607</v>
      </c>
      <c r="AF23" s="7"/>
    </row>
    <row r="24" spans="1:32" ht="13.5" customHeight="1">
      <c r="A24" s="13"/>
      <c r="R24" s="17" t="s">
        <v>71</v>
      </c>
      <c r="S24" s="17"/>
      <c r="T24" s="17"/>
      <c r="U24" s="17"/>
      <c r="V24" s="17"/>
      <c r="W24" s="17"/>
      <c r="X24" s="17">
        <f>IF(('Presentation inputs'!D13)="n.d.",0,'Presentation inputs'!D13)</f>
        <v>237.0</v>
      </c>
      <c r="Y24" s="17"/>
      <c r="Z24" s="17">
        <f>IF((IF(ISNUMBER('Presentation inputs'!E13),'Presentation inputs'!E13/(IF(OR(COUNTIFS('Consolidation'!$A$6:$A$47,"2026Q3",'Consolidation'!$B$6:$B$47,"BE")&lt;&gt;1,COUNTIFS('Consolidation'!$A$6:$A$47,"2026Q3",'Consolidation'!$B$6:$B$47,"BE",'Consolidation'!$E$6:$E$47,"n.d.")&gt;0),"n.d.",SUMIFS('Consolidation'!$E$6:$E$47,'Consolidation'!$A$6:$A$47,"2026Q3",'Consolidation'!$B$6:$B$47,"BE"))),"n.d."))="n.d.",0,IF(ISNUMBER('Presentation inputs'!E13),'Presentation inputs'!E13/(IF(OR(COUNTIFS('Consolidation'!$A$6:$A$47,"2026Q3",'Consolidation'!$B$6:$B$47,"BE")&lt;&gt;1,COUNTIFS('Consolidation'!$A$6:$A$47,"2026Q3",'Consolidation'!$B$6:$B$47,"BE",'Consolidation'!$E$6:$E$47,"n.d.")&gt;0),"n.d.",SUMIFS('Consolidation'!$E$6:$E$47,'Consolidation'!$A$6:$A$47,"2026Q3",'Consolidation'!$B$6:$B$47,"BE"))),"n.d."))</f>
        <v>106046.0</v>
      </c>
      <c r="AA24" s="17"/>
      <c r="AB24" s="17"/>
      <c r="AC24" s="10">
        <f>IF((IF(OR(NOT(ISNUMBER(X24)),X24=0),"n.d.",1))="n.d.",0,IF(OR(NOT(ISNUMBER(X24)),X24=0),"n.d.",1))</f>
        <v>1.0</v>
      </c>
      <c r="AD24" s="10"/>
      <c r="AE24" s="10">
        <f>IF((IF(OR(NOT(ISNUMBER(Z24)),Z24=0),"n.d.",1))="n.d.",0,IF(OR(NOT(ISNUMBER(Z24)),Z24=0),"n.d.",1))</f>
        <v>1.0</v>
      </c>
      <c r="AF24" s="10"/>
    </row>
    <row r="25" spans="1:32" ht="13.5" customHeight="1">
      <c r="A25" s="13"/>
    </row>
    <row r="26" spans="1:32" ht="13.5" customHeight="1">
      <c r="A26" s="13"/>
      <c r="R26" s="1" t="s">
        <v>81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3.5" customHeight="1">
      <c r="A27" s="1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3.5" customHeight="1">
      <c r="A28" s="1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3.5" customHeight="1">
      <c r="A29" s="13"/>
    </row>
    <row r="30" spans="1:32" ht="13.5" customHeight="1">
      <c r="A30" s="13"/>
      <c r="B30" s="11" t="str">
        <f>"Average monthly new flow: "&amp;IF(ISNUMBER('GraphData'!A162),TEXT('GraphData'!A162,"#,##0"),"0")&amp;" EUR. Average balance per contract: "&amp;IF(ISNUMBER('GraphData'!B162),TEXT('GraphData'!B162,"#,##0"),"0")&amp;" EUR."</f>
        <v>Average monthly new flow: 86,982 EUR. Average balance per contract: 451 EUR.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tr">
        <f>"Oldest cohort (M-5): "&amp;IF(ISNUMBER('GraphData'!C162),TEXT('GraphData'!C162,"0.0%"),"0")&amp;" treated in amount and "&amp;IF(ISNUMBER('GraphData'!D162),TEXT('GraphData'!D162,"0.0%"),"0")&amp;" in number."</f>
        <v>Oldest cohort (M-5): 100.0% treated in amount and 100.0% in number.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tr">
        <f>"Stock to process: "&amp;IF(ISNUMBER('GraphData'!E162),TEXT('GraphData'!E162,"#,##0"),"0")&amp;" EUR. Identified stock: "&amp;IF(ISNUMBER('GraphData'!F162),TEXT('GraphData'!F162,"#,##0"),"0")&amp;" EUR."</f>
        <v>Stock to process: 106,046 EUR. Identified stock: 147,601 EUR.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89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101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R26:AF28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10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61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65</v>
      </c>
      <c r="S7" s="4"/>
      <c r="T7" s="4"/>
      <c r="U7" s="16" t="s">
        <v>66</v>
      </c>
      <c r="V7" s="16"/>
      <c r="W7" s="16"/>
      <c r="X7" s="8">
        <f>IF((IF(OR(SUMPRODUCT(--('Repartition stock'!$A$6:$A$433="2026Q3"),--('Repartition stock'!$B$6:$B$433="IT"),--('Repartition stock'!$E$6:$E$433="Tranche"),--('Repartition stock'!$F$6:$F$433="0 - 1 €"))=0,SUMPRODUCT(--('Repartition stock'!$A$6:$A$433="2026Q3"),--('Repartition stock'!$B$6:$B$433="IT"),--('Repartition stock'!$E$6:$E$433="Tranche"),--('Repartition stock'!$F$6:$F$433="0 - 1 €"),--('Repartition stock'!$G$6:$G$433="n.d."))&gt;0),"n.d.",SUMPRODUCT(--('Repartition stock'!$A$6:$A$433="2026Q3"),--('Repartition stock'!$B$6:$B$433="IT"),--('Repartition stock'!$E$6:$E$433="Tranche"),--('Repartition stock'!$F$6:$F$433="0 - 1 €"),'Repartition stock'!$G$6:$G$433)))="n.d.",0,IF(OR(SUMPRODUCT(--('Repartition stock'!$A$6:$A$433="2026Q3"),--('Repartition stock'!$B$6:$B$433="IT"),--('Repartition stock'!$E$6:$E$433="Tranche"),--('Repartition stock'!$F$6:$F$433="0 - 1 €"))=0,SUMPRODUCT(--('Repartition stock'!$A$6:$A$433="2026Q3"),--('Repartition stock'!$B$6:$B$433="IT"),--('Repartition stock'!$E$6:$E$433="Tranche"),--('Repartition stock'!$F$6:$F$433="0 - 1 €"),--('Repartition stock'!$G$6:$G$433="n.d."))&gt;0),"n.d.",SUMPRODUCT(--('Repartition stock'!$A$6:$A$433="2026Q3"),--('Repartition stock'!$B$6:$B$433="IT"),--('Repartition stock'!$E$6:$E$433="Tranche"),--('Repartition stock'!$F$6:$F$433="0 - 1 €"),'Repartition stock'!$G$6:$G$433)))</f>
        <v>18250.0</v>
      </c>
      <c r="Y7" s="8"/>
      <c r="Z7" s="8">
        <f>IF((IF(OR(SUMPRODUCT(--('Repartition stock'!$A$6:$A$433="2026Q3"),--('Repartition stock'!$B$6:$B$433="IT"),--('Repartition stock'!$E$6:$E$433="Tranche"),--('Repartition stock'!$F$6:$F$433="0 - 1 €"))=0,SUMPRODUCT(--('Repartition stock'!$A$6:$A$433="2026Q3"),--('Repartition stock'!$B$6:$B$433="IT"),--('Repartition stock'!$E$6:$E$433="Tranche"),--('Repartition stock'!$F$6:$F$433="0 - 1 €"),--('Repartition stock'!$J$6:$J$433="n.d."))&gt;0),"n.d.",SUMPRODUCT(--('Repartition stock'!$A$6:$A$433="2026Q3"),--('Repartition stock'!$B$6:$B$433="IT"),--('Repartition stock'!$E$6:$E$433="Tranche"),--('Repartition stock'!$F$6:$F$433="0 - 1 €"),'Repartition stock'!$J$6:$J$433)))="n.d.",0,IF(OR(SUMPRODUCT(--('Repartition stock'!$A$6:$A$433="2026Q3"),--('Repartition stock'!$B$6:$B$433="IT"),--('Repartition stock'!$E$6:$E$433="Tranche"),--('Repartition stock'!$F$6:$F$433="0 - 1 €"))=0,SUMPRODUCT(--('Repartition stock'!$A$6:$A$433="2026Q3"),--('Repartition stock'!$B$6:$B$433="IT"),--('Repartition stock'!$E$6:$E$433="Tranche"),--('Repartition stock'!$F$6:$F$433="0 - 1 €"),--('Repartition stock'!$J$6:$J$433="n.d."))&gt;0),"n.d.",SUMPRODUCT(--('Repartition stock'!$A$6:$A$433="2026Q3"),--('Repartition stock'!$B$6:$B$433="IT"),--('Repartition stock'!$E$6:$E$433="Tranche"),--('Repartition stock'!$F$6:$F$433="0 - 1 €"),'Repartition stock'!$J$6:$J$433)))</f>
        <v>7959.0</v>
      </c>
      <c r="AA7" s="8"/>
      <c r="AB7" s="8"/>
      <c r="AC7" s="7">
        <f>IF((IF(OR(COUNT(X7,X12)&lt;&gt;2,X12=0),"n.d.",X7/X12))="n.d.",0,IF(OR(COUNT(X7,X12)&lt;&gt;2,X12=0),"n.d.",X7/X12))</f>
        <v>0.16582467107654286</v>
      </c>
      <c r="AD7" s="7"/>
      <c r="AE7" s="7">
        <f>IF((IF(OR(COUNT(Z7,Z12)&lt;&gt;2,Z12=0),"n.d.",Z7/Z12))="n.d.",0,IF(OR(COUNT(Z7,Z12)&lt;&gt;2,Z12=0),"n.d.",Z7/Z12))</f>
        <v>0.0023174333355753533</v>
      </c>
      <c r="AF7" s="7"/>
    </row>
    <row r="8" spans="1:32" ht="13.5" customHeight="1">
      <c r="A8" s="13"/>
      <c r="R8" s="4"/>
      <c r="S8" s="4"/>
      <c r="T8" s="4"/>
      <c r="U8" s="16" t="s">
        <v>67</v>
      </c>
      <c r="V8" s="16"/>
      <c r="W8" s="16"/>
      <c r="X8" s="8">
        <f>IF((IF(OR(SUMPRODUCT(--('Repartition stock'!$A$6:$A$433="2026Q3"),--('Repartition stock'!$B$6:$B$433="IT"),--('Repartition stock'!$E$6:$E$433="Tranche"),--('Repartition stock'!$F$6:$F$433="1 - 10 €"))=0,SUMPRODUCT(--('Repartition stock'!$A$6:$A$433="2026Q3"),--('Repartition stock'!$B$6:$B$433="IT"),--('Repartition stock'!$E$6:$E$433="Tranche"),--('Repartition stock'!$F$6:$F$433="1 - 10 €"),--('Repartition stock'!$G$6:$G$433="n.d."))&gt;0),"n.d.",SUMPRODUCT(--('Repartition stock'!$A$6:$A$433="2026Q3"),--('Repartition stock'!$B$6:$B$433="IT"),--('Repartition stock'!$E$6:$E$433="Tranche"),--('Repartition stock'!$F$6:$F$433="1 - 10 €"),'Repartition stock'!$G$6:$G$433)))="n.d.",0,IF(OR(SUMPRODUCT(--('Repartition stock'!$A$6:$A$433="2026Q3"),--('Repartition stock'!$B$6:$B$433="IT"),--('Repartition stock'!$E$6:$E$433="Tranche"),--('Repartition stock'!$F$6:$F$433="1 - 10 €"))=0,SUMPRODUCT(--('Repartition stock'!$A$6:$A$433="2026Q3"),--('Repartition stock'!$B$6:$B$433="IT"),--('Repartition stock'!$E$6:$E$433="Tranche"),--('Repartition stock'!$F$6:$F$433="1 - 10 €"),--('Repartition stock'!$G$6:$G$433="n.d."))&gt;0),"n.d.",SUMPRODUCT(--('Repartition stock'!$A$6:$A$433="2026Q3"),--('Repartition stock'!$B$6:$B$433="IT"),--('Repartition stock'!$E$6:$E$433="Tranche"),--('Repartition stock'!$F$6:$F$433="1 - 10 €"),'Repartition stock'!$G$6:$G$433)))</f>
        <v>75932.0</v>
      </c>
      <c r="Y8" s="8"/>
      <c r="Z8" s="8">
        <f>IF((IF(OR(SUMPRODUCT(--('Repartition stock'!$A$6:$A$433="2026Q3"),--('Repartition stock'!$B$6:$B$433="IT"),--('Repartition stock'!$E$6:$E$433="Tranche"),--('Repartition stock'!$F$6:$F$433="1 - 10 €"))=0,SUMPRODUCT(--('Repartition stock'!$A$6:$A$433="2026Q3"),--('Repartition stock'!$B$6:$B$433="IT"),--('Repartition stock'!$E$6:$E$433="Tranche"),--('Repartition stock'!$F$6:$F$433="1 - 10 €"),--('Repartition stock'!$J$6:$J$433="n.d."))&gt;0),"n.d.",SUMPRODUCT(--('Repartition stock'!$A$6:$A$433="2026Q3"),--('Repartition stock'!$B$6:$B$433="IT"),--('Repartition stock'!$E$6:$E$433="Tranche"),--('Repartition stock'!$F$6:$F$433="1 - 10 €"),'Repartition stock'!$J$6:$J$433)))="n.d.",0,IF(OR(SUMPRODUCT(--('Repartition stock'!$A$6:$A$433="2026Q3"),--('Repartition stock'!$B$6:$B$433="IT"),--('Repartition stock'!$E$6:$E$433="Tranche"),--('Repartition stock'!$F$6:$F$433="1 - 10 €"))=0,SUMPRODUCT(--('Repartition stock'!$A$6:$A$433="2026Q3"),--('Repartition stock'!$B$6:$B$433="IT"),--('Repartition stock'!$E$6:$E$433="Tranche"),--('Repartition stock'!$F$6:$F$433="1 - 10 €"),--('Repartition stock'!$J$6:$J$433="n.d."))&gt;0),"n.d.",SUMPRODUCT(--('Repartition stock'!$A$6:$A$433="2026Q3"),--('Repartition stock'!$B$6:$B$433="IT"),--('Repartition stock'!$E$6:$E$433="Tranche"),--('Repartition stock'!$F$6:$F$433="1 - 10 €"),'Repartition stock'!$J$6:$J$433)))</f>
        <v>206829.0</v>
      </c>
      <c r="AA8" s="8"/>
      <c r="AB8" s="8"/>
      <c r="AC8" s="7">
        <f>IF((IF(OR(COUNT(X8,X12)&lt;&gt;2,X12=0),"n.d.",X8/X12))="n.d.",0,IF(OR(COUNT(X8,X12)&lt;&gt;2,X12=0),"n.d.",X8/X12))</f>
        <v>0.6899396670785782</v>
      </c>
      <c r="AD8" s="7"/>
      <c r="AE8" s="7">
        <f>IF((IF(OR(COUNT(Z8,Z12)&lt;&gt;2,Z12=0),"n.d.",Z8/Z12))="n.d.",0,IF(OR(COUNT(Z8,Z12)&lt;&gt;2,Z12=0),"n.d.",Z8/Z12))</f>
        <v>0.060222693725809115</v>
      </c>
      <c r="AF8" s="7"/>
    </row>
    <row r="9" spans="1:32" ht="13.5" customHeight="1">
      <c r="A9" s="13"/>
      <c r="R9" s="4"/>
      <c r="S9" s="4"/>
      <c r="T9" s="4"/>
      <c r="U9" s="16" t="s">
        <v>68</v>
      </c>
      <c r="V9" s="16"/>
      <c r="W9" s="16"/>
      <c r="X9" s="8">
        <f>IF((IF(OR(SUMPRODUCT(--('Repartition stock'!$A$6:$A$433="2026Q3"),--('Repartition stock'!$B$6:$B$433="IT"),--('Repartition stock'!$E$6:$E$433="Tranche"),--('Repartition stock'!$F$6:$F$433="10 - 100 €"))=0,SUMPRODUCT(--('Repartition stock'!$A$6:$A$433="2026Q3"),--('Repartition stock'!$B$6:$B$433="IT"),--('Repartition stock'!$E$6:$E$433="Tranche"),--('Repartition stock'!$F$6:$F$433="10 - 100 €"),--('Repartition stock'!$G$6:$G$433="n.d."))&gt;0),"n.d.",SUMPRODUCT(--('Repartition stock'!$A$6:$A$433="2026Q3"),--('Repartition stock'!$B$6:$B$433="IT"),--('Repartition stock'!$E$6:$E$433="Tranche"),--('Repartition stock'!$F$6:$F$433="10 - 100 €"),'Repartition stock'!$G$6:$G$433)))="n.d.",0,IF(OR(SUMPRODUCT(--('Repartition stock'!$A$6:$A$433="2026Q3"),--('Repartition stock'!$B$6:$B$433="IT"),--('Repartition stock'!$E$6:$E$433="Tranche"),--('Repartition stock'!$F$6:$F$433="10 - 100 €"))=0,SUMPRODUCT(--('Repartition stock'!$A$6:$A$433="2026Q3"),--('Repartition stock'!$B$6:$B$433="IT"),--('Repartition stock'!$E$6:$E$433="Tranche"),--('Repartition stock'!$F$6:$F$433="10 - 100 €"),--('Repartition stock'!$G$6:$G$433="n.d."))&gt;0),"n.d.",SUMPRODUCT(--('Repartition stock'!$A$6:$A$433="2026Q3"),--('Repartition stock'!$B$6:$B$433="IT"),--('Repartition stock'!$E$6:$E$433="Tranche"),--('Repartition stock'!$F$6:$F$433="10 - 100 €"),'Repartition stock'!$G$6:$G$433)))</f>
        <v>8710.0</v>
      </c>
      <c r="Y9" s="8"/>
      <c r="Z9" s="8">
        <f>IF((IF(OR(SUMPRODUCT(--('Repartition stock'!$A$6:$A$433="2026Q3"),--('Repartition stock'!$B$6:$B$433="IT"),--('Repartition stock'!$E$6:$E$433="Tranche"),--('Repartition stock'!$F$6:$F$433="10 - 100 €"))=0,SUMPRODUCT(--('Repartition stock'!$A$6:$A$433="2026Q3"),--('Repartition stock'!$B$6:$B$433="IT"),--('Repartition stock'!$E$6:$E$433="Tranche"),--('Repartition stock'!$F$6:$F$433="10 - 100 €"),--('Repartition stock'!$J$6:$J$433="n.d."))&gt;0),"n.d.",SUMPRODUCT(--('Repartition stock'!$A$6:$A$433="2026Q3"),--('Repartition stock'!$B$6:$B$433="IT"),--('Repartition stock'!$E$6:$E$433="Tranche"),--('Repartition stock'!$F$6:$F$433="10 - 100 €"),'Repartition stock'!$J$6:$J$433)))="n.d.",0,IF(OR(SUMPRODUCT(--('Repartition stock'!$A$6:$A$433="2026Q3"),--('Repartition stock'!$B$6:$B$433="IT"),--('Repartition stock'!$E$6:$E$433="Tranche"),--('Repartition stock'!$F$6:$F$433="10 - 100 €"))=0,SUMPRODUCT(--('Repartition stock'!$A$6:$A$433="2026Q3"),--('Repartition stock'!$B$6:$B$433="IT"),--('Repartition stock'!$E$6:$E$433="Tranche"),--('Repartition stock'!$F$6:$F$433="10 - 100 €"),--('Repartition stock'!$J$6:$J$433="n.d."))&gt;0),"n.d.",SUMPRODUCT(--('Repartition stock'!$A$6:$A$433="2026Q3"),--('Repartition stock'!$B$6:$B$433="IT"),--('Repartition stock'!$E$6:$E$433="Tranche"),--('Repartition stock'!$F$6:$F$433="10 - 100 €"),'Repartition stock'!$J$6:$J$433)))</f>
        <v>316895.0</v>
      </c>
      <c r="AA9" s="8"/>
      <c r="AB9" s="8"/>
      <c r="AC9" s="7">
        <f>IF((IF(OR(COUNT(X9,X12)&lt;&gt;2,X12=0),"n.d.",X9/X12))="n.d.",0,IF(OR(COUNT(X9,X12)&lt;&gt;2,X12=0),"n.d.",X9/X12))</f>
        <v>0.07914152794940757</v>
      </c>
      <c r="AD9" s="7"/>
      <c r="AE9" s="7">
        <f>IF((IF(OR(COUNT(Z9,Z12)&lt;&gt;2,Z12=0),"n.d.",Z9/Z12))="n.d.",0,IF(OR(COUNT(Z9,Z12)&lt;&gt;2,Z12=0),"n.d.",Z9/Z12))</f>
        <v>0.09227076729201553</v>
      </c>
      <c r="AF9" s="7"/>
    </row>
    <row r="10" spans="1:32" ht="13.5" customHeight="1">
      <c r="A10" s="13"/>
      <c r="R10" s="4"/>
      <c r="S10" s="4"/>
      <c r="T10" s="4"/>
      <c r="U10" s="16" t="s">
        <v>69</v>
      </c>
      <c r="V10" s="16"/>
      <c r="W10" s="16"/>
      <c r="X10" s="8">
        <f>IF((IF(OR(SUMPRODUCT(--('Repartition stock'!$A$6:$A$433="2026Q3"),--('Repartition stock'!$B$6:$B$433="IT"),--('Repartition stock'!$E$6:$E$433="Tranche"),--('Repartition stock'!$F$6:$F$433="100 - 1 000 €"))=0,SUMPRODUCT(--('Repartition stock'!$A$6:$A$433="2026Q3"),--('Repartition stock'!$B$6:$B$433="IT"),--('Repartition stock'!$E$6:$E$433="Tranche"),--('Repartition stock'!$F$6:$F$433="100 - 1 000 €"),--('Repartition stock'!$G$6:$G$433="n.d."))&gt;0),"n.d.",SUMPRODUCT(--('Repartition stock'!$A$6:$A$433="2026Q3"),--('Repartition stock'!$B$6:$B$433="IT"),--('Repartition stock'!$E$6:$E$433="Tranche"),--('Repartition stock'!$F$6:$F$433="100 - 1 000 €"),'Repartition stock'!$G$6:$G$433)))="n.d.",0,IF(OR(SUMPRODUCT(--('Repartition stock'!$A$6:$A$433="2026Q3"),--('Repartition stock'!$B$6:$B$433="IT"),--('Repartition stock'!$E$6:$E$433="Tranche"),--('Repartition stock'!$F$6:$F$433="100 - 1 000 €"))=0,SUMPRODUCT(--('Repartition stock'!$A$6:$A$433="2026Q3"),--('Repartition stock'!$B$6:$B$433="IT"),--('Repartition stock'!$E$6:$E$433="Tranche"),--('Repartition stock'!$F$6:$F$433="100 - 1 000 €"),--('Repartition stock'!$G$6:$G$433="n.d."))&gt;0),"n.d.",SUMPRODUCT(--('Repartition stock'!$A$6:$A$433="2026Q3"),--('Repartition stock'!$B$6:$B$433="IT"),--('Repartition stock'!$E$6:$E$433="Tranche"),--('Repartition stock'!$F$6:$F$433="100 - 1 000 €"),'Repartition stock'!$G$6:$G$433)))</f>
        <v>6783.0</v>
      </c>
      <c r="Y10" s="8"/>
      <c r="Z10" s="8">
        <f>IF((IF(OR(SUMPRODUCT(--('Repartition stock'!$A$6:$A$433="2026Q3"),--('Repartition stock'!$B$6:$B$433="IT"),--('Repartition stock'!$E$6:$E$433="Tranche"),--('Repartition stock'!$F$6:$F$433="100 - 1 000 €"))=0,SUMPRODUCT(--('Repartition stock'!$A$6:$A$433="2026Q3"),--('Repartition stock'!$B$6:$B$433="IT"),--('Repartition stock'!$E$6:$E$433="Tranche"),--('Repartition stock'!$F$6:$F$433="100 - 1 000 €"),--('Repartition stock'!$J$6:$J$433="n.d."))&gt;0),"n.d.",SUMPRODUCT(--('Repartition stock'!$A$6:$A$433="2026Q3"),--('Repartition stock'!$B$6:$B$433="IT"),--('Repartition stock'!$E$6:$E$433="Tranche"),--('Repartition stock'!$F$6:$F$433="100 - 1 000 €"),'Repartition stock'!$J$6:$J$433)))="n.d.",0,IF(OR(SUMPRODUCT(--('Repartition stock'!$A$6:$A$433="2026Q3"),--('Repartition stock'!$B$6:$B$433="IT"),--('Repartition stock'!$E$6:$E$433="Tranche"),--('Repartition stock'!$F$6:$F$433="100 - 1 000 €"))=0,SUMPRODUCT(--('Repartition stock'!$A$6:$A$433="2026Q3"),--('Repartition stock'!$B$6:$B$433="IT"),--('Repartition stock'!$E$6:$E$433="Tranche"),--('Repartition stock'!$F$6:$F$433="100 - 1 000 €"),--('Repartition stock'!$J$6:$J$433="n.d."))&gt;0),"n.d.",SUMPRODUCT(--('Repartition stock'!$A$6:$A$433="2026Q3"),--('Repartition stock'!$B$6:$B$433="IT"),--('Repartition stock'!$E$6:$E$433="Tranche"),--('Repartition stock'!$F$6:$F$433="100 - 1 000 €"),'Repartition stock'!$J$6:$J$433)))</f>
        <v>1951658.0</v>
      </c>
      <c r="AA10" s="8"/>
      <c r="AB10" s="8"/>
      <c r="AC10" s="7">
        <f>IF((IF(OR(COUNT(X10,X12)&lt;&gt;2,X12=0),"n.d.",X10/X12))="n.d.",0,IF(OR(COUNT(X10,X12)&lt;&gt;2,X12=0),"n.d.",X10/X12))</f>
        <v>0.06163225994039398</v>
      </c>
      <c r="AD10" s="7"/>
      <c r="AE10" s="7">
        <f>IF((IF(OR(COUNT(Z10,Z12)&lt;&gt;2,Z12=0),"n.d.",Z10/Z12))="n.d.",0,IF(OR(COUNT(Z10,Z12)&lt;&gt;2,Z12=0),"n.d.",Z10/Z12))</f>
        <v>0.5682670321450336</v>
      </c>
      <c r="AF10" s="7"/>
    </row>
    <row r="11" spans="1:32" ht="13.5" customHeight="1">
      <c r="A11" s="13"/>
      <c r="R11" s="4"/>
      <c r="S11" s="4"/>
      <c r="T11" s="4"/>
      <c r="U11" s="16" t="s">
        <v>70</v>
      </c>
      <c r="V11" s="16"/>
      <c r="W11" s="16"/>
      <c r="X11" s="8">
        <f>IF((IF(OR(SUMPRODUCT(--('Repartition stock'!$A$6:$A$433="2026Q3"),--('Repartition stock'!$B$6:$B$433="IT"),--('Repartition stock'!$E$6:$E$433="Tranche"),--('Repartition stock'!$F$6:$F$433="&gt; 1 000 €"))=0,SUMPRODUCT(--('Repartition stock'!$A$6:$A$433="2026Q3"),--('Repartition stock'!$B$6:$B$433="IT"),--('Repartition stock'!$E$6:$E$433="Tranche"),--('Repartition stock'!$F$6:$F$433="&gt; 1 000 €"),--('Repartition stock'!$G$6:$G$433="n.d."))&gt;0),"n.d.",SUMPRODUCT(--('Repartition stock'!$A$6:$A$433="2026Q3"),--('Repartition stock'!$B$6:$B$433="IT"),--('Repartition stock'!$E$6:$E$433="Tranche"),--('Repartition stock'!$F$6:$F$433="&gt; 1 000 €"),'Repartition stock'!$G$6:$G$433)))="n.d.",0,IF(OR(SUMPRODUCT(--('Repartition stock'!$A$6:$A$433="2026Q3"),--('Repartition stock'!$B$6:$B$433="IT"),--('Repartition stock'!$E$6:$E$433="Tranche"),--('Repartition stock'!$F$6:$F$433="&gt; 1 000 €"))=0,SUMPRODUCT(--('Repartition stock'!$A$6:$A$433="2026Q3"),--('Repartition stock'!$B$6:$B$433="IT"),--('Repartition stock'!$E$6:$E$433="Tranche"),--('Repartition stock'!$F$6:$F$433="&gt; 1 000 €"),--('Repartition stock'!$G$6:$G$433="n.d."))&gt;0),"n.d.",SUMPRODUCT(--('Repartition stock'!$A$6:$A$433="2026Q3"),--('Repartition stock'!$B$6:$B$433="IT"),--('Repartition stock'!$E$6:$E$433="Tranche"),--('Repartition stock'!$F$6:$F$433="&gt; 1 000 €"),'Repartition stock'!$G$6:$G$433)))</f>
        <v>381.0</v>
      </c>
      <c r="Y11" s="8"/>
      <c r="Z11" s="8">
        <f>IF((IF(OR(SUMPRODUCT(--('Repartition stock'!$A$6:$A$433="2026Q3"),--('Repartition stock'!$B$6:$B$433="IT"),--('Repartition stock'!$E$6:$E$433="Tranche"),--('Repartition stock'!$F$6:$F$433="&gt; 1 000 €"))=0,SUMPRODUCT(--('Repartition stock'!$A$6:$A$433="2026Q3"),--('Repartition stock'!$B$6:$B$433="IT"),--('Repartition stock'!$E$6:$E$433="Tranche"),--('Repartition stock'!$F$6:$F$433="&gt; 1 000 €"),--('Repartition stock'!$J$6:$J$433="n.d."))&gt;0),"n.d.",SUMPRODUCT(--('Repartition stock'!$A$6:$A$433="2026Q3"),--('Repartition stock'!$B$6:$B$433="IT"),--('Repartition stock'!$E$6:$E$433="Tranche"),--('Repartition stock'!$F$6:$F$433="&gt; 1 000 €"),'Repartition stock'!$J$6:$J$433)))="n.d.",0,IF(OR(SUMPRODUCT(--('Repartition stock'!$A$6:$A$433="2026Q3"),--('Repartition stock'!$B$6:$B$433="IT"),--('Repartition stock'!$E$6:$E$433="Tranche"),--('Repartition stock'!$F$6:$F$433="&gt; 1 000 €"))=0,SUMPRODUCT(--('Repartition stock'!$A$6:$A$433="2026Q3"),--('Repartition stock'!$B$6:$B$433="IT"),--('Repartition stock'!$E$6:$E$433="Tranche"),--('Repartition stock'!$F$6:$F$433="&gt; 1 000 €"),--('Repartition stock'!$J$6:$J$433="n.d."))&gt;0),"n.d.",SUMPRODUCT(--('Repartition stock'!$A$6:$A$433="2026Q3"),--('Repartition stock'!$B$6:$B$433="IT"),--('Repartition stock'!$E$6:$E$433="Tranche"),--('Repartition stock'!$F$6:$F$433="&gt; 1 000 €"),'Repartition stock'!$J$6:$J$433)))</f>
        <v>951062.0</v>
      </c>
      <c r="AA11" s="8"/>
      <c r="AB11" s="8"/>
      <c r="AC11" s="7">
        <f>IF((IF(OR(COUNT(X11,X12)&lt;&gt;2,X12=0),"n.d.",X11/X12))="n.d.",0,IF(OR(COUNT(X11,X12)&lt;&gt;2,X12=0),"n.d.",X11/X12))</f>
        <v>0.003461873955077415</v>
      </c>
      <c r="AD11" s="7"/>
      <c r="AE11" s="7">
        <f>IF((IF(OR(COUNT(Z11,Z12)&lt;&gt;2,Z12=0),"n.d.",Z11/Z12))="n.d.",0,IF(OR(COUNT(Z11,Z12)&lt;&gt;2,Z12=0),"n.d.",Z11/Z12))</f>
        <v>0.27692207350156633</v>
      </c>
      <c r="AF11" s="7"/>
    </row>
    <row r="12" spans="1:32" ht="13.5" customHeight="1">
      <c r="A12" s="13"/>
      <c r="R12" s="17" t="s">
        <v>71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110056.0</v>
      </c>
      <c r="Y12" s="17"/>
      <c r="Z12" s="17">
        <f>IF((IF(COUNT(Z7:Z11)=5,SUM(Z7:Z11),"n.d."))="n.d.",0,IF(COUNT(Z7:Z11)=5,SUM(Z7:Z11),"n.d."))</f>
        <v>3434403.0</v>
      </c>
      <c r="AA12" s="17"/>
      <c r="AB12" s="17"/>
      <c r="AC12" s="10">
        <f>IF((IF(OR(NOT(ISNUMBER(X12)),X12=0),"n.d.",1))="n.d.",0,IF(OR(NOT(ISNUMBER(X12)),X12=0),"n.d.",1))</f>
        <v>1.0</v>
      </c>
      <c r="AD12" s="10"/>
      <c r="AE12" s="10">
        <f>IF((IF(OR(NOT(ISNUMBER(Z12)),Z12=0),"n.d.",1))="n.d.",0,IF(OR(NOT(ISNUMBER(Z12)),Z12=0),"n.d.",1))</f>
        <v>1.0</v>
      </c>
      <c r="AF12" s="10"/>
    </row>
    <row r="13" spans="1:32" ht="13.5" customHeight="1">
      <c r="A13" s="13"/>
    </row>
    <row r="14" spans="1:32" ht="13.5" customHeight="1">
      <c r="A14" s="13"/>
      <c r="R14" s="4" t="s">
        <v>72</v>
      </c>
      <c r="S14" s="4"/>
      <c r="T14" s="4"/>
      <c r="U14" s="16" t="s">
        <v>73</v>
      </c>
      <c r="V14" s="16"/>
      <c r="W14" s="16"/>
      <c r="X14" s="8">
        <f>IF((IF(OR(SUMPRODUCT(--('Repartition stock'!$A$6:$A$433="2026Q3"),--('Repartition stock'!$B$6:$B$433="IT"),--('Repartition stock'!$E$6:$E$433="Millésime"),--('Repartition stock'!$F$6:$F$433="&lt;2018"))=0,SUMPRODUCT(--('Repartition stock'!$A$6:$A$433="2026Q3"),--('Repartition stock'!$B$6:$B$433="IT"),--('Repartition stock'!$E$6:$E$433="Millésime"),--('Repartition stock'!$F$6:$F$433="&lt;2018"),--('Repartition stock'!$G$6:$G$433="n.d."))&gt;0),"n.d.",SUMPRODUCT(--('Repartition stock'!$A$6:$A$433="2026Q3"),--('Repartition stock'!$B$6:$B$433="IT"),--('Repartition stock'!$E$6:$E$433="Millésime"),--('Repartition stock'!$F$6:$F$433="&lt;2018"),'Repartition stock'!$G$6:$G$433)))="n.d.",0,IF(OR(SUMPRODUCT(--('Repartition stock'!$A$6:$A$433="2026Q3"),--('Repartition stock'!$B$6:$B$433="IT"),--('Repartition stock'!$E$6:$E$433="Millésime"),--('Repartition stock'!$F$6:$F$433="&lt;2018"))=0,SUMPRODUCT(--('Repartition stock'!$A$6:$A$433="2026Q3"),--('Repartition stock'!$B$6:$B$433="IT"),--('Repartition stock'!$E$6:$E$433="Millésime"),--('Repartition stock'!$F$6:$F$433="&lt;2018"),--('Repartition stock'!$G$6:$G$433="n.d."))&gt;0),"n.d.",SUMPRODUCT(--('Repartition stock'!$A$6:$A$433="2026Q3"),--('Repartition stock'!$B$6:$B$433="IT"),--('Repartition stock'!$E$6:$E$433="Millésime"),--('Repartition stock'!$F$6:$F$433="&lt;2018"),'Repartition stock'!$G$6:$G$433)))</f>
        <v>8232.0</v>
      </c>
      <c r="Y14" s="8"/>
      <c r="Z14" s="8">
        <f>IF((IF(OR(SUMPRODUCT(--('Repartition stock'!$A$6:$A$433="2026Q3"),--('Repartition stock'!$B$6:$B$433="IT"),--('Repartition stock'!$E$6:$E$433="Millésime"),--('Repartition stock'!$F$6:$F$433="&lt;2018"))=0,SUMPRODUCT(--('Repartition stock'!$A$6:$A$433="2026Q3"),--('Repartition stock'!$B$6:$B$433="IT"),--('Repartition stock'!$E$6:$E$433="Millésime"),--('Repartition stock'!$F$6:$F$433="&lt;2018"),--('Repartition stock'!$J$6:$J$433="n.d."))&gt;0),"n.d.",SUMPRODUCT(--('Repartition stock'!$A$6:$A$433="2026Q3"),--('Repartition stock'!$B$6:$B$433="IT"),--('Repartition stock'!$E$6:$E$433="Millésime"),--('Repartition stock'!$F$6:$F$433="&lt;2018"),'Repartition stock'!$J$6:$J$433)))="n.d.",0,IF(OR(SUMPRODUCT(--('Repartition stock'!$A$6:$A$433="2026Q3"),--('Repartition stock'!$B$6:$B$433="IT"),--('Repartition stock'!$E$6:$E$433="Millésime"),--('Repartition stock'!$F$6:$F$433="&lt;2018"))=0,SUMPRODUCT(--('Repartition stock'!$A$6:$A$433="2026Q3"),--('Repartition stock'!$B$6:$B$433="IT"),--('Repartition stock'!$E$6:$E$433="Millésime"),--('Repartition stock'!$F$6:$F$433="&lt;2018"),--('Repartition stock'!$J$6:$J$433="n.d."))&gt;0),"n.d.",SUMPRODUCT(--('Repartition stock'!$A$6:$A$433="2026Q3"),--('Repartition stock'!$B$6:$B$433="IT"),--('Repartition stock'!$E$6:$E$433="Millésime"),--('Repartition stock'!$F$6:$F$433="&lt;2018"),'Repartition stock'!$J$6:$J$433)))</f>
        <v>527322.0</v>
      </c>
      <c r="AA14" s="8"/>
      <c r="AB14" s="8"/>
      <c r="AC14" s="7">
        <f>IF((IF(OR(COUNT(X14,X24)&lt;&gt;2,X24=0),"n.d.",X14/X24))="n.d.",0,IF(OR(COUNT(X14,X24)&lt;&gt;2,X24=0),"n.d.",X14/X24))</f>
        <v>0.07479828450970415</v>
      </c>
      <c r="AD14" s="7"/>
      <c r="AE14" s="7">
        <f>IF((IF(OR(COUNT(Z14,Z24)&lt;&gt;2,Z24=0),"n.d.",Z14/Z24))="n.d.",0,IF(OR(COUNT(Z14,Z24)&lt;&gt;2,Z24=0),"n.d.",Z14/Z24))</f>
        <v>0.15354114049549236</v>
      </c>
      <c r="AF14" s="7"/>
    </row>
    <row r="15" spans="1:32" ht="13.5" customHeight="1">
      <c r="A15" s="13"/>
      <c r="R15" s="4"/>
      <c r="S15" s="4"/>
      <c r="T15" s="4"/>
      <c r="U15" s="16" t="s">
        <v>74</v>
      </c>
      <c r="V15" s="16"/>
      <c r="W15" s="16"/>
      <c r="X15" s="8">
        <f>IF((IF(OR(SUMPRODUCT(--('Repartition stock'!$A$6:$A$433="2026Q3"),--('Repartition stock'!$B$6:$B$433="IT"),--('Repartition stock'!$E$6:$E$433="Millésime"),--('Repartition stock'!$F$6:$F$433="2018"))=0,SUMPRODUCT(--('Repartition stock'!$A$6:$A$433="2026Q3"),--('Repartition stock'!$B$6:$B$433="IT"),--('Repartition stock'!$E$6:$E$433="Millésime"),--('Repartition stock'!$F$6:$F$433="2018"),--('Repartition stock'!$G$6:$G$433="n.d."))&gt;0),"n.d.",SUMPRODUCT(--('Repartition stock'!$A$6:$A$433="2026Q3"),--('Repartition stock'!$B$6:$B$433="IT"),--('Repartition stock'!$E$6:$E$433="Millésime"),--('Repartition stock'!$F$6:$F$433="2018"),'Repartition stock'!$G$6:$G$433)))="n.d.",0,IF(OR(SUMPRODUCT(--('Repartition stock'!$A$6:$A$433="2026Q3"),--('Repartition stock'!$B$6:$B$433="IT"),--('Repartition stock'!$E$6:$E$433="Millésime"),--('Repartition stock'!$F$6:$F$433="2018"))=0,SUMPRODUCT(--('Repartition stock'!$A$6:$A$433="2026Q3"),--('Repartition stock'!$B$6:$B$433="IT"),--('Repartition stock'!$E$6:$E$433="Millésime"),--('Repartition stock'!$F$6:$F$433="2018"),--('Repartition stock'!$G$6:$G$433="n.d."))&gt;0),"n.d.",SUMPRODUCT(--('Repartition stock'!$A$6:$A$433="2026Q3"),--('Repartition stock'!$B$6:$B$433="IT"),--('Repartition stock'!$E$6:$E$433="Millésime"),--('Repartition stock'!$F$6:$F$433="2018"),'Repartition stock'!$G$6:$G$433)))</f>
        <v>6189.0</v>
      </c>
      <c r="Y15" s="8"/>
      <c r="Z15" s="8">
        <f>IF((IF(OR(SUMPRODUCT(--('Repartition stock'!$A$6:$A$433="2026Q3"),--('Repartition stock'!$B$6:$B$433="IT"),--('Repartition stock'!$E$6:$E$433="Millésime"),--('Repartition stock'!$F$6:$F$433="2018"))=0,SUMPRODUCT(--('Repartition stock'!$A$6:$A$433="2026Q3"),--('Repartition stock'!$B$6:$B$433="IT"),--('Repartition stock'!$E$6:$E$433="Millésime"),--('Repartition stock'!$F$6:$F$433="2018"),--('Repartition stock'!$J$6:$J$433="n.d."))&gt;0),"n.d.",SUMPRODUCT(--('Repartition stock'!$A$6:$A$433="2026Q3"),--('Repartition stock'!$B$6:$B$433="IT"),--('Repartition stock'!$E$6:$E$433="Millésime"),--('Repartition stock'!$F$6:$F$433="2018"),'Repartition stock'!$J$6:$J$433)))="n.d.",0,IF(OR(SUMPRODUCT(--('Repartition stock'!$A$6:$A$433="2026Q3"),--('Repartition stock'!$B$6:$B$433="IT"),--('Repartition stock'!$E$6:$E$433="Millésime"),--('Repartition stock'!$F$6:$F$433="2018"))=0,SUMPRODUCT(--('Repartition stock'!$A$6:$A$433="2026Q3"),--('Repartition stock'!$B$6:$B$433="IT"),--('Repartition stock'!$E$6:$E$433="Millésime"),--('Repartition stock'!$F$6:$F$433="2018"),--('Repartition stock'!$J$6:$J$433="n.d."))&gt;0),"n.d.",SUMPRODUCT(--('Repartition stock'!$A$6:$A$433="2026Q3"),--('Repartition stock'!$B$6:$B$433="IT"),--('Repartition stock'!$E$6:$E$433="Millésime"),--('Repartition stock'!$F$6:$F$433="2018"),'Repartition stock'!$J$6:$J$433)))</f>
        <v>112535.0</v>
      </c>
      <c r="AA15" s="8"/>
      <c r="AB15" s="8"/>
      <c r="AC15" s="7">
        <f>IF((IF(OR(COUNT(X15,X24)&lt;&gt;2,X24=0),"n.d.",X15/X24))="n.d.",0,IF(OR(COUNT(X15,X24)&lt;&gt;2,X24=0),"n.d.",X15/X24))</f>
        <v>0.05623500763247801</v>
      </c>
      <c r="AD15" s="7"/>
      <c r="AE15" s="7">
        <f>IF((IF(OR(COUNT(Z15,Z24)&lt;&gt;2,Z24=0),"n.d.",Z15/Z24))="n.d.",0,IF(OR(COUNT(Z15,Z24)&lt;&gt;2,Z24=0),"n.d.",Z15/Z24))</f>
        <v>0.03276698534417345</v>
      </c>
      <c r="AF15" s="7"/>
    </row>
    <row r="16" spans="1:32" ht="13.5" customHeight="1">
      <c r="A16" s="13"/>
      <c r="R16" s="4"/>
      <c r="S16" s="4"/>
      <c r="T16" s="4"/>
      <c r="U16" s="16" t="s">
        <v>75</v>
      </c>
      <c r="V16" s="16"/>
      <c r="W16" s="16"/>
      <c r="X16" s="8">
        <f>IF((IF(OR(SUMPRODUCT(--('Repartition stock'!$A$6:$A$433="2026Q3"),--('Repartition stock'!$B$6:$B$433="IT"),--('Repartition stock'!$E$6:$E$433="Millésime"),--('Repartition stock'!$F$6:$F$433="2019"))=0,SUMPRODUCT(--('Repartition stock'!$A$6:$A$433="2026Q3"),--('Repartition stock'!$B$6:$B$433="IT"),--('Repartition stock'!$E$6:$E$433="Millésime"),--('Repartition stock'!$F$6:$F$433="2019"),--('Repartition stock'!$G$6:$G$433="n.d."))&gt;0),"n.d.",SUMPRODUCT(--('Repartition stock'!$A$6:$A$433="2026Q3"),--('Repartition stock'!$B$6:$B$433="IT"),--('Repartition stock'!$E$6:$E$433="Millésime"),--('Repartition stock'!$F$6:$F$433="2019"),'Repartition stock'!$G$6:$G$433)))="n.d.",0,IF(OR(SUMPRODUCT(--('Repartition stock'!$A$6:$A$433="2026Q3"),--('Repartition stock'!$B$6:$B$433="IT"),--('Repartition stock'!$E$6:$E$433="Millésime"),--('Repartition stock'!$F$6:$F$433="2019"))=0,SUMPRODUCT(--('Repartition stock'!$A$6:$A$433="2026Q3"),--('Repartition stock'!$B$6:$B$433="IT"),--('Repartition stock'!$E$6:$E$433="Millésime"),--('Repartition stock'!$F$6:$F$433="2019"),--('Repartition stock'!$G$6:$G$433="n.d."))&gt;0),"n.d.",SUMPRODUCT(--('Repartition stock'!$A$6:$A$433="2026Q3"),--('Repartition stock'!$B$6:$B$433="IT"),--('Repartition stock'!$E$6:$E$433="Millésime"),--('Repartition stock'!$F$6:$F$433="2019"),'Repartition stock'!$G$6:$G$433)))</f>
        <v>15718.0</v>
      </c>
      <c r="Y16" s="8"/>
      <c r="Z16" s="8">
        <f>IF((IF(OR(SUMPRODUCT(--('Repartition stock'!$A$6:$A$433="2026Q3"),--('Repartition stock'!$B$6:$B$433="IT"),--('Repartition stock'!$E$6:$E$433="Millésime"),--('Repartition stock'!$F$6:$F$433="2019"))=0,SUMPRODUCT(--('Repartition stock'!$A$6:$A$433="2026Q3"),--('Repartition stock'!$B$6:$B$433="IT"),--('Repartition stock'!$E$6:$E$433="Millésime"),--('Repartition stock'!$F$6:$F$433="2019"),--('Repartition stock'!$J$6:$J$433="n.d."))&gt;0),"n.d.",SUMPRODUCT(--('Repartition stock'!$A$6:$A$433="2026Q3"),--('Repartition stock'!$B$6:$B$433="IT"),--('Repartition stock'!$E$6:$E$433="Millésime"),--('Repartition stock'!$F$6:$F$433="2019"),'Repartition stock'!$J$6:$J$433)))="n.d.",0,IF(OR(SUMPRODUCT(--('Repartition stock'!$A$6:$A$433="2026Q3"),--('Repartition stock'!$B$6:$B$433="IT"),--('Repartition stock'!$E$6:$E$433="Millésime"),--('Repartition stock'!$F$6:$F$433="2019"))=0,SUMPRODUCT(--('Repartition stock'!$A$6:$A$433="2026Q3"),--('Repartition stock'!$B$6:$B$433="IT"),--('Repartition stock'!$E$6:$E$433="Millésime"),--('Repartition stock'!$F$6:$F$433="2019"),--('Repartition stock'!$J$6:$J$433="n.d."))&gt;0),"n.d.",SUMPRODUCT(--('Repartition stock'!$A$6:$A$433="2026Q3"),--('Repartition stock'!$B$6:$B$433="IT"),--('Repartition stock'!$E$6:$E$433="Millésime"),--('Repartition stock'!$F$6:$F$433="2019"),'Repartition stock'!$J$6:$J$433)))</f>
        <v>169399.0</v>
      </c>
      <c r="AA16" s="8"/>
      <c r="AB16" s="8"/>
      <c r="AC16" s="7">
        <f>IF((IF(OR(COUNT(X16,X24)&lt;&gt;2,X24=0),"n.d.",X16/X24))="n.d.",0,IF(OR(COUNT(X16,X24)&lt;&gt;2,X24=0),"n.d.",X16/X24))</f>
        <v>0.14281820164280004</v>
      </c>
      <c r="AD16" s="7"/>
      <c r="AE16" s="7">
        <f>IF((IF(OR(COUNT(Z16,Z24)&lt;&gt;2,Z24=0),"n.d.",Z16/Z24))="n.d.",0,IF(OR(COUNT(Z16,Z24)&lt;&gt;2,Z24=0),"n.d.",Z16/Z24))</f>
        <v>0.04932416181914639</v>
      </c>
      <c r="AF16" s="7"/>
    </row>
    <row r="17" spans="1:32" ht="13.5" customHeight="1">
      <c r="A17" s="13"/>
      <c r="R17" s="4"/>
      <c r="S17" s="4"/>
      <c r="T17" s="4"/>
      <c r="U17" s="16" t="s">
        <v>76</v>
      </c>
      <c r="V17" s="16"/>
      <c r="W17" s="16"/>
      <c r="X17" s="8">
        <f>IF((IF(OR(SUMPRODUCT(--('Repartition stock'!$A$6:$A$433="2026Q3"),--('Repartition stock'!$B$6:$B$433="IT"),--('Repartition stock'!$E$6:$E$433="Millésime"),--('Repartition stock'!$F$6:$F$433="2020"))=0,SUMPRODUCT(--('Repartition stock'!$A$6:$A$433="2026Q3"),--('Repartition stock'!$B$6:$B$433="IT"),--('Repartition stock'!$E$6:$E$433="Millésime"),--('Repartition stock'!$F$6:$F$433="2020"),--('Repartition stock'!$G$6:$G$433="n.d."))&gt;0),"n.d.",SUMPRODUCT(--('Repartition stock'!$A$6:$A$433="2026Q3"),--('Repartition stock'!$B$6:$B$433="IT"),--('Repartition stock'!$E$6:$E$433="Millésime"),--('Repartition stock'!$F$6:$F$433="2020"),'Repartition stock'!$G$6:$G$433)))="n.d.",0,IF(OR(SUMPRODUCT(--('Repartition stock'!$A$6:$A$433="2026Q3"),--('Repartition stock'!$B$6:$B$433="IT"),--('Repartition stock'!$E$6:$E$433="Millésime"),--('Repartition stock'!$F$6:$F$433="2020"))=0,SUMPRODUCT(--('Repartition stock'!$A$6:$A$433="2026Q3"),--('Repartition stock'!$B$6:$B$433="IT"),--('Repartition stock'!$E$6:$E$433="Millésime"),--('Repartition stock'!$F$6:$F$433="2020"),--('Repartition stock'!$G$6:$G$433="n.d."))&gt;0),"n.d.",SUMPRODUCT(--('Repartition stock'!$A$6:$A$433="2026Q3"),--('Repartition stock'!$B$6:$B$433="IT"),--('Repartition stock'!$E$6:$E$433="Millésime"),--('Repartition stock'!$F$6:$F$433="2020"),'Repartition stock'!$G$6:$G$433)))</f>
        <v>15750.0</v>
      </c>
      <c r="Y17" s="8"/>
      <c r="Z17" s="8">
        <f>IF((IF(OR(SUMPRODUCT(--('Repartition stock'!$A$6:$A$433="2026Q3"),--('Repartition stock'!$B$6:$B$433="IT"),--('Repartition stock'!$E$6:$E$433="Millésime"),--('Repartition stock'!$F$6:$F$433="2020"))=0,SUMPRODUCT(--('Repartition stock'!$A$6:$A$433="2026Q3"),--('Repartition stock'!$B$6:$B$433="IT"),--('Repartition stock'!$E$6:$E$433="Millésime"),--('Repartition stock'!$F$6:$F$433="2020"),--('Repartition stock'!$J$6:$J$433="n.d."))&gt;0),"n.d.",SUMPRODUCT(--('Repartition stock'!$A$6:$A$433="2026Q3"),--('Repartition stock'!$B$6:$B$433="IT"),--('Repartition stock'!$E$6:$E$433="Millésime"),--('Repartition stock'!$F$6:$F$433="2020"),'Repartition stock'!$J$6:$J$433)))="n.d.",0,IF(OR(SUMPRODUCT(--('Repartition stock'!$A$6:$A$433="2026Q3"),--('Repartition stock'!$B$6:$B$433="IT"),--('Repartition stock'!$E$6:$E$433="Millésime"),--('Repartition stock'!$F$6:$F$433="2020"))=0,SUMPRODUCT(--('Repartition stock'!$A$6:$A$433="2026Q3"),--('Repartition stock'!$B$6:$B$433="IT"),--('Repartition stock'!$E$6:$E$433="Millésime"),--('Repartition stock'!$F$6:$F$433="2020"),--('Repartition stock'!$J$6:$J$433="n.d."))&gt;0),"n.d.",SUMPRODUCT(--('Repartition stock'!$A$6:$A$433="2026Q3"),--('Repartition stock'!$B$6:$B$433="IT"),--('Repartition stock'!$E$6:$E$433="Millésime"),--('Repartition stock'!$F$6:$F$433="2020"),'Repartition stock'!$J$6:$J$433)))</f>
        <v>197087.0</v>
      </c>
      <c r="AA17" s="8"/>
      <c r="AB17" s="8"/>
      <c r="AC17" s="7">
        <f>IF((IF(OR(COUNT(X17,X24)&lt;&gt;2,X24=0),"n.d.",X17/X24))="n.d.",0,IF(OR(COUNT(X17,X24)&lt;&gt;2,X24=0),"n.d.",X17/X24))</f>
        <v>0.14310896270989315</v>
      </c>
      <c r="AD17" s="7"/>
      <c r="AE17" s="7">
        <f>IF((IF(OR(COUNT(Z17,Z24)&lt;&gt;2,Z24=0),"n.d.",Z17/Z24))="n.d.",0,IF(OR(COUNT(Z17,Z24)&lt;&gt;2,Z24=0),"n.d.",Z17/Z24))</f>
        <v>0.05738611845672114</v>
      </c>
      <c r="AF17" s="7"/>
    </row>
    <row r="18" spans="1:32" ht="13.5" customHeight="1">
      <c r="A18" s="13"/>
      <c r="R18" s="4"/>
      <c r="S18" s="4"/>
      <c r="T18" s="4"/>
      <c r="U18" s="16" t="s">
        <v>77</v>
      </c>
      <c r="V18" s="16"/>
      <c r="W18" s="16"/>
      <c r="X18" s="8">
        <f>IF((IF(OR(SUMPRODUCT(--('Repartition stock'!$A$6:$A$433="2026Q3"),--('Repartition stock'!$B$6:$B$433="IT"),--('Repartition stock'!$E$6:$E$433="Millésime"),--('Repartition stock'!$F$6:$F$433="2021"))=0,SUMPRODUCT(--('Repartition stock'!$A$6:$A$433="2026Q3"),--('Repartition stock'!$B$6:$B$433="IT"),--('Repartition stock'!$E$6:$E$433="Millésime"),--('Repartition stock'!$F$6:$F$433="2021"),--('Repartition stock'!$G$6:$G$433="n.d."))&gt;0),"n.d.",SUMPRODUCT(--('Repartition stock'!$A$6:$A$433="2026Q3"),--('Repartition stock'!$B$6:$B$433="IT"),--('Repartition stock'!$E$6:$E$433="Millésime"),--('Repartition stock'!$F$6:$F$433="2021"),'Repartition stock'!$G$6:$G$433)))="n.d.",0,IF(OR(SUMPRODUCT(--('Repartition stock'!$A$6:$A$433="2026Q3"),--('Repartition stock'!$B$6:$B$433="IT"),--('Repartition stock'!$E$6:$E$433="Millésime"),--('Repartition stock'!$F$6:$F$433="2021"))=0,SUMPRODUCT(--('Repartition stock'!$A$6:$A$433="2026Q3"),--('Repartition stock'!$B$6:$B$433="IT"),--('Repartition stock'!$E$6:$E$433="Millésime"),--('Repartition stock'!$F$6:$F$433="2021"),--('Repartition stock'!$G$6:$G$433="n.d."))&gt;0),"n.d.",SUMPRODUCT(--('Repartition stock'!$A$6:$A$433="2026Q3"),--('Repartition stock'!$B$6:$B$433="IT"),--('Repartition stock'!$E$6:$E$433="Millésime"),--('Repartition stock'!$F$6:$F$433="2021"),'Repartition stock'!$G$6:$G$433)))</f>
        <v>12911.0</v>
      </c>
      <c r="Y18" s="8"/>
      <c r="Z18" s="8">
        <f>IF((IF(OR(SUMPRODUCT(--('Repartition stock'!$A$6:$A$433="2026Q3"),--('Repartition stock'!$B$6:$B$433="IT"),--('Repartition stock'!$E$6:$E$433="Millésime"),--('Repartition stock'!$F$6:$F$433="2021"))=0,SUMPRODUCT(--('Repartition stock'!$A$6:$A$433="2026Q3"),--('Repartition stock'!$B$6:$B$433="IT"),--('Repartition stock'!$E$6:$E$433="Millésime"),--('Repartition stock'!$F$6:$F$433="2021"),--('Repartition stock'!$J$6:$J$433="n.d."))&gt;0),"n.d.",SUMPRODUCT(--('Repartition stock'!$A$6:$A$433="2026Q3"),--('Repartition stock'!$B$6:$B$433="IT"),--('Repartition stock'!$E$6:$E$433="Millésime"),--('Repartition stock'!$F$6:$F$433="2021"),'Repartition stock'!$J$6:$J$433)))="n.d.",0,IF(OR(SUMPRODUCT(--('Repartition stock'!$A$6:$A$433="2026Q3"),--('Repartition stock'!$B$6:$B$433="IT"),--('Repartition stock'!$E$6:$E$433="Millésime"),--('Repartition stock'!$F$6:$F$433="2021"))=0,SUMPRODUCT(--('Repartition stock'!$A$6:$A$433="2026Q3"),--('Repartition stock'!$B$6:$B$433="IT"),--('Repartition stock'!$E$6:$E$433="Millésime"),--('Repartition stock'!$F$6:$F$433="2021"),--('Repartition stock'!$J$6:$J$433="n.d."))&gt;0),"n.d.",SUMPRODUCT(--('Repartition stock'!$A$6:$A$433="2026Q3"),--('Repartition stock'!$B$6:$B$433="IT"),--('Repartition stock'!$E$6:$E$433="Millésime"),--('Repartition stock'!$F$6:$F$433="2021"),'Repartition stock'!$J$6:$J$433)))</f>
        <v>151747.0</v>
      </c>
      <c r="AA18" s="8"/>
      <c r="AB18" s="8"/>
      <c r="AC18" s="7">
        <f>IF((IF(OR(COUNT(X18,X24)&lt;&gt;2,X24=0),"n.d.",X18/X24))="n.d.",0,IF(OR(COUNT(X18,X24)&lt;&gt;2,X24=0),"n.d.",X18/X24))</f>
        <v>0.11731300428872574</v>
      </c>
      <c r="AD18" s="7"/>
      <c r="AE18" s="7">
        <f>IF((IF(OR(COUNT(Z18,Z24)&lt;&gt;2,Z24=0),"n.d.",Z18/Z24))="n.d.",0,IF(OR(COUNT(Z18,Z24)&lt;&gt;2,Z24=0),"n.d.",Z18/Z24))</f>
        <v>0.04418440240833776</v>
      </c>
      <c r="AF18" s="7"/>
    </row>
    <row r="19" spans="1:32" ht="13.5" customHeight="1">
      <c r="A19" s="13"/>
      <c r="R19" s="4"/>
      <c r="S19" s="4"/>
      <c r="T19" s="4"/>
      <c r="U19" s="16" t="s">
        <v>78</v>
      </c>
      <c r="V19" s="16"/>
      <c r="W19" s="16"/>
      <c r="X19" s="8">
        <f>IF((IF(OR(SUMPRODUCT(--('Repartition stock'!$A$6:$A$433="2026Q3"),--('Repartition stock'!$B$6:$B$433="IT"),--('Repartition stock'!$E$6:$E$433="Millésime"),--('Repartition stock'!$F$6:$F$433="2022"))=0,SUMPRODUCT(--('Repartition stock'!$A$6:$A$433="2026Q3"),--('Repartition stock'!$B$6:$B$433="IT"),--('Repartition stock'!$E$6:$E$433="Millésime"),--('Repartition stock'!$F$6:$F$433="2022"),--('Repartition stock'!$G$6:$G$433="n.d."))&gt;0),"n.d.",SUMPRODUCT(--('Repartition stock'!$A$6:$A$433="2026Q3"),--('Repartition stock'!$B$6:$B$433="IT"),--('Repartition stock'!$E$6:$E$433="Millésime"),--('Repartition stock'!$F$6:$F$433="2022"),'Repartition stock'!$G$6:$G$433)))="n.d.",0,IF(OR(SUMPRODUCT(--('Repartition stock'!$A$6:$A$433="2026Q3"),--('Repartition stock'!$B$6:$B$433="IT"),--('Repartition stock'!$E$6:$E$433="Millésime"),--('Repartition stock'!$F$6:$F$433="2022"))=0,SUMPRODUCT(--('Repartition stock'!$A$6:$A$433="2026Q3"),--('Repartition stock'!$B$6:$B$433="IT"),--('Repartition stock'!$E$6:$E$433="Millésime"),--('Repartition stock'!$F$6:$F$433="2022"),--('Repartition stock'!$G$6:$G$433="n.d."))&gt;0),"n.d.",SUMPRODUCT(--('Repartition stock'!$A$6:$A$433="2026Q3"),--('Repartition stock'!$B$6:$B$433="IT"),--('Repartition stock'!$E$6:$E$433="Millésime"),--('Repartition stock'!$F$6:$F$433="2022"),'Repartition stock'!$G$6:$G$433)))</f>
        <v>10802.0</v>
      </c>
      <c r="Y19" s="8"/>
      <c r="Z19" s="8">
        <f>IF((IF(OR(SUMPRODUCT(--('Repartition stock'!$A$6:$A$433="2026Q3"),--('Repartition stock'!$B$6:$B$433="IT"),--('Repartition stock'!$E$6:$E$433="Millésime"),--('Repartition stock'!$F$6:$F$433="2022"))=0,SUMPRODUCT(--('Repartition stock'!$A$6:$A$433="2026Q3"),--('Repartition stock'!$B$6:$B$433="IT"),--('Repartition stock'!$E$6:$E$433="Millésime"),--('Repartition stock'!$F$6:$F$433="2022"),--('Repartition stock'!$J$6:$J$433="n.d."))&gt;0),"n.d.",SUMPRODUCT(--('Repartition stock'!$A$6:$A$433="2026Q3"),--('Repartition stock'!$B$6:$B$433="IT"),--('Repartition stock'!$E$6:$E$433="Millésime"),--('Repartition stock'!$F$6:$F$433="2022"),'Repartition stock'!$J$6:$J$433)))="n.d.",0,IF(OR(SUMPRODUCT(--('Repartition stock'!$A$6:$A$433="2026Q3"),--('Repartition stock'!$B$6:$B$433="IT"),--('Repartition stock'!$E$6:$E$433="Millésime"),--('Repartition stock'!$F$6:$F$433="2022"))=0,SUMPRODUCT(--('Repartition stock'!$A$6:$A$433="2026Q3"),--('Repartition stock'!$B$6:$B$433="IT"),--('Repartition stock'!$E$6:$E$433="Millésime"),--('Repartition stock'!$F$6:$F$433="2022"),--('Repartition stock'!$J$6:$J$433="n.d."))&gt;0),"n.d.",SUMPRODUCT(--('Repartition stock'!$A$6:$A$433="2026Q3"),--('Repartition stock'!$B$6:$B$433="IT"),--('Repartition stock'!$E$6:$E$433="Millésime"),--('Repartition stock'!$F$6:$F$433="2022"),'Repartition stock'!$J$6:$J$433)))</f>
        <v>137964.0</v>
      </c>
      <c r="AA19" s="8"/>
      <c r="AB19" s="8"/>
      <c r="AC19" s="7">
        <f>IF((IF(OR(COUNT(X19,X24)&lt;&gt;2,X24=0),"n.d.",X19/X24))="n.d.",0,IF(OR(COUNT(X19,X24)&lt;&gt;2,X24=0),"n.d.",X19/X24))</f>
        <v>0.09815003271062005</v>
      </c>
      <c r="AD19" s="7"/>
      <c r="AE19" s="7">
        <f>IF((IF(OR(COUNT(Z19,Z24)&lt;&gt;2,Z24=0),"n.d.",Z19/Z24))="n.d.",0,IF(OR(COUNT(Z19,Z24)&lt;&gt;2,Z24=0),"n.d.",Z19/Z24))</f>
        <v>0.0401711855513711</v>
      </c>
      <c r="AF19" s="7"/>
    </row>
    <row r="20" spans="1:32" ht="13.5" customHeight="1">
      <c r="A20" s="13"/>
      <c r="R20" s="4"/>
      <c r="S20" s="4"/>
      <c r="T20" s="4"/>
      <c r="U20" s="16" t="s">
        <v>79</v>
      </c>
      <c r="V20" s="16"/>
      <c r="W20" s="16"/>
      <c r="X20" s="8">
        <f>IF((IF(OR(SUMPRODUCT(--('Repartition stock'!$A$6:$A$433="2026Q3"),--('Repartition stock'!$B$6:$B$433="IT"),--('Repartition stock'!$E$6:$E$433="Millésime"),--('Repartition stock'!$F$6:$F$433="2023"))=0,SUMPRODUCT(--('Repartition stock'!$A$6:$A$433="2026Q3"),--('Repartition stock'!$B$6:$B$433="IT"),--('Repartition stock'!$E$6:$E$433="Millésime"),--('Repartition stock'!$F$6:$F$433="2023"),--('Repartition stock'!$G$6:$G$433="n.d."))&gt;0),"n.d.",SUMPRODUCT(--('Repartition stock'!$A$6:$A$433="2026Q3"),--('Repartition stock'!$B$6:$B$433="IT"),--('Repartition stock'!$E$6:$E$433="Millésime"),--('Repartition stock'!$F$6:$F$433="2023"),'Repartition stock'!$G$6:$G$433)))="n.d.",0,IF(OR(SUMPRODUCT(--('Repartition stock'!$A$6:$A$433="2026Q3"),--('Repartition stock'!$B$6:$B$433="IT"),--('Repartition stock'!$E$6:$E$433="Millésime"),--('Repartition stock'!$F$6:$F$433="2023"))=0,SUMPRODUCT(--('Repartition stock'!$A$6:$A$433="2026Q3"),--('Repartition stock'!$B$6:$B$433="IT"),--('Repartition stock'!$E$6:$E$433="Millésime"),--('Repartition stock'!$F$6:$F$433="2023"),--('Repartition stock'!$G$6:$G$433="n.d."))&gt;0),"n.d.",SUMPRODUCT(--('Repartition stock'!$A$6:$A$433="2026Q3"),--('Repartition stock'!$B$6:$B$433="IT"),--('Repartition stock'!$E$6:$E$433="Millésime"),--('Repartition stock'!$F$6:$F$433="2023"),'Repartition stock'!$G$6:$G$433)))</f>
        <v>11891.0</v>
      </c>
      <c r="Y20" s="8"/>
      <c r="Z20" s="8">
        <f>IF((IF(OR(SUMPRODUCT(--('Repartition stock'!$A$6:$A$433="2026Q3"),--('Repartition stock'!$B$6:$B$433="IT"),--('Repartition stock'!$E$6:$E$433="Millésime"),--('Repartition stock'!$F$6:$F$433="2023"))=0,SUMPRODUCT(--('Repartition stock'!$A$6:$A$433="2026Q3"),--('Repartition stock'!$B$6:$B$433="IT"),--('Repartition stock'!$E$6:$E$433="Millésime"),--('Repartition stock'!$F$6:$F$433="2023"),--('Repartition stock'!$J$6:$J$433="n.d."))&gt;0),"n.d.",SUMPRODUCT(--('Repartition stock'!$A$6:$A$433="2026Q3"),--('Repartition stock'!$B$6:$B$433="IT"),--('Repartition stock'!$E$6:$E$433="Millésime"),--('Repartition stock'!$F$6:$F$433="2023"),'Repartition stock'!$J$6:$J$433)))="n.d.",0,IF(OR(SUMPRODUCT(--('Repartition stock'!$A$6:$A$433="2026Q3"),--('Repartition stock'!$B$6:$B$433="IT"),--('Repartition stock'!$E$6:$E$433="Millésime"),--('Repartition stock'!$F$6:$F$433="2023"))=0,SUMPRODUCT(--('Repartition stock'!$A$6:$A$433="2026Q3"),--('Repartition stock'!$B$6:$B$433="IT"),--('Repartition stock'!$E$6:$E$433="Millésime"),--('Repartition stock'!$F$6:$F$433="2023"),--('Repartition stock'!$J$6:$J$433="n.d."))&gt;0),"n.d.",SUMPRODUCT(--('Repartition stock'!$A$6:$A$433="2026Q3"),--('Repartition stock'!$B$6:$B$433="IT"),--('Repartition stock'!$E$6:$E$433="Millésime"),--('Repartition stock'!$F$6:$F$433="2023"),'Repartition stock'!$J$6:$J$433)))</f>
        <v>169085.0</v>
      </c>
      <c r="AA20" s="8"/>
      <c r="AB20" s="8"/>
      <c r="AC20" s="7">
        <f>IF((IF(OR(COUNT(X20,X24)&lt;&gt;2,X24=0),"n.d.",X20/X24))="n.d.",0,IF(OR(COUNT(X20,X24)&lt;&gt;2,X24=0),"n.d.",X20/X24))</f>
        <v>0.10804499527513266</v>
      </c>
      <c r="AD20" s="7"/>
      <c r="AE20" s="7">
        <f>IF((IF(OR(COUNT(Z20,Z24)&lt;&gt;2,Z24=0),"n.d.",Z20/Z24))="n.d.",0,IF(OR(COUNT(Z20,Z24)&lt;&gt;2,Z24=0),"n.d.",Z20/Z24))</f>
        <v>0.049232733966495475</v>
      </c>
      <c r="AF20" s="7"/>
    </row>
    <row r="21" spans="1:32" ht="13.5" customHeight="1">
      <c r="A21" s="13"/>
      <c r="R21" s="4"/>
      <c r="S21" s="4"/>
      <c r="T21" s="4"/>
      <c r="U21" s="16" t="s">
        <v>80</v>
      </c>
      <c r="V21" s="16"/>
      <c r="W21" s="16"/>
      <c r="X21" s="8">
        <f>IF((IF(OR(SUMPRODUCT(--('Repartition stock'!$A$6:$A$433="2026Q3"),--('Repartition stock'!$B$6:$B$433="IT"),--('Repartition stock'!$E$6:$E$433="Millésime"),--('Repartition stock'!$F$6:$F$433="2024"))=0,SUMPRODUCT(--('Repartition stock'!$A$6:$A$433="2026Q3"),--('Repartition stock'!$B$6:$B$433="IT"),--('Repartition stock'!$E$6:$E$433="Millésime"),--('Repartition stock'!$F$6:$F$433="2024"),--('Repartition stock'!$G$6:$G$433="n.d."))&gt;0),"n.d.",SUMPRODUCT(--('Repartition stock'!$A$6:$A$433="2026Q3"),--('Repartition stock'!$B$6:$B$433="IT"),--('Repartition stock'!$E$6:$E$433="Millésime"),--('Repartition stock'!$F$6:$F$433="2024"),'Repartition stock'!$G$6:$G$433)))="n.d.",0,IF(OR(SUMPRODUCT(--('Repartition stock'!$A$6:$A$433="2026Q3"),--('Repartition stock'!$B$6:$B$433="IT"),--('Repartition stock'!$E$6:$E$433="Millésime"),--('Repartition stock'!$F$6:$F$433="2024"))=0,SUMPRODUCT(--('Repartition stock'!$A$6:$A$433="2026Q3"),--('Repartition stock'!$B$6:$B$433="IT"),--('Repartition stock'!$E$6:$E$433="Millésime"),--('Repartition stock'!$F$6:$F$433="2024"),--('Repartition stock'!$G$6:$G$433="n.d."))&gt;0),"n.d.",SUMPRODUCT(--('Repartition stock'!$A$6:$A$433="2026Q3"),--('Repartition stock'!$B$6:$B$433="IT"),--('Repartition stock'!$E$6:$E$433="Millésime"),--('Repartition stock'!$F$6:$F$433="2024"),'Repartition stock'!$G$6:$G$433)))</f>
        <v>12689.0</v>
      </c>
      <c r="Y21" s="8"/>
      <c r="Z21" s="8">
        <f>IF((IF(OR(SUMPRODUCT(--('Repartition stock'!$A$6:$A$433="2026Q3"),--('Repartition stock'!$B$6:$B$433="IT"),--('Repartition stock'!$E$6:$E$433="Millésime"),--('Repartition stock'!$F$6:$F$433="2024"))=0,SUMPRODUCT(--('Repartition stock'!$A$6:$A$433="2026Q3"),--('Repartition stock'!$B$6:$B$433="IT"),--('Repartition stock'!$E$6:$E$433="Millésime"),--('Repartition stock'!$F$6:$F$433="2024"),--('Repartition stock'!$J$6:$J$433="n.d."))&gt;0),"n.d.",SUMPRODUCT(--('Repartition stock'!$A$6:$A$433="2026Q3"),--('Repartition stock'!$B$6:$B$433="IT"),--('Repartition stock'!$E$6:$E$433="Millésime"),--('Repartition stock'!$F$6:$F$433="2024"),'Repartition stock'!$J$6:$J$433)))="n.d.",0,IF(OR(SUMPRODUCT(--('Repartition stock'!$A$6:$A$433="2026Q3"),--('Repartition stock'!$B$6:$B$433="IT"),--('Repartition stock'!$E$6:$E$433="Millésime"),--('Repartition stock'!$F$6:$F$433="2024"))=0,SUMPRODUCT(--('Repartition stock'!$A$6:$A$433="2026Q3"),--('Repartition stock'!$B$6:$B$433="IT"),--('Repartition stock'!$E$6:$E$433="Millésime"),--('Repartition stock'!$F$6:$F$433="2024"),--('Repartition stock'!$J$6:$J$433="n.d."))&gt;0),"n.d.",SUMPRODUCT(--('Repartition stock'!$A$6:$A$433="2026Q3"),--('Repartition stock'!$B$6:$B$433="IT"),--('Repartition stock'!$E$6:$E$433="Millésime"),--('Repartition stock'!$F$6:$F$433="2024"),'Repartition stock'!$J$6:$J$433)))</f>
        <v>296076.0</v>
      </c>
      <c r="AA21" s="8"/>
      <c r="AB21" s="8"/>
      <c r="AC21" s="7">
        <f>IF((IF(OR(COUNT(X21,X24)&lt;&gt;2,X24=0),"n.d.",X21/X24))="n.d.",0,IF(OR(COUNT(X21,X24)&lt;&gt;2,X24=0),"n.d.",X21/X24))</f>
        <v>0.11529584938576724</v>
      </c>
      <c r="AD21" s="7"/>
      <c r="AE21" s="7">
        <f>IF((IF(OR(COUNT(Z21,Z24)&lt;&gt;2,Z24=0),"n.d.",Z21/Z24))="n.d.",0,IF(OR(COUNT(Z21,Z24)&lt;&gt;2,Z24=0),"n.d.",Z21/Z24))</f>
        <v>0.086208894590674</v>
      </c>
      <c r="AF21" s="7"/>
    </row>
    <row r="22" spans="1:32" ht="13.5" customHeight="1">
      <c r="A22" s="13"/>
      <c r="R22" s="4"/>
      <c r="S22" s="4"/>
      <c r="T22" s="4"/>
      <c r="U22" s="16" t="s">
        <v>50</v>
      </c>
      <c r="V22" s="16"/>
      <c r="W22" s="16"/>
      <c r="X22" s="8">
        <f>IF((IF(OR(SUMPRODUCT(--('Repartition stock'!$A$6:$A$433="2026Q3"),--('Repartition stock'!$B$6:$B$433="IT"),--('Repartition stock'!$E$6:$E$433="Millésime"),--('Repartition stock'!$F$6:$F$433="2025"))=0,SUMPRODUCT(--('Repartition stock'!$A$6:$A$433="2026Q3"),--('Repartition stock'!$B$6:$B$433="IT"),--('Repartition stock'!$E$6:$E$433="Millésime"),--('Repartition stock'!$F$6:$F$433="2025"),--('Repartition stock'!$G$6:$G$433="n.d."))&gt;0),"n.d.",SUMPRODUCT(--('Repartition stock'!$A$6:$A$433="2026Q3"),--('Repartition stock'!$B$6:$B$433="IT"),--('Repartition stock'!$E$6:$E$433="Millésime"),--('Repartition stock'!$F$6:$F$433="2025"),'Repartition stock'!$G$6:$G$433)))="n.d.",0,IF(OR(SUMPRODUCT(--('Repartition stock'!$A$6:$A$433="2026Q3"),--('Repartition stock'!$B$6:$B$433="IT"),--('Repartition stock'!$E$6:$E$433="Millésime"),--('Repartition stock'!$F$6:$F$433="2025"))=0,SUMPRODUCT(--('Repartition stock'!$A$6:$A$433="2026Q3"),--('Repartition stock'!$B$6:$B$433="IT"),--('Repartition stock'!$E$6:$E$433="Millésime"),--('Repartition stock'!$F$6:$F$433="2025"),--('Repartition stock'!$G$6:$G$433="n.d."))&gt;0),"n.d.",SUMPRODUCT(--('Repartition stock'!$A$6:$A$433="2026Q3"),--('Repartition stock'!$B$6:$B$433="IT"),--('Repartition stock'!$E$6:$E$433="Millésime"),--('Repartition stock'!$F$6:$F$433="2025"),'Repartition stock'!$G$6:$G$433)))</f>
        <v>7968.0</v>
      </c>
      <c r="Y22" s="8"/>
      <c r="Z22" s="8">
        <f>IF((IF(OR(SUMPRODUCT(--('Repartition stock'!$A$6:$A$433="2026Q3"),--('Repartition stock'!$B$6:$B$433="IT"),--('Repartition stock'!$E$6:$E$433="Millésime"),--('Repartition stock'!$F$6:$F$433="2025"))=0,SUMPRODUCT(--('Repartition stock'!$A$6:$A$433="2026Q3"),--('Repartition stock'!$B$6:$B$433="IT"),--('Repartition stock'!$E$6:$E$433="Millésime"),--('Repartition stock'!$F$6:$F$433="2025"),--('Repartition stock'!$J$6:$J$433="n.d."))&gt;0),"n.d.",SUMPRODUCT(--('Repartition stock'!$A$6:$A$433="2026Q3"),--('Repartition stock'!$B$6:$B$433="IT"),--('Repartition stock'!$E$6:$E$433="Millésime"),--('Repartition stock'!$F$6:$F$433="2025"),'Repartition stock'!$J$6:$J$433)))="n.d.",0,IF(OR(SUMPRODUCT(--('Repartition stock'!$A$6:$A$433="2026Q3"),--('Repartition stock'!$B$6:$B$433="IT"),--('Repartition stock'!$E$6:$E$433="Millésime"),--('Repartition stock'!$F$6:$F$433="2025"))=0,SUMPRODUCT(--('Repartition stock'!$A$6:$A$433="2026Q3"),--('Repartition stock'!$B$6:$B$433="IT"),--('Repartition stock'!$E$6:$E$433="Millésime"),--('Repartition stock'!$F$6:$F$433="2025"),--('Repartition stock'!$J$6:$J$433="n.d."))&gt;0),"n.d.",SUMPRODUCT(--('Repartition stock'!$A$6:$A$433="2026Q3"),--('Repartition stock'!$B$6:$B$433="IT"),--('Repartition stock'!$E$6:$E$433="Millésime"),--('Repartition stock'!$F$6:$F$433="2025"),'Repartition stock'!$J$6:$J$433)))</f>
        <v>339318.0</v>
      </c>
      <c r="AA22" s="8"/>
      <c r="AB22" s="8"/>
      <c r="AC22" s="7">
        <f>IF((IF(OR(COUNT(X22,X24)&lt;&gt;2,X24=0),"n.d.",X22/X24))="n.d.",0,IF(OR(COUNT(X22,X24)&lt;&gt;2,X24=0),"n.d.",X22/X24))</f>
        <v>0.07239950570618595</v>
      </c>
      <c r="AD22" s="7"/>
      <c r="AE22" s="7">
        <f>IF((IF(OR(COUNT(Z22,Z24)&lt;&gt;2,Z24=0),"n.d.",Z22/Z24))="n.d.",0,IF(OR(COUNT(Z22,Z24)&lt;&gt;2,Z24=0),"n.d.",Z22/Z24))</f>
        <v>0.09879973282102678</v>
      </c>
      <c r="AF22" s="7"/>
    </row>
    <row r="23" spans="1:32" ht="13.5" customHeight="1">
      <c r="A23" s="13"/>
      <c r="R23" s="4"/>
      <c r="S23" s="4"/>
      <c r="T23" s="4"/>
      <c r="U23" s="16" t="s">
        <v>51</v>
      </c>
      <c r="V23" s="16"/>
      <c r="W23" s="16"/>
      <c r="X23" s="8">
        <f>IF((IF(OR(SUMPRODUCT(--('Repartition stock'!$A$6:$A$433="2026Q3"),--('Repartition stock'!$B$6:$B$433="IT"),--('Repartition stock'!$E$6:$E$433="Millésime"),--('Repartition stock'!$F$6:$F$433="2026"))=0,SUMPRODUCT(--('Repartition stock'!$A$6:$A$433="2026Q3"),--('Repartition stock'!$B$6:$B$433="IT"),--('Repartition stock'!$E$6:$E$433="Millésime"),--('Repartition stock'!$F$6:$F$433="2026"),--('Repartition stock'!$G$6:$G$433="n.d."))&gt;0),"n.d.",SUMPRODUCT(--('Repartition stock'!$A$6:$A$433="2026Q3"),--('Repartition stock'!$B$6:$B$433="IT"),--('Repartition stock'!$E$6:$E$433="Millésime"),--('Repartition stock'!$F$6:$F$433="2026"),'Repartition stock'!$G$6:$G$433)))="n.d.",0,IF(OR(SUMPRODUCT(--('Repartition stock'!$A$6:$A$433="2026Q3"),--('Repartition stock'!$B$6:$B$433="IT"),--('Repartition stock'!$E$6:$E$433="Millésime"),--('Repartition stock'!$F$6:$F$433="2026"))=0,SUMPRODUCT(--('Repartition stock'!$A$6:$A$433="2026Q3"),--('Repartition stock'!$B$6:$B$433="IT"),--('Repartition stock'!$E$6:$E$433="Millésime"),--('Repartition stock'!$F$6:$F$433="2026"),--('Repartition stock'!$G$6:$G$433="n.d."))&gt;0),"n.d.",SUMPRODUCT(--('Repartition stock'!$A$6:$A$433="2026Q3"),--('Repartition stock'!$B$6:$B$433="IT"),--('Repartition stock'!$E$6:$E$433="Millésime"),--('Repartition stock'!$F$6:$F$433="2026"),'Repartition stock'!$G$6:$G$433)))</f>
        <v>7906.0</v>
      </c>
      <c r="Y23" s="8"/>
      <c r="Z23" s="8">
        <f>IF((IF(OR(SUMPRODUCT(--('Repartition stock'!$A$6:$A$433="2026Q3"),--('Repartition stock'!$B$6:$B$433="IT"),--('Repartition stock'!$E$6:$E$433="Millésime"),--('Repartition stock'!$F$6:$F$433="2026"))=0,SUMPRODUCT(--('Repartition stock'!$A$6:$A$433="2026Q3"),--('Repartition stock'!$B$6:$B$433="IT"),--('Repartition stock'!$E$6:$E$433="Millésime"),--('Repartition stock'!$F$6:$F$433="2026"),--('Repartition stock'!$J$6:$J$433="n.d."))&gt;0),"n.d.",SUMPRODUCT(--('Repartition stock'!$A$6:$A$433="2026Q3"),--('Repartition stock'!$B$6:$B$433="IT"),--('Repartition stock'!$E$6:$E$433="Millésime"),--('Repartition stock'!$F$6:$F$433="2026"),'Repartition stock'!$J$6:$J$433)))="n.d.",0,IF(OR(SUMPRODUCT(--('Repartition stock'!$A$6:$A$433="2026Q3"),--('Repartition stock'!$B$6:$B$433="IT"),--('Repartition stock'!$E$6:$E$433="Millésime"),--('Repartition stock'!$F$6:$F$433="2026"))=0,SUMPRODUCT(--('Repartition stock'!$A$6:$A$433="2026Q3"),--('Repartition stock'!$B$6:$B$433="IT"),--('Repartition stock'!$E$6:$E$433="Millésime"),--('Repartition stock'!$F$6:$F$433="2026"),--('Repartition stock'!$J$6:$J$433="n.d."))&gt;0),"n.d.",SUMPRODUCT(--('Repartition stock'!$A$6:$A$433="2026Q3"),--('Repartition stock'!$B$6:$B$433="IT"),--('Repartition stock'!$E$6:$E$433="Millésime"),--('Repartition stock'!$F$6:$F$433="2026"),'Repartition stock'!$J$6:$J$433)))</f>
        <v>1333869.0</v>
      </c>
      <c r="AA23" s="8"/>
      <c r="AB23" s="8"/>
      <c r="AC23" s="7">
        <f>IF((IF(OR(COUNT(X23,X24)&lt;&gt;2,X24=0),"n.d.",X23/X24))="n.d.",0,IF(OR(COUNT(X23,X24)&lt;&gt;2,X24=0),"n.d.",X23/X24))</f>
        <v>0.07183615613869303</v>
      </c>
      <c r="AD23" s="7"/>
      <c r="AE23" s="7">
        <f>IF((IF(OR(COUNT(Z23,Z24)&lt;&gt;2,Z24=0),"n.d.",Z23/Z24))="n.d.",0,IF(OR(COUNT(Z23,Z24)&lt;&gt;2,Z24=0),"n.d.",Z23/Z24))</f>
        <v>0.3883846445465615</v>
      </c>
      <c r="AF23" s="7"/>
    </row>
    <row r="24" spans="1:32" ht="13.5" customHeight="1">
      <c r="A24" s="13"/>
      <c r="R24" s="17" t="s">
        <v>71</v>
      </c>
      <c r="S24" s="17"/>
      <c r="T24" s="17"/>
      <c r="U24" s="17"/>
      <c r="V24" s="17"/>
      <c r="W24" s="17"/>
      <c r="X24" s="17">
        <f>IF((IF(COUNT(X14:X23)=10,SUM(X14:X23),"n.d."))="n.d.",0,IF(COUNT(X14:X23)=10,SUM(X14:X23),"n.d."))</f>
        <v>110056.0</v>
      </c>
      <c r="Y24" s="17"/>
      <c r="Z24" s="17">
        <f>IF((IF(COUNT(Z14:Z23)=10,SUM(Z14:Z23),"n.d."))="n.d.",0,IF(COUNT(Z14:Z23)=10,SUM(Z14:Z23),"n.d."))</f>
        <v>3434402.0</v>
      </c>
      <c r="AA24" s="17"/>
      <c r="AB24" s="17"/>
      <c r="AC24" s="10">
        <f>IF((IF(OR(NOT(ISNUMBER(X24)),X24=0),"n.d.",1))="n.d.",0,IF(OR(NOT(ISNUMBER(X24)),X24=0),"n.d.",1))</f>
        <v>1.0</v>
      </c>
      <c r="AD24" s="10"/>
      <c r="AE24" s="10">
        <f>IF((IF(OR(NOT(ISNUMBER(Z24)),Z24=0),"n.d.",1))="n.d.",0,IF(OR(NOT(ISNUMBER(Z24)),Z24=0),"n.d.",1))</f>
        <v>1.0</v>
      </c>
      <c r="AF24" s="10"/>
    </row>
    <row r="25" spans="1:32" ht="13.5" customHeight="1">
      <c r="A25" s="13"/>
    </row>
    <row r="26" spans="1:32" ht="13.5" customHeight="1">
      <c r="A26" s="13"/>
    </row>
    <row r="27" spans="1:32" ht="13.5" customHeight="1">
      <c r="A27" s="13"/>
    </row>
    <row r="28" spans="1:32" ht="13.5" customHeight="1">
      <c r="A28" s="13"/>
    </row>
    <row r="29" spans="1:32" ht="13.5" customHeight="1">
      <c r="A29" s="13"/>
    </row>
    <row r="30" spans="1:32" ht="13.5" customHeight="1">
      <c r="A30" s="13"/>
      <c r="B30" s="11" t="str">
        <f>"Average monthly new flow: "&amp;IF(ISNUMBER('GraphData'!A179),TEXT('GraphData'!A179,"#,##0"),"0")&amp;" EUR. Average balance per contract: "&amp;IF(ISNUMBER('GraphData'!B179),TEXT('GraphData'!B179,"#,##0"),"0")&amp;" EUR."</f>
        <v>Average monthly new flow: 1,092,478 EUR. Average balance per contract: 243 EUR.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tr">
        <f>"Oldest cohort (M-5): "&amp;IF(ISNUMBER('GraphData'!C179),TEXT('GraphData'!C179,"0.0%"),"0")&amp;" treated in amount and "&amp;IF(ISNUMBER('GraphData'!D179),TEXT('GraphData'!D179,"0.0%"),"0")&amp;" in number."</f>
        <v>Oldest cohort (M-5): 97.6% treated in amount and 93.7% in number.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tr">
        <f>"Stock to process: "&amp;IF(ISNUMBER('GraphData'!E179),TEXT('GraphData'!E179,"#,##0"),"0")&amp;" EUR. Identified stock: "&amp;IF(ISNUMBER('GraphData'!F179),TEXT('GraphData'!F179,"#,##0"),"0")&amp;" EUR."</f>
        <v>Stock to process: 1,200,347 EUR. Identified stock: 3,434,403 EUR.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90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11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61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65</v>
      </c>
      <c r="S7" s="4"/>
      <c r="T7" s="4"/>
      <c r="U7" s="16" t="s">
        <v>66</v>
      </c>
      <c r="V7" s="16"/>
      <c r="W7" s="16"/>
      <c r="X7" s="8">
        <f>IF((IF(OR(SUMPRODUCT(--('Repartition stock'!$A$6:$A$433="2026Q3"),--('Repartition stock'!$B$6:$B$433="PT"),--('Repartition stock'!$E$6:$E$433="Tranche"),--('Repartition stock'!$F$6:$F$433="0 - 1 €"))=0,SUMPRODUCT(--('Repartition stock'!$A$6:$A$433="2026Q3"),--('Repartition stock'!$B$6:$B$433="PT"),--('Repartition stock'!$E$6:$E$433="Tranche"),--('Repartition stock'!$F$6:$F$433="0 - 1 €"),--('Repartition stock'!$G$6:$G$433="n.d."))&gt;0),"n.d.",SUMPRODUCT(--('Repartition stock'!$A$6:$A$433="2026Q3"),--('Repartition stock'!$B$6:$B$433="PT"),--('Repartition stock'!$E$6:$E$433="Tranche"),--('Repartition stock'!$F$6:$F$433="0 - 1 €"),'Repartition stock'!$G$6:$G$433)))="n.d.",0,IF(OR(SUMPRODUCT(--('Repartition stock'!$A$6:$A$433="2026Q3"),--('Repartition stock'!$B$6:$B$433="PT"),--('Repartition stock'!$E$6:$E$433="Tranche"),--('Repartition stock'!$F$6:$F$433="0 - 1 €"))=0,SUMPRODUCT(--('Repartition stock'!$A$6:$A$433="2026Q3"),--('Repartition stock'!$B$6:$B$433="PT"),--('Repartition stock'!$E$6:$E$433="Tranche"),--('Repartition stock'!$F$6:$F$433="0 - 1 €"),--('Repartition stock'!$G$6:$G$433="n.d."))&gt;0),"n.d.",SUMPRODUCT(--('Repartition stock'!$A$6:$A$433="2026Q3"),--('Repartition stock'!$B$6:$B$433="PT"),--('Repartition stock'!$E$6:$E$433="Tranche"),--('Repartition stock'!$F$6:$F$433="0 - 1 €"),'Repartition stock'!$G$6:$G$433)))</f>
        <v>3811.0</v>
      </c>
      <c r="Y7" s="8"/>
      <c r="Z7" s="8">
        <f>IF((IF(OR(SUMPRODUCT(--('Repartition stock'!$A$6:$A$433="2026Q3"),--('Repartition stock'!$B$6:$B$433="PT"),--('Repartition stock'!$E$6:$E$433="Tranche"),--('Repartition stock'!$F$6:$F$433="0 - 1 €"))=0,SUMPRODUCT(--('Repartition stock'!$A$6:$A$433="2026Q3"),--('Repartition stock'!$B$6:$B$433="PT"),--('Repartition stock'!$E$6:$E$433="Tranche"),--('Repartition stock'!$F$6:$F$433="0 - 1 €"),--('Repartition stock'!$J$6:$J$433="n.d."))&gt;0),"n.d.",SUMPRODUCT(--('Repartition stock'!$A$6:$A$433="2026Q3"),--('Repartition stock'!$B$6:$B$433="PT"),--('Repartition stock'!$E$6:$E$433="Tranche"),--('Repartition stock'!$F$6:$F$433="0 - 1 €"),'Repartition stock'!$J$6:$J$433)))="n.d.",0,IF(OR(SUMPRODUCT(--('Repartition stock'!$A$6:$A$433="2026Q3"),--('Repartition stock'!$B$6:$B$433="PT"),--('Repartition stock'!$E$6:$E$433="Tranche"),--('Repartition stock'!$F$6:$F$433="0 - 1 €"))=0,SUMPRODUCT(--('Repartition stock'!$A$6:$A$433="2026Q3"),--('Repartition stock'!$B$6:$B$433="PT"),--('Repartition stock'!$E$6:$E$433="Tranche"),--('Repartition stock'!$F$6:$F$433="0 - 1 €"),--('Repartition stock'!$J$6:$J$433="n.d."))&gt;0),"n.d.",SUMPRODUCT(--('Repartition stock'!$A$6:$A$433="2026Q3"),--('Repartition stock'!$B$6:$B$433="PT"),--('Repartition stock'!$E$6:$E$433="Tranche"),--('Repartition stock'!$F$6:$F$433="0 - 1 €"),'Repartition stock'!$J$6:$J$433)))</f>
        <v>1102.0</v>
      </c>
      <c r="AA7" s="8"/>
      <c r="AB7" s="8"/>
      <c r="AC7" s="7">
        <f>IF((IF(OR(COUNT(X7,X12)&lt;&gt;2,X12=0),"n.d.",X7/X12))="n.d.",0,IF(OR(COUNT(X7,X12)&lt;&gt;2,X12=0),"n.d.",X7/X12))</f>
        <v>0.29986623652529704</v>
      </c>
      <c r="AD7" s="7"/>
      <c r="AE7" s="7">
        <f>IF((IF(OR(COUNT(Z7,Z12)&lt;&gt;2,Z12=0),"n.d.",Z7/Z12))="n.d.",0,IF(OR(COUNT(Z7,Z12)&lt;&gt;2,Z12=0),"n.d.",Z7/Z12))</f>
        <v>0.0019730187007081026</v>
      </c>
      <c r="AF7" s="7"/>
    </row>
    <row r="8" spans="1:32" ht="13.5" customHeight="1">
      <c r="A8" s="13"/>
      <c r="R8" s="4"/>
      <c r="S8" s="4"/>
      <c r="T8" s="4"/>
      <c r="U8" s="16" t="s">
        <v>67</v>
      </c>
      <c r="V8" s="16"/>
      <c r="W8" s="16"/>
      <c r="X8" s="8">
        <f>IF((IF(OR(SUMPRODUCT(--('Repartition stock'!$A$6:$A$433="2026Q3"),--('Repartition stock'!$B$6:$B$433="PT"),--('Repartition stock'!$E$6:$E$433="Tranche"),--('Repartition stock'!$F$6:$F$433="1 - 10 €"))=0,SUMPRODUCT(--('Repartition stock'!$A$6:$A$433="2026Q3"),--('Repartition stock'!$B$6:$B$433="PT"),--('Repartition stock'!$E$6:$E$433="Tranche"),--('Repartition stock'!$F$6:$F$433="1 - 10 €"),--('Repartition stock'!$G$6:$G$433="n.d."))&gt;0),"n.d.",SUMPRODUCT(--('Repartition stock'!$A$6:$A$433="2026Q3"),--('Repartition stock'!$B$6:$B$433="PT"),--('Repartition stock'!$E$6:$E$433="Tranche"),--('Repartition stock'!$F$6:$F$433="1 - 10 €"),'Repartition stock'!$G$6:$G$433)))="n.d.",0,IF(OR(SUMPRODUCT(--('Repartition stock'!$A$6:$A$433="2026Q3"),--('Repartition stock'!$B$6:$B$433="PT"),--('Repartition stock'!$E$6:$E$433="Tranche"),--('Repartition stock'!$F$6:$F$433="1 - 10 €"))=0,SUMPRODUCT(--('Repartition stock'!$A$6:$A$433="2026Q3"),--('Repartition stock'!$B$6:$B$433="PT"),--('Repartition stock'!$E$6:$E$433="Tranche"),--('Repartition stock'!$F$6:$F$433="1 - 10 €"),--('Repartition stock'!$G$6:$G$433="n.d."))&gt;0),"n.d.",SUMPRODUCT(--('Repartition stock'!$A$6:$A$433="2026Q3"),--('Repartition stock'!$B$6:$B$433="PT"),--('Repartition stock'!$E$6:$E$433="Tranche"),--('Repartition stock'!$F$6:$F$433="1 - 10 €"),'Repartition stock'!$G$6:$G$433)))</f>
        <v>2952.0</v>
      </c>
      <c r="Y8" s="8"/>
      <c r="Z8" s="8">
        <f>IF((IF(OR(SUMPRODUCT(--('Repartition stock'!$A$6:$A$433="2026Q3"),--('Repartition stock'!$B$6:$B$433="PT"),--('Repartition stock'!$E$6:$E$433="Tranche"),--('Repartition stock'!$F$6:$F$433="1 - 10 €"))=0,SUMPRODUCT(--('Repartition stock'!$A$6:$A$433="2026Q3"),--('Repartition stock'!$B$6:$B$433="PT"),--('Repartition stock'!$E$6:$E$433="Tranche"),--('Repartition stock'!$F$6:$F$433="1 - 10 €"),--('Repartition stock'!$J$6:$J$433="n.d."))&gt;0),"n.d.",SUMPRODUCT(--('Repartition stock'!$A$6:$A$433="2026Q3"),--('Repartition stock'!$B$6:$B$433="PT"),--('Repartition stock'!$E$6:$E$433="Tranche"),--('Repartition stock'!$F$6:$F$433="1 - 10 €"),'Repartition stock'!$J$6:$J$433)))="n.d.",0,IF(OR(SUMPRODUCT(--('Repartition stock'!$A$6:$A$433="2026Q3"),--('Repartition stock'!$B$6:$B$433="PT"),--('Repartition stock'!$E$6:$E$433="Tranche"),--('Repartition stock'!$F$6:$F$433="1 - 10 €"))=0,SUMPRODUCT(--('Repartition stock'!$A$6:$A$433="2026Q3"),--('Repartition stock'!$B$6:$B$433="PT"),--('Repartition stock'!$E$6:$E$433="Tranche"),--('Repartition stock'!$F$6:$F$433="1 - 10 €"),--('Repartition stock'!$J$6:$J$433="n.d."))&gt;0),"n.d.",SUMPRODUCT(--('Repartition stock'!$A$6:$A$433="2026Q3"),--('Repartition stock'!$B$6:$B$433="PT"),--('Repartition stock'!$E$6:$E$433="Tranche"),--('Repartition stock'!$F$6:$F$433="1 - 10 €"),'Repartition stock'!$J$6:$J$433)))</f>
        <v>11915.0</v>
      </c>
      <c r="AA8" s="8"/>
      <c r="AB8" s="8"/>
      <c r="AC8" s="7">
        <f>IF((IF(OR(COUNT(X8,X12)&lt;&gt;2,X12=0),"n.d.",X8/X12))="n.d.",0,IF(OR(COUNT(X8,X12)&lt;&gt;2,X12=0),"n.d.",X8/X12))</f>
        <v>0.23227633960185695</v>
      </c>
      <c r="AD8" s="7"/>
      <c r="AE8" s="7">
        <f>IF((IF(OR(COUNT(Z8,Z12)&lt;&gt;2,Z12=0),"n.d.",Z8/Z12))="n.d.",0,IF(OR(COUNT(Z8,Z12)&lt;&gt;2,Z12=0),"n.d.",Z8/Z12))</f>
        <v>0.021332593302120728</v>
      </c>
      <c r="AF8" s="7"/>
    </row>
    <row r="9" spans="1:32" ht="13.5" customHeight="1">
      <c r="A9" s="13"/>
      <c r="R9" s="4"/>
      <c r="S9" s="4"/>
      <c r="T9" s="4"/>
      <c r="U9" s="16" t="s">
        <v>68</v>
      </c>
      <c r="V9" s="16"/>
      <c r="W9" s="16"/>
      <c r="X9" s="8">
        <f>IF((IF(OR(SUMPRODUCT(--('Repartition stock'!$A$6:$A$433="2026Q3"),--('Repartition stock'!$B$6:$B$433="PT"),--('Repartition stock'!$E$6:$E$433="Tranche"),--('Repartition stock'!$F$6:$F$433="10 - 100 €"))=0,SUMPRODUCT(--('Repartition stock'!$A$6:$A$433="2026Q3"),--('Repartition stock'!$B$6:$B$433="PT"),--('Repartition stock'!$E$6:$E$433="Tranche"),--('Repartition stock'!$F$6:$F$433="10 - 100 €"),--('Repartition stock'!$G$6:$G$433="n.d."))&gt;0),"n.d.",SUMPRODUCT(--('Repartition stock'!$A$6:$A$433="2026Q3"),--('Repartition stock'!$B$6:$B$433="PT"),--('Repartition stock'!$E$6:$E$433="Tranche"),--('Repartition stock'!$F$6:$F$433="10 - 100 €"),'Repartition stock'!$G$6:$G$433)))="n.d.",0,IF(OR(SUMPRODUCT(--('Repartition stock'!$A$6:$A$433="2026Q3"),--('Repartition stock'!$B$6:$B$433="PT"),--('Repartition stock'!$E$6:$E$433="Tranche"),--('Repartition stock'!$F$6:$F$433="10 - 100 €"))=0,SUMPRODUCT(--('Repartition stock'!$A$6:$A$433="2026Q3"),--('Repartition stock'!$B$6:$B$433="PT"),--('Repartition stock'!$E$6:$E$433="Tranche"),--('Repartition stock'!$F$6:$F$433="10 - 100 €"),--('Repartition stock'!$G$6:$G$433="n.d."))&gt;0),"n.d.",SUMPRODUCT(--('Repartition stock'!$A$6:$A$433="2026Q3"),--('Repartition stock'!$B$6:$B$433="PT"),--('Repartition stock'!$E$6:$E$433="Tranche"),--('Repartition stock'!$F$6:$F$433="10 - 100 €"),'Repartition stock'!$G$6:$G$433)))</f>
        <v>4828.0</v>
      </c>
      <c r="Y9" s="8"/>
      <c r="Z9" s="8">
        <f>IF((IF(OR(SUMPRODUCT(--('Repartition stock'!$A$6:$A$433="2026Q3"),--('Repartition stock'!$B$6:$B$433="PT"),--('Repartition stock'!$E$6:$E$433="Tranche"),--('Repartition stock'!$F$6:$F$433="10 - 100 €"))=0,SUMPRODUCT(--('Repartition stock'!$A$6:$A$433="2026Q3"),--('Repartition stock'!$B$6:$B$433="PT"),--('Repartition stock'!$E$6:$E$433="Tranche"),--('Repartition stock'!$F$6:$F$433="10 - 100 €"),--('Repartition stock'!$J$6:$J$433="n.d."))&gt;0),"n.d.",SUMPRODUCT(--('Repartition stock'!$A$6:$A$433="2026Q3"),--('Repartition stock'!$B$6:$B$433="PT"),--('Repartition stock'!$E$6:$E$433="Tranche"),--('Repartition stock'!$F$6:$F$433="10 - 100 €"),'Repartition stock'!$J$6:$J$433)))="n.d.",0,IF(OR(SUMPRODUCT(--('Repartition stock'!$A$6:$A$433="2026Q3"),--('Repartition stock'!$B$6:$B$433="PT"),--('Repartition stock'!$E$6:$E$433="Tranche"),--('Repartition stock'!$F$6:$F$433="10 - 100 €"))=0,SUMPRODUCT(--('Repartition stock'!$A$6:$A$433="2026Q3"),--('Repartition stock'!$B$6:$B$433="PT"),--('Repartition stock'!$E$6:$E$433="Tranche"),--('Repartition stock'!$F$6:$F$433="10 - 100 €"),--('Repartition stock'!$J$6:$J$433="n.d."))&gt;0),"n.d.",SUMPRODUCT(--('Repartition stock'!$A$6:$A$433="2026Q3"),--('Repartition stock'!$B$6:$B$433="PT"),--('Repartition stock'!$E$6:$E$433="Tranche"),--('Repartition stock'!$F$6:$F$433="10 - 100 €"),'Repartition stock'!$J$6:$J$433)))</f>
        <v>175661.0</v>
      </c>
      <c r="AA9" s="8"/>
      <c r="AB9" s="8"/>
      <c r="AC9" s="7">
        <f>IF((IF(OR(COUNT(X9,X12)&lt;&gt;2,X12=0),"n.d.",X9/X12))="n.d.",0,IF(OR(COUNT(X9,X12)&lt;&gt;2,X12=0),"n.d.",X9/X12))</f>
        <v>0.37988826815642457</v>
      </c>
      <c r="AD9" s="7"/>
      <c r="AE9" s="7">
        <f>IF((IF(OR(COUNT(Z9,Z12)&lt;&gt;2,Z12=0),"n.d.",Z9/Z12))="n.d.",0,IF(OR(COUNT(Z9,Z12)&lt;&gt;2,Z12=0),"n.d.",Z9/Z12))</f>
        <v>0.31450311976868056</v>
      </c>
      <c r="AF9" s="7"/>
    </row>
    <row r="10" spans="1:32" ht="13.5" customHeight="1">
      <c r="A10" s="13"/>
      <c r="R10" s="4"/>
      <c r="S10" s="4"/>
      <c r="T10" s="4"/>
      <c r="U10" s="16" t="s">
        <v>69</v>
      </c>
      <c r="V10" s="16"/>
      <c r="W10" s="16"/>
      <c r="X10" s="8">
        <f>IF((IF(OR(SUMPRODUCT(--('Repartition stock'!$A$6:$A$433="2026Q3"),--('Repartition stock'!$B$6:$B$433="PT"),--('Repartition stock'!$E$6:$E$433="Tranche"),--('Repartition stock'!$F$6:$F$433="100 - 1 000 €"))=0,SUMPRODUCT(--('Repartition stock'!$A$6:$A$433="2026Q3"),--('Repartition stock'!$B$6:$B$433="PT"),--('Repartition stock'!$E$6:$E$433="Tranche"),--('Repartition stock'!$F$6:$F$433="100 - 1 000 €"),--('Repartition stock'!$G$6:$G$433="n.d."))&gt;0),"n.d.",SUMPRODUCT(--('Repartition stock'!$A$6:$A$433="2026Q3"),--('Repartition stock'!$B$6:$B$433="PT"),--('Repartition stock'!$E$6:$E$433="Tranche"),--('Repartition stock'!$F$6:$F$433="100 - 1 000 €"),'Repartition stock'!$G$6:$G$433)))="n.d.",0,IF(OR(SUMPRODUCT(--('Repartition stock'!$A$6:$A$433="2026Q3"),--('Repartition stock'!$B$6:$B$433="PT"),--('Repartition stock'!$E$6:$E$433="Tranche"),--('Repartition stock'!$F$6:$F$433="100 - 1 000 €"))=0,SUMPRODUCT(--('Repartition stock'!$A$6:$A$433="2026Q3"),--('Repartition stock'!$B$6:$B$433="PT"),--('Repartition stock'!$E$6:$E$433="Tranche"),--('Repartition stock'!$F$6:$F$433="100 - 1 000 €"),--('Repartition stock'!$G$6:$G$433="n.d."))&gt;0),"n.d.",SUMPRODUCT(--('Repartition stock'!$A$6:$A$433="2026Q3"),--('Repartition stock'!$B$6:$B$433="PT"),--('Repartition stock'!$E$6:$E$433="Tranche"),--('Repartition stock'!$F$6:$F$433="100 - 1 000 €"),'Repartition stock'!$G$6:$G$433)))</f>
        <v>1069.0</v>
      </c>
      <c r="Y10" s="8"/>
      <c r="Z10" s="8">
        <f>IF((IF(OR(SUMPRODUCT(--('Repartition stock'!$A$6:$A$433="2026Q3"),--('Repartition stock'!$B$6:$B$433="PT"),--('Repartition stock'!$E$6:$E$433="Tranche"),--('Repartition stock'!$F$6:$F$433="100 - 1 000 €"))=0,SUMPRODUCT(--('Repartition stock'!$A$6:$A$433="2026Q3"),--('Repartition stock'!$B$6:$B$433="PT"),--('Repartition stock'!$E$6:$E$433="Tranche"),--('Repartition stock'!$F$6:$F$433="100 - 1 000 €"),--('Repartition stock'!$J$6:$J$433="n.d."))&gt;0),"n.d.",SUMPRODUCT(--('Repartition stock'!$A$6:$A$433="2026Q3"),--('Repartition stock'!$B$6:$B$433="PT"),--('Repartition stock'!$E$6:$E$433="Tranche"),--('Repartition stock'!$F$6:$F$433="100 - 1 000 €"),'Repartition stock'!$J$6:$J$433)))="n.d.",0,IF(OR(SUMPRODUCT(--('Repartition stock'!$A$6:$A$433="2026Q3"),--('Repartition stock'!$B$6:$B$433="PT"),--('Repartition stock'!$E$6:$E$433="Tranche"),--('Repartition stock'!$F$6:$F$433="100 - 1 000 €"))=0,SUMPRODUCT(--('Repartition stock'!$A$6:$A$433="2026Q3"),--('Repartition stock'!$B$6:$B$433="PT"),--('Repartition stock'!$E$6:$E$433="Tranche"),--('Repartition stock'!$F$6:$F$433="100 - 1 000 €"),--('Repartition stock'!$J$6:$J$433="n.d."))&gt;0),"n.d.",SUMPRODUCT(--('Repartition stock'!$A$6:$A$433="2026Q3"),--('Repartition stock'!$B$6:$B$433="PT"),--('Repartition stock'!$E$6:$E$433="Tranche"),--('Repartition stock'!$F$6:$F$433="100 - 1 000 €"),'Repartition stock'!$J$6:$J$433)))</f>
        <v>236826.0</v>
      </c>
      <c r="AA10" s="8"/>
      <c r="AB10" s="8"/>
      <c r="AC10" s="7">
        <f>IF((IF(OR(COUNT(X10,X12)&lt;&gt;2,X12=0),"n.d.",X10/X12))="n.d.",0,IF(OR(COUNT(X10,X12)&lt;&gt;2,X12=0),"n.d.",X10/X12))</f>
        <v>0.08411362026910063</v>
      </c>
      <c r="AD10" s="7"/>
      <c r="AE10" s="7">
        <f>IF((IF(OR(COUNT(Z10,Z12)&lt;&gt;2,Z12=0),"n.d.",Z10/Z12))="n.d.",0,IF(OR(COUNT(Z10,Z12)&lt;&gt;2,Z12=0),"n.d.",Z10/Z12))</f>
        <v>0.42401281925036033</v>
      </c>
      <c r="AF10" s="7"/>
    </row>
    <row r="11" spans="1:32" ht="13.5" customHeight="1">
      <c r="A11" s="13"/>
      <c r="R11" s="4"/>
      <c r="S11" s="4"/>
      <c r="T11" s="4"/>
      <c r="U11" s="16" t="s">
        <v>70</v>
      </c>
      <c r="V11" s="16"/>
      <c r="W11" s="16"/>
      <c r="X11" s="8">
        <f>IF((IF(OR(SUMPRODUCT(--('Repartition stock'!$A$6:$A$433="2026Q3"),--('Repartition stock'!$B$6:$B$433="PT"),--('Repartition stock'!$E$6:$E$433="Tranche"),--('Repartition stock'!$F$6:$F$433="&gt; 1 000 €"))=0,SUMPRODUCT(--('Repartition stock'!$A$6:$A$433="2026Q3"),--('Repartition stock'!$B$6:$B$433="PT"),--('Repartition stock'!$E$6:$E$433="Tranche"),--('Repartition stock'!$F$6:$F$433="&gt; 1 000 €"),--('Repartition stock'!$G$6:$G$433="n.d."))&gt;0),"n.d.",SUMPRODUCT(--('Repartition stock'!$A$6:$A$433="2026Q3"),--('Repartition stock'!$B$6:$B$433="PT"),--('Repartition stock'!$E$6:$E$433="Tranche"),--('Repartition stock'!$F$6:$F$433="&gt; 1 000 €"),'Repartition stock'!$G$6:$G$433)))="n.d.",0,IF(OR(SUMPRODUCT(--('Repartition stock'!$A$6:$A$433="2026Q3"),--('Repartition stock'!$B$6:$B$433="PT"),--('Repartition stock'!$E$6:$E$433="Tranche"),--('Repartition stock'!$F$6:$F$433="&gt; 1 000 €"))=0,SUMPRODUCT(--('Repartition stock'!$A$6:$A$433="2026Q3"),--('Repartition stock'!$B$6:$B$433="PT"),--('Repartition stock'!$E$6:$E$433="Tranche"),--('Repartition stock'!$F$6:$F$433="&gt; 1 000 €"),--('Repartition stock'!$G$6:$G$433="n.d."))&gt;0),"n.d.",SUMPRODUCT(--('Repartition stock'!$A$6:$A$433="2026Q3"),--('Repartition stock'!$B$6:$B$433="PT"),--('Repartition stock'!$E$6:$E$433="Tranche"),--('Repartition stock'!$F$6:$F$433="&gt; 1 000 €"),'Repartition stock'!$G$6:$G$433)))</f>
        <v>49.0</v>
      </c>
      <c r="Y11" s="8"/>
      <c r="Z11" s="8">
        <f>IF((IF(OR(SUMPRODUCT(--('Repartition stock'!$A$6:$A$433="2026Q3"),--('Repartition stock'!$B$6:$B$433="PT"),--('Repartition stock'!$E$6:$E$433="Tranche"),--('Repartition stock'!$F$6:$F$433="&gt; 1 000 €"))=0,SUMPRODUCT(--('Repartition stock'!$A$6:$A$433="2026Q3"),--('Repartition stock'!$B$6:$B$433="PT"),--('Repartition stock'!$E$6:$E$433="Tranche"),--('Repartition stock'!$F$6:$F$433="&gt; 1 000 €"),--('Repartition stock'!$J$6:$J$433="n.d."))&gt;0),"n.d.",SUMPRODUCT(--('Repartition stock'!$A$6:$A$433="2026Q3"),--('Repartition stock'!$B$6:$B$433="PT"),--('Repartition stock'!$E$6:$E$433="Tranche"),--('Repartition stock'!$F$6:$F$433="&gt; 1 000 €"),'Repartition stock'!$J$6:$J$433)))="n.d.",0,IF(OR(SUMPRODUCT(--('Repartition stock'!$A$6:$A$433="2026Q3"),--('Repartition stock'!$B$6:$B$433="PT"),--('Repartition stock'!$E$6:$E$433="Tranche"),--('Repartition stock'!$F$6:$F$433="&gt; 1 000 €"))=0,SUMPRODUCT(--('Repartition stock'!$A$6:$A$433="2026Q3"),--('Repartition stock'!$B$6:$B$433="PT"),--('Repartition stock'!$E$6:$E$433="Tranche"),--('Repartition stock'!$F$6:$F$433="&gt; 1 000 €"),--('Repartition stock'!$J$6:$J$433="n.d."))&gt;0),"n.d.",SUMPRODUCT(--('Repartition stock'!$A$6:$A$433="2026Q3"),--('Repartition stock'!$B$6:$B$433="PT"),--('Repartition stock'!$E$6:$E$433="Tranche"),--('Repartition stock'!$F$6:$F$433="&gt; 1 000 €"),'Repartition stock'!$J$6:$J$433)))</f>
        <v>133031.0</v>
      </c>
      <c r="AA11" s="8"/>
      <c r="AB11" s="8"/>
      <c r="AC11" s="7">
        <f>IF((IF(OR(COUNT(X11,X12)&lt;&gt;2,X12=0),"n.d.",X11/X12))="n.d.",0,IF(OR(COUNT(X11,X12)&lt;&gt;2,X12=0),"n.d.",X11/X12))</f>
        <v>0.0038555354473207965</v>
      </c>
      <c r="AD11" s="7"/>
      <c r="AE11" s="7">
        <f>IF((IF(OR(COUNT(Z11,Z12)&lt;&gt;2,Z12=0),"n.d.",Z11/Z12))="n.d.",0,IF(OR(COUNT(Z11,Z12)&lt;&gt;2,Z12=0),"n.d.",Z11/Z12))</f>
        <v>0.23817844897813029</v>
      </c>
      <c r="AF11" s="7"/>
    </row>
    <row r="12" spans="1:32" ht="13.5" customHeight="1">
      <c r="A12" s="13"/>
      <c r="R12" s="17" t="s">
        <v>71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12709.0</v>
      </c>
      <c r="Y12" s="17"/>
      <c r="Z12" s="17">
        <f>IF((IF(COUNT(Z7:Z11)=5,SUM(Z7:Z11),"n.d."))="n.d.",0,IF(COUNT(Z7:Z11)=5,SUM(Z7:Z11),"n.d."))</f>
        <v>558535.0</v>
      </c>
      <c r="AA12" s="17"/>
      <c r="AB12" s="17"/>
      <c r="AC12" s="10">
        <f>IF((IF(OR(NOT(ISNUMBER(X12)),X12=0),"n.d.",1))="n.d.",0,IF(OR(NOT(ISNUMBER(X12)),X12=0),"n.d.",1))</f>
        <v>1.0</v>
      </c>
      <c r="AD12" s="10"/>
      <c r="AE12" s="10">
        <f>IF((IF(OR(NOT(ISNUMBER(Z12)),Z12=0),"n.d.",1))="n.d.",0,IF(OR(NOT(ISNUMBER(Z12)),Z12=0),"n.d.",1))</f>
        <v>1.0</v>
      </c>
      <c r="AF12" s="10"/>
    </row>
    <row r="13" spans="1:32" ht="13.5" customHeight="1">
      <c r="A13" s="13"/>
    </row>
    <row r="14" spans="1:32" ht="13.5" customHeight="1">
      <c r="A14" s="13"/>
      <c r="R14" s="4" t="s">
        <v>72</v>
      </c>
      <c r="S14" s="4"/>
      <c r="T14" s="4"/>
      <c r="U14" s="16" t="s">
        <v>80</v>
      </c>
      <c r="V14" s="16"/>
      <c r="W14" s="16"/>
      <c r="X14" s="8">
        <f>IF((IF(OR(SUMPRODUCT(--('Repartition stock'!$A$6:$A$433="2026Q3"),--('Repartition stock'!$B$6:$B$433="PT"),--('Repartition stock'!$E$6:$E$433="Millésime"),--('Repartition stock'!$F$6:$F$433="2024"))=0,SUMPRODUCT(--('Repartition stock'!$A$6:$A$433="2026Q3"),--('Repartition stock'!$B$6:$B$433="PT"),--('Repartition stock'!$E$6:$E$433="Millésime"),--('Repartition stock'!$F$6:$F$433="2024"),--('Repartition stock'!$G$6:$G$433="n.d."))&gt;0),"n.d.",SUMPRODUCT(--('Repartition stock'!$A$6:$A$433="2026Q3"),--('Repartition stock'!$B$6:$B$433="PT"),--('Repartition stock'!$E$6:$E$433="Millésime"),--('Repartition stock'!$F$6:$F$433="2024"),'Repartition stock'!$G$6:$G$433)))="n.d.",0,IF(OR(SUMPRODUCT(--('Repartition stock'!$A$6:$A$433="2026Q3"),--('Repartition stock'!$B$6:$B$433="PT"),--('Repartition stock'!$E$6:$E$433="Millésime"),--('Repartition stock'!$F$6:$F$433="2024"))=0,SUMPRODUCT(--('Repartition stock'!$A$6:$A$433="2026Q3"),--('Repartition stock'!$B$6:$B$433="PT"),--('Repartition stock'!$E$6:$E$433="Millésime"),--('Repartition stock'!$F$6:$F$433="2024"),--('Repartition stock'!$G$6:$G$433="n.d."))&gt;0),"n.d.",SUMPRODUCT(--('Repartition stock'!$A$6:$A$433="2026Q3"),--('Repartition stock'!$B$6:$B$433="PT"),--('Repartition stock'!$E$6:$E$433="Millésime"),--('Repartition stock'!$F$6:$F$433="2024"),'Repartition stock'!$G$6:$G$433)))</f>
        <v>113.0</v>
      </c>
      <c r="Y14" s="8"/>
      <c r="Z14" s="8">
        <f>IF((IF(OR(SUMPRODUCT(--('Repartition stock'!$A$6:$A$433="2026Q3"),--('Repartition stock'!$B$6:$B$433="PT"),--('Repartition stock'!$E$6:$E$433="Millésime"),--('Repartition stock'!$F$6:$F$433="2024"))=0,SUMPRODUCT(--('Repartition stock'!$A$6:$A$433="2026Q3"),--('Repartition stock'!$B$6:$B$433="PT"),--('Repartition stock'!$E$6:$E$433="Millésime"),--('Repartition stock'!$F$6:$F$433="2024"),--('Repartition stock'!$J$6:$J$433="n.d."))&gt;0),"n.d.",SUMPRODUCT(--('Repartition stock'!$A$6:$A$433="2026Q3"),--('Repartition stock'!$B$6:$B$433="PT"),--('Repartition stock'!$E$6:$E$433="Millésime"),--('Repartition stock'!$F$6:$F$433="2024"),'Repartition stock'!$J$6:$J$433)))="n.d.",0,IF(OR(SUMPRODUCT(--('Repartition stock'!$A$6:$A$433="2026Q3"),--('Repartition stock'!$B$6:$B$433="PT"),--('Repartition stock'!$E$6:$E$433="Millésime"),--('Repartition stock'!$F$6:$F$433="2024"))=0,SUMPRODUCT(--('Repartition stock'!$A$6:$A$433="2026Q3"),--('Repartition stock'!$B$6:$B$433="PT"),--('Repartition stock'!$E$6:$E$433="Millésime"),--('Repartition stock'!$F$6:$F$433="2024"),--('Repartition stock'!$J$6:$J$433="n.d."))&gt;0),"n.d.",SUMPRODUCT(--('Repartition stock'!$A$6:$A$433="2026Q3"),--('Repartition stock'!$B$6:$B$433="PT"),--('Repartition stock'!$E$6:$E$433="Millésime"),--('Repartition stock'!$F$6:$F$433="2024"),'Repartition stock'!$J$6:$J$433)))</f>
        <v>7029.0</v>
      </c>
      <c r="AA14" s="8"/>
      <c r="AB14" s="8"/>
      <c r="AC14" s="7">
        <f>IF((IF(OR(COUNT(X14,X17)&lt;&gt;2,X17=0),"n.d.",X14/X17))="n.d.",0,IF(OR(COUNT(X14,X17)&lt;&gt;2,X17=0),"n.d.",X14/X17))</f>
        <v>0.008891336847903062</v>
      </c>
      <c r="AD14" s="7"/>
      <c r="AE14" s="7">
        <f>IF((IF(OR(COUNT(Z14,Z17)&lt;&gt;2,Z17=0),"n.d.",Z14/Z17))="n.d.",0,IF(OR(COUNT(Z14,Z17)&lt;&gt;2,Z17=0),"n.d.",Z14/Z17))</f>
        <v>0.01258473074154841</v>
      </c>
      <c r="AF14" s="7"/>
    </row>
    <row r="15" spans="1:32" ht="13.5" customHeight="1">
      <c r="A15" s="13"/>
      <c r="R15" s="4"/>
      <c r="S15" s="4"/>
      <c r="T15" s="4"/>
      <c r="U15" s="16" t="s">
        <v>50</v>
      </c>
      <c r="V15" s="16"/>
      <c r="W15" s="16"/>
      <c r="X15" s="8">
        <f>IF((IF(OR(SUMPRODUCT(--('Repartition stock'!$A$6:$A$433="2026Q3"),--('Repartition stock'!$B$6:$B$433="PT"),--('Repartition stock'!$E$6:$E$433="Millésime"),--('Repartition stock'!$F$6:$F$433="2025"))=0,SUMPRODUCT(--('Repartition stock'!$A$6:$A$433="2026Q3"),--('Repartition stock'!$B$6:$B$433="PT"),--('Repartition stock'!$E$6:$E$433="Millésime"),--('Repartition stock'!$F$6:$F$433="2025"),--('Repartition stock'!$G$6:$G$433="n.d."))&gt;0),"n.d.",SUMPRODUCT(--('Repartition stock'!$A$6:$A$433="2026Q3"),--('Repartition stock'!$B$6:$B$433="PT"),--('Repartition stock'!$E$6:$E$433="Millésime"),--('Repartition stock'!$F$6:$F$433="2025"),'Repartition stock'!$G$6:$G$433)))="n.d.",0,IF(OR(SUMPRODUCT(--('Repartition stock'!$A$6:$A$433="2026Q3"),--('Repartition stock'!$B$6:$B$433="PT"),--('Repartition stock'!$E$6:$E$433="Millésime"),--('Repartition stock'!$F$6:$F$433="2025"))=0,SUMPRODUCT(--('Repartition stock'!$A$6:$A$433="2026Q3"),--('Repartition stock'!$B$6:$B$433="PT"),--('Repartition stock'!$E$6:$E$433="Millésime"),--('Repartition stock'!$F$6:$F$433="2025"),--('Repartition stock'!$G$6:$G$433="n.d."))&gt;0),"n.d.",SUMPRODUCT(--('Repartition stock'!$A$6:$A$433="2026Q3"),--('Repartition stock'!$B$6:$B$433="PT"),--('Repartition stock'!$E$6:$E$433="Millésime"),--('Repartition stock'!$F$6:$F$433="2025"),'Repartition stock'!$G$6:$G$433)))</f>
        <v>808.0</v>
      </c>
      <c r="Y15" s="8"/>
      <c r="Z15" s="8">
        <f>IF((IF(OR(SUMPRODUCT(--('Repartition stock'!$A$6:$A$433="2026Q3"),--('Repartition stock'!$B$6:$B$433="PT"),--('Repartition stock'!$E$6:$E$433="Millésime"),--('Repartition stock'!$F$6:$F$433="2025"))=0,SUMPRODUCT(--('Repartition stock'!$A$6:$A$433="2026Q3"),--('Repartition stock'!$B$6:$B$433="PT"),--('Repartition stock'!$E$6:$E$433="Millésime"),--('Repartition stock'!$F$6:$F$433="2025"),--('Repartition stock'!$J$6:$J$433="n.d."))&gt;0),"n.d.",SUMPRODUCT(--('Repartition stock'!$A$6:$A$433="2026Q3"),--('Repartition stock'!$B$6:$B$433="PT"),--('Repartition stock'!$E$6:$E$433="Millésime"),--('Repartition stock'!$F$6:$F$433="2025"),'Repartition stock'!$J$6:$J$433)))="n.d.",0,IF(OR(SUMPRODUCT(--('Repartition stock'!$A$6:$A$433="2026Q3"),--('Repartition stock'!$B$6:$B$433="PT"),--('Repartition stock'!$E$6:$E$433="Millésime"),--('Repartition stock'!$F$6:$F$433="2025"))=0,SUMPRODUCT(--('Repartition stock'!$A$6:$A$433="2026Q3"),--('Repartition stock'!$B$6:$B$433="PT"),--('Repartition stock'!$E$6:$E$433="Millésime"),--('Repartition stock'!$F$6:$F$433="2025"),--('Repartition stock'!$J$6:$J$433="n.d."))&gt;0),"n.d.",SUMPRODUCT(--('Repartition stock'!$A$6:$A$433="2026Q3"),--('Repartition stock'!$B$6:$B$433="PT"),--('Repartition stock'!$E$6:$E$433="Millésime"),--('Repartition stock'!$F$6:$F$433="2025"),'Repartition stock'!$J$6:$J$433)))</f>
        <v>47517.0</v>
      </c>
      <c r="AA15" s="8"/>
      <c r="AB15" s="8"/>
      <c r="AC15" s="7">
        <f>IF((IF(OR(COUNT(X15,X17)&lt;&gt;2,X17=0),"n.d.",X15/X17))="n.d.",0,IF(OR(COUNT(X15,X17)&lt;&gt;2,X17=0),"n.d.",X15/X17))</f>
        <v>0.06357699268235109</v>
      </c>
      <c r="AD15" s="7"/>
      <c r="AE15" s="7">
        <f>IF((IF(OR(COUNT(Z15,Z17)&lt;&gt;2,Z17=0),"n.d.",Z15/Z17))="n.d.",0,IF(OR(COUNT(Z15,Z17)&lt;&gt;2,Z17=0),"n.d.",Z15/Z17))</f>
        <v>0.08507449859811578</v>
      </c>
      <c r="AF15" s="7"/>
    </row>
    <row r="16" spans="1:32" ht="13.5" customHeight="1">
      <c r="A16" s="13"/>
      <c r="R16" s="4"/>
      <c r="S16" s="4"/>
      <c r="T16" s="4"/>
      <c r="U16" s="16" t="s">
        <v>51</v>
      </c>
      <c r="V16" s="16"/>
      <c r="W16" s="16"/>
      <c r="X16" s="8">
        <f>IF((IF(OR(SUMPRODUCT(--('Repartition stock'!$A$6:$A$433="2026Q3"),--('Repartition stock'!$B$6:$B$433="PT"),--('Repartition stock'!$E$6:$E$433="Millésime"),--('Repartition stock'!$F$6:$F$433="2026"))=0,SUMPRODUCT(--('Repartition stock'!$A$6:$A$433="2026Q3"),--('Repartition stock'!$B$6:$B$433="PT"),--('Repartition stock'!$E$6:$E$433="Millésime"),--('Repartition stock'!$F$6:$F$433="2026"),--('Repartition stock'!$G$6:$G$433="n.d."))&gt;0),"n.d.",SUMPRODUCT(--('Repartition stock'!$A$6:$A$433="2026Q3"),--('Repartition stock'!$B$6:$B$433="PT"),--('Repartition stock'!$E$6:$E$433="Millésime"),--('Repartition stock'!$F$6:$F$433="2026"),'Repartition stock'!$G$6:$G$433)))="n.d.",0,IF(OR(SUMPRODUCT(--('Repartition stock'!$A$6:$A$433="2026Q3"),--('Repartition stock'!$B$6:$B$433="PT"),--('Repartition stock'!$E$6:$E$433="Millésime"),--('Repartition stock'!$F$6:$F$433="2026"))=0,SUMPRODUCT(--('Repartition stock'!$A$6:$A$433="2026Q3"),--('Repartition stock'!$B$6:$B$433="PT"),--('Repartition stock'!$E$6:$E$433="Millésime"),--('Repartition stock'!$F$6:$F$433="2026"),--('Repartition stock'!$G$6:$G$433="n.d."))&gt;0),"n.d.",SUMPRODUCT(--('Repartition stock'!$A$6:$A$433="2026Q3"),--('Repartition stock'!$B$6:$B$433="PT"),--('Repartition stock'!$E$6:$E$433="Millésime"),--('Repartition stock'!$F$6:$F$433="2026"),'Repartition stock'!$G$6:$G$433)))</f>
        <v>11788.0</v>
      </c>
      <c r="Y16" s="8"/>
      <c r="Z16" s="8">
        <f>IF((IF(OR(SUMPRODUCT(--('Repartition stock'!$A$6:$A$433="2026Q3"),--('Repartition stock'!$B$6:$B$433="PT"),--('Repartition stock'!$E$6:$E$433="Millésime"),--('Repartition stock'!$F$6:$F$433="2026"))=0,SUMPRODUCT(--('Repartition stock'!$A$6:$A$433="2026Q3"),--('Repartition stock'!$B$6:$B$433="PT"),--('Repartition stock'!$E$6:$E$433="Millésime"),--('Repartition stock'!$F$6:$F$433="2026"),--('Repartition stock'!$J$6:$J$433="n.d."))&gt;0),"n.d.",SUMPRODUCT(--('Repartition stock'!$A$6:$A$433="2026Q3"),--('Repartition stock'!$B$6:$B$433="PT"),--('Repartition stock'!$E$6:$E$433="Millésime"),--('Repartition stock'!$F$6:$F$433="2026"),'Repartition stock'!$J$6:$J$433)))="n.d.",0,IF(OR(SUMPRODUCT(--('Repartition stock'!$A$6:$A$433="2026Q3"),--('Repartition stock'!$B$6:$B$433="PT"),--('Repartition stock'!$E$6:$E$433="Millésime"),--('Repartition stock'!$F$6:$F$433="2026"))=0,SUMPRODUCT(--('Repartition stock'!$A$6:$A$433="2026Q3"),--('Repartition stock'!$B$6:$B$433="PT"),--('Repartition stock'!$E$6:$E$433="Millésime"),--('Repartition stock'!$F$6:$F$433="2026"),--('Repartition stock'!$J$6:$J$433="n.d."))&gt;0),"n.d.",SUMPRODUCT(--('Repartition stock'!$A$6:$A$433="2026Q3"),--('Repartition stock'!$B$6:$B$433="PT"),--('Repartition stock'!$E$6:$E$433="Millésime"),--('Repartition stock'!$F$6:$F$433="2026"),'Repartition stock'!$J$6:$J$433)))</f>
        <v>503988.0</v>
      </c>
      <c r="AA16" s="8"/>
      <c r="AB16" s="8"/>
      <c r="AC16" s="7">
        <f>IF((IF(OR(COUNT(X16,X17)&lt;&gt;2,X17=0),"n.d.",X16/X17))="n.d.",0,IF(OR(COUNT(X16,X17)&lt;&gt;2,X17=0),"n.d.",X16/X17))</f>
        <v>0.9275316704697458</v>
      </c>
      <c r="AD16" s="7"/>
      <c r="AE16" s="7">
        <f>IF((IF(OR(COUNT(Z16,Z17)&lt;&gt;2,Z17=0),"n.d.",Z16/Z17))="n.d.",0,IF(OR(COUNT(Z16,Z17)&lt;&gt;2,Z17=0),"n.d.",Z16/Z17))</f>
        <v>0.9023407706603358</v>
      </c>
      <c r="AF16" s="7"/>
    </row>
    <row r="17" spans="1:32" ht="13.5" customHeight="1">
      <c r="A17" s="13"/>
      <c r="R17" s="17" t="s">
        <v>71</v>
      </c>
      <c r="S17" s="17"/>
      <c r="T17" s="17"/>
      <c r="U17" s="17"/>
      <c r="V17" s="17"/>
      <c r="W17" s="17"/>
      <c r="X17" s="17">
        <f>IF((IF(COUNT(X14:X16)=3,SUM(X14:X16),"n.d."))="n.d.",0,IF(COUNT(X14:X16)=3,SUM(X14:X16),"n.d."))</f>
        <v>12709.0</v>
      </c>
      <c r="Y17" s="17"/>
      <c r="Z17" s="17">
        <f>IF((IF(COUNT(Z14:Z16)=3,SUM(Z14:Z16),"n.d."))="n.d.",0,IF(COUNT(Z14:Z16)=3,SUM(Z14:Z16),"n.d."))</f>
        <v>558534.0</v>
      </c>
      <c r="AA17" s="17"/>
      <c r="AB17" s="17"/>
      <c r="AC17" s="10">
        <f>IF((IF(OR(NOT(ISNUMBER(X17)),X17=0),"n.d.",1))="n.d.",0,IF(OR(NOT(ISNUMBER(X17)),X17=0),"n.d.",1))</f>
        <v>1.0</v>
      </c>
      <c r="AD17" s="10"/>
      <c r="AE17" s="10">
        <f>IF((IF(OR(NOT(ISNUMBER(Z17)),Z17=0),"n.d.",1))="n.d.",0,IF(OR(NOT(ISNUMBER(Z17)),Z17=0),"n.d.",1))</f>
        <v>1.0</v>
      </c>
      <c r="AF17" s="10"/>
    </row>
    <row r="18" spans="1:32" ht="13.5" customHeight="1">
      <c r="A18" s="13"/>
    </row>
    <row r="19" spans="1:32" ht="13.5" customHeight="1">
      <c r="A19" s="13"/>
    </row>
    <row r="20" spans="1:32" ht="13.5" customHeight="1">
      <c r="A20" s="13"/>
    </row>
    <row r="21" spans="1:32" ht="13.5" customHeight="1">
      <c r="A21" s="13"/>
    </row>
    <row r="22" spans="1:32" ht="13.5" customHeight="1">
      <c r="A22" s="13"/>
    </row>
    <row r="23" spans="1:32" ht="13.5" customHeight="1">
      <c r="A23" s="13"/>
    </row>
    <row r="24" spans="1:32" ht="13.5" customHeight="1">
      <c r="A24" s="13"/>
    </row>
    <row r="25" spans="1:32" ht="13.5" customHeight="1">
      <c r="A25" s="13"/>
    </row>
    <row r="26" spans="1:32" ht="13.5" customHeight="1">
      <c r="A26" s="13"/>
    </row>
    <row r="27" spans="1:32" ht="13.5" customHeight="1">
      <c r="A27" s="13"/>
    </row>
    <row r="28" spans="1:32" ht="13.5" customHeight="1">
      <c r="A28" s="13"/>
    </row>
    <row r="29" spans="1:32" ht="13.5" customHeight="1">
      <c r="A29" s="13"/>
    </row>
    <row r="30" spans="1:32" ht="13.5" customHeight="1">
      <c r="A30" s="13"/>
      <c r="B30" s="11" t="str">
        <f>"Average monthly new flow: "&amp;IF(ISNUMBER('GraphData'!A196),TEXT('GraphData'!A196,"#,##0"),"0")&amp;" EUR. Average balance per contract: "&amp;IF(ISNUMBER('GraphData'!B196),TEXT('GraphData'!B196,"#,##0"),"0")&amp;" EUR."</f>
        <v>Average monthly new flow: 2,355,232 EUR. Average balance per contract: 803 EUR.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tr">
        <f>"Oldest cohort (M-5): "&amp;IF(ISNUMBER('GraphData'!C196),TEXT('GraphData'!C196,"0.0%"),"0")&amp;" treated in amount and "&amp;IF(ISNUMBER('GraphData'!D196),TEXT('GraphData'!D196,"0.0%"),"0")&amp;" in number."</f>
        <v>Oldest cohort (M-5): 99.7% treated in amount and 94.0% in number.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tr">
        <f>"Stock to process: "&amp;IF(ISNUMBER('GraphData'!E196),TEXT('GraphData'!E196,"#,##0"),"0")&amp;" EUR. Identified stock: "&amp;IF(ISNUMBER('GraphData'!F196),TEXT('GraphData'!F196,"#,##0"),"0")&amp;" EUR."</f>
        <v>Stock to process: 542,133 EUR. Identified stock: 607,594 EUR.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91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65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16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R17:W17"/>
    <mergeCell ref="X17:Y17"/>
    <mergeCell ref="Z17:AB17"/>
    <mergeCell ref="AC17:AD17"/>
    <mergeCell ref="AE17:AF17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12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61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92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65</v>
      </c>
      <c r="S7" s="4"/>
      <c r="T7" s="4"/>
      <c r="U7" s="16" t="s">
        <v>66</v>
      </c>
      <c r="V7" s="16"/>
      <c r="W7" s="16"/>
      <c r="X7" s="8">
        <f>IF((IF(OR(SUMPRODUCT(--('Repartition stock'!$A$6:$A$433="2026Q3"),--('Repartition stock'!$B$6:$B$433="FR"),--('Repartition stock'!$E$6:$E$433="Tranche"),--('Repartition stock'!$F$6:$F$433="0 - 1 €"))=0,SUMPRODUCT(--('Repartition stock'!$A$6:$A$433="2026Q3"),--('Repartition stock'!$B$6:$B$433="FR"),--('Repartition stock'!$E$6:$E$433="Tranche"),--('Repartition stock'!$F$6:$F$433="0 - 1 €"),--('Repartition stock'!$G$6:$G$433="n.d."))&gt;0),"n.d.",SUMPRODUCT(--('Repartition stock'!$A$6:$A$433="2026Q3"),--('Repartition stock'!$B$6:$B$433="FR"),--('Repartition stock'!$E$6:$E$433="Tranche"),--('Repartition stock'!$F$6:$F$433="0 - 1 €"),'Repartition stock'!$G$6:$G$433)))="n.d.",0,IF(OR(SUMPRODUCT(--('Repartition stock'!$A$6:$A$433="2026Q3"),--('Repartition stock'!$B$6:$B$433="FR"),--('Repartition stock'!$E$6:$E$433="Tranche"),--('Repartition stock'!$F$6:$F$433="0 - 1 €"))=0,SUMPRODUCT(--('Repartition stock'!$A$6:$A$433="2026Q3"),--('Repartition stock'!$B$6:$B$433="FR"),--('Repartition stock'!$E$6:$E$433="Tranche"),--('Repartition stock'!$F$6:$F$433="0 - 1 €"),--('Repartition stock'!$G$6:$G$433="n.d."))&gt;0),"n.d.",SUMPRODUCT(--('Repartition stock'!$A$6:$A$433="2026Q3"),--('Repartition stock'!$B$6:$B$433="FR"),--('Repartition stock'!$E$6:$E$433="Tranche"),--('Repartition stock'!$F$6:$F$433="0 - 1 €"),'Repartition stock'!$G$6:$G$433)))</f>
        <v>2771</v>
      </c>
      <c r="Y7" s="8"/>
      <c r="Z7" s="8">
        <f>IF((IF(OR(SUMPRODUCT(--('Repartition stock'!$A$6:$A$433="2026Q3"),--('Repartition stock'!$B$6:$B$433="FR"),--('Repartition stock'!$E$6:$E$433="Tranche"),--('Repartition stock'!$F$6:$F$433="0 - 1 €"))=0,SUMPRODUCT(--('Repartition stock'!$A$6:$A$433="2026Q3"),--('Repartition stock'!$B$6:$B$433="FR"),--('Repartition stock'!$E$6:$E$433="Tranche"),--('Repartition stock'!$F$6:$F$433="0 - 1 €"),--('Repartition stock'!$J$6:$J$433="n.d."))&gt;0),"n.d.",SUMPRODUCT(--('Repartition stock'!$A$6:$A$433="2026Q3"),--('Repartition stock'!$B$6:$B$433="FR"),--('Repartition stock'!$E$6:$E$433="Tranche"),--('Repartition stock'!$F$6:$F$433="0 - 1 €"),'Repartition stock'!$J$6:$J$433)))="n.d.",0,IF(OR(SUMPRODUCT(--('Repartition stock'!$A$6:$A$433="2026Q3"),--('Repartition stock'!$B$6:$B$433="FR"),--('Repartition stock'!$E$6:$E$433="Tranche"),--('Repartition stock'!$F$6:$F$433="0 - 1 €"))=0,SUMPRODUCT(--('Repartition stock'!$A$6:$A$433="2026Q3"),--('Repartition stock'!$B$6:$B$433="FR"),--('Repartition stock'!$E$6:$E$433="Tranche"),--('Repartition stock'!$F$6:$F$433="0 - 1 €"),--('Repartition stock'!$J$6:$J$433="n.d."))&gt;0),"n.d.",SUMPRODUCT(--('Repartition stock'!$A$6:$A$433="2026Q3"),--('Repartition stock'!$B$6:$B$433="FR"),--('Repartition stock'!$E$6:$E$433="Tranche"),--('Repartition stock'!$F$6:$F$433="0 - 1 €"),'Repartition stock'!$J$6:$J$433)))</f>
        <v>822.0</v>
      </c>
      <c r="AA7" s="8"/>
      <c r="AB7" s="8"/>
      <c r="AC7" s="7">
        <f>IF((IF(OR(COUNT(X7,X12)&lt;&gt;2,X12=0),"n.d.",X7/X12))="n.d.",0,IF(OR(COUNT(X7,X12)&lt;&gt;2,X12=0),"n.d.",X7/X12))</f>
        <v>0.1667870470687372</v>
      </c>
      <c r="AD7" s="7"/>
      <c r="AE7" s="7">
        <f>IF((IF(OR(COUNT(Z7,Z12)&lt;&gt;2,Z12=0),"n.d.",Z7/Z12))="n.d.",0,IF(OR(COUNT(Z7,Z12)&lt;&gt;2,Z12=0),"n.d.",Z7/Z12))</f>
        <v>0.00028505618936053783</v>
      </c>
      <c r="AF7" s="7"/>
    </row>
    <row r="8" spans="1:32" ht="13.5" customHeight="1">
      <c r="A8" s="13"/>
      <c r="R8" s="4"/>
      <c r="S8" s="4"/>
      <c r="T8" s="4"/>
      <c r="U8" s="16" t="s">
        <v>67</v>
      </c>
      <c r="V8" s="16"/>
      <c r="W8" s="16"/>
      <c r="X8" s="8">
        <f>IF((IF(OR(SUMPRODUCT(--('Repartition stock'!$A$6:$A$433="2026Q3"),--('Repartition stock'!$B$6:$B$433="FR"),--('Repartition stock'!$E$6:$E$433="Tranche"),--('Repartition stock'!$F$6:$F$433="1 - 10 €"))=0,SUMPRODUCT(--('Repartition stock'!$A$6:$A$433="2026Q3"),--('Repartition stock'!$B$6:$B$433="FR"),--('Repartition stock'!$E$6:$E$433="Tranche"),--('Repartition stock'!$F$6:$F$433="1 - 10 €"),--('Repartition stock'!$G$6:$G$433="n.d."))&gt;0),"n.d.",SUMPRODUCT(--('Repartition stock'!$A$6:$A$433="2026Q3"),--('Repartition stock'!$B$6:$B$433="FR"),--('Repartition stock'!$E$6:$E$433="Tranche"),--('Repartition stock'!$F$6:$F$433="1 - 10 €"),'Repartition stock'!$G$6:$G$433)))="n.d.",0,IF(OR(SUMPRODUCT(--('Repartition stock'!$A$6:$A$433="2026Q3"),--('Repartition stock'!$B$6:$B$433="FR"),--('Repartition stock'!$E$6:$E$433="Tranche"),--('Repartition stock'!$F$6:$F$433="1 - 10 €"))=0,SUMPRODUCT(--('Repartition stock'!$A$6:$A$433="2026Q3"),--('Repartition stock'!$B$6:$B$433="FR"),--('Repartition stock'!$E$6:$E$433="Tranche"),--('Repartition stock'!$F$6:$F$433="1 - 10 €"),--('Repartition stock'!$G$6:$G$433="n.d."))&gt;0),"n.d.",SUMPRODUCT(--('Repartition stock'!$A$6:$A$433="2026Q3"),--('Repartition stock'!$B$6:$B$433="FR"),--('Repartition stock'!$E$6:$E$433="Tranche"),--('Repartition stock'!$F$6:$F$433="1 - 10 €"),'Repartition stock'!$G$6:$G$433)))</f>
        <v>2655</v>
      </c>
      <c r="Y8" s="8"/>
      <c r="Z8" s="8">
        <f>IF((IF(OR(SUMPRODUCT(--('Repartition stock'!$A$6:$A$433="2026Q3"),--('Repartition stock'!$B$6:$B$433="FR"),--('Repartition stock'!$E$6:$E$433="Tranche"),--('Repartition stock'!$F$6:$F$433="1 - 10 €"))=0,SUMPRODUCT(--('Repartition stock'!$A$6:$A$433="2026Q3"),--('Repartition stock'!$B$6:$B$433="FR"),--('Repartition stock'!$E$6:$E$433="Tranche"),--('Repartition stock'!$F$6:$F$433="1 - 10 €"),--('Repartition stock'!$J$6:$J$433="n.d."))&gt;0),"n.d.",SUMPRODUCT(--('Repartition stock'!$A$6:$A$433="2026Q3"),--('Repartition stock'!$B$6:$B$433="FR"),--('Repartition stock'!$E$6:$E$433="Tranche"),--('Repartition stock'!$F$6:$F$433="1 - 10 €"),'Repartition stock'!$J$6:$J$433)))="n.d.",0,IF(OR(SUMPRODUCT(--('Repartition stock'!$A$6:$A$433="2026Q3"),--('Repartition stock'!$B$6:$B$433="FR"),--('Repartition stock'!$E$6:$E$433="Tranche"),--('Repartition stock'!$F$6:$F$433="1 - 10 €"))=0,SUMPRODUCT(--('Repartition stock'!$A$6:$A$433="2026Q3"),--('Repartition stock'!$B$6:$B$433="FR"),--('Repartition stock'!$E$6:$E$433="Tranche"),--('Repartition stock'!$F$6:$F$433="1 - 10 €"),--('Repartition stock'!$J$6:$J$433="n.d."))&gt;0),"n.d.",SUMPRODUCT(--('Repartition stock'!$A$6:$A$433="2026Q3"),--('Repartition stock'!$B$6:$B$433="FR"),--('Repartition stock'!$E$6:$E$433="Tranche"),--('Repartition stock'!$F$6:$F$433="1 - 10 €"),'Repartition stock'!$J$6:$J$433)))</f>
        <v>12415.0</v>
      </c>
      <c r="AA8" s="8"/>
      <c r="AB8" s="8"/>
      <c r="AC8" s="7">
        <f>IF((IF(OR(COUNT(X8,X12)&lt;&gt;2,X12=0),"n.d.",X8/X12))="n.d.",0,IF(OR(COUNT(X8,X12)&lt;&gt;2,X12=0),"n.d.",X8/X12))</f>
        <v>0.1598049837486457</v>
      </c>
      <c r="AD8" s="7"/>
      <c r="AE8" s="7">
        <f>IF((IF(OR(COUNT(Z8,Z12)&lt;&gt;2,Z12=0),"n.d.",Z8/Z12))="n.d.",0,IF(OR(COUNT(Z8,Z12)&lt;&gt;2,Z12=0),"n.d.",Z8/Z12))</f>
        <v>0.004305319453663111</v>
      </c>
      <c r="AF8" s="7"/>
    </row>
    <row r="9" spans="1:32" ht="13.5" customHeight="1">
      <c r="A9" s="13"/>
      <c r="R9" s="4"/>
      <c r="S9" s="4"/>
      <c r="T9" s="4"/>
      <c r="U9" s="16" t="s">
        <v>68</v>
      </c>
      <c r="V9" s="16"/>
      <c r="W9" s="16"/>
      <c r="X9" s="8">
        <f>IF((IF(OR(SUMPRODUCT(--('Repartition stock'!$A$6:$A$433="2026Q3"),--('Repartition stock'!$B$6:$B$433="FR"),--('Repartition stock'!$E$6:$E$433="Tranche"),--('Repartition stock'!$F$6:$F$433="10 - 100 €"))=0,SUMPRODUCT(--('Repartition stock'!$A$6:$A$433="2026Q3"),--('Repartition stock'!$B$6:$B$433="FR"),--('Repartition stock'!$E$6:$E$433="Tranche"),--('Repartition stock'!$F$6:$F$433="10 - 100 €"),--('Repartition stock'!$G$6:$G$433="n.d."))&gt;0),"n.d.",SUMPRODUCT(--('Repartition stock'!$A$6:$A$433="2026Q3"),--('Repartition stock'!$B$6:$B$433="FR"),--('Repartition stock'!$E$6:$E$433="Tranche"),--('Repartition stock'!$F$6:$F$433="10 - 100 €"),'Repartition stock'!$G$6:$G$433)))="n.d.",0,IF(OR(SUMPRODUCT(--('Repartition stock'!$A$6:$A$433="2026Q3"),--('Repartition stock'!$B$6:$B$433="FR"),--('Repartition stock'!$E$6:$E$433="Tranche"),--('Repartition stock'!$F$6:$F$433="10 - 100 €"))=0,SUMPRODUCT(--('Repartition stock'!$A$6:$A$433="2026Q3"),--('Repartition stock'!$B$6:$B$433="FR"),--('Repartition stock'!$E$6:$E$433="Tranche"),--('Repartition stock'!$F$6:$F$433="10 - 100 €"),--('Repartition stock'!$G$6:$G$433="n.d."))&gt;0),"n.d.",SUMPRODUCT(--('Repartition stock'!$A$6:$A$433="2026Q3"),--('Repartition stock'!$B$6:$B$433="FR"),--('Repartition stock'!$E$6:$E$433="Tranche"),--('Repartition stock'!$F$6:$F$433="10 - 100 €"),'Repartition stock'!$G$6:$G$433)))</f>
        <v>5941</v>
      </c>
      <c r="Y9" s="8"/>
      <c r="Z9" s="8">
        <f>IF((IF(OR(SUMPRODUCT(--('Repartition stock'!$A$6:$A$433="2026Q3"),--('Repartition stock'!$B$6:$B$433="FR"),--('Repartition stock'!$E$6:$E$433="Tranche"),--('Repartition stock'!$F$6:$F$433="10 - 100 €"))=0,SUMPRODUCT(--('Repartition stock'!$A$6:$A$433="2026Q3"),--('Repartition stock'!$B$6:$B$433="FR"),--('Repartition stock'!$E$6:$E$433="Tranche"),--('Repartition stock'!$F$6:$F$433="10 - 100 €"),--('Repartition stock'!$J$6:$J$433="n.d."))&gt;0),"n.d.",SUMPRODUCT(--('Repartition stock'!$A$6:$A$433="2026Q3"),--('Repartition stock'!$B$6:$B$433="FR"),--('Repartition stock'!$E$6:$E$433="Tranche"),--('Repartition stock'!$F$6:$F$433="10 - 100 €"),'Repartition stock'!$J$6:$J$433)))="n.d.",0,IF(OR(SUMPRODUCT(--('Repartition stock'!$A$6:$A$433="2026Q3"),--('Repartition stock'!$B$6:$B$433="FR"),--('Repartition stock'!$E$6:$E$433="Tranche"),--('Repartition stock'!$F$6:$F$433="10 - 100 €"))=0,SUMPRODUCT(--('Repartition stock'!$A$6:$A$433="2026Q3"),--('Repartition stock'!$B$6:$B$433="FR"),--('Repartition stock'!$E$6:$E$433="Tranche"),--('Repartition stock'!$F$6:$F$433="10 - 100 €"),--('Repartition stock'!$J$6:$J$433="n.d."))&gt;0),"n.d.",SUMPRODUCT(--('Repartition stock'!$A$6:$A$433="2026Q3"),--('Repartition stock'!$B$6:$B$433="FR"),--('Repartition stock'!$E$6:$E$433="Tranche"),--('Repartition stock'!$F$6:$F$433="10 - 100 €"),'Repartition stock'!$J$6:$J$433)))</f>
        <v>265568.0</v>
      </c>
      <c r="AA9" s="8"/>
      <c r="AB9" s="8"/>
      <c r="AC9" s="7">
        <f>IF((IF(OR(COUNT(X9,X12)&lt;&gt;2,X12=0),"n.d.",X9/X12))="n.d.",0,IF(OR(COUNT(X9,X12)&lt;&gt;2,X12=0),"n.d.",X9/X12))</f>
        <v>0.35758998435054773</v>
      </c>
      <c r="AD9" s="7"/>
      <c r="AE9" s="7">
        <f>IF((IF(OR(COUNT(Z9,Z12)&lt;&gt;2,Z12=0),"n.d.",Z9/Z12))="n.d.",0,IF(OR(COUNT(Z9,Z12)&lt;&gt;2,Z12=0),"n.d.",Z9/Z12))</f>
        <v>0.09209464975194563</v>
      </c>
      <c r="AF9" s="7"/>
    </row>
    <row r="10" spans="1:32" ht="13.5" customHeight="1">
      <c r="A10" s="13"/>
      <c r="R10" s="4"/>
      <c r="S10" s="4"/>
      <c r="T10" s="4"/>
      <c r="U10" s="16" t="s">
        <v>69</v>
      </c>
      <c r="V10" s="16"/>
      <c r="W10" s="16"/>
      <c r="X10" s="8">
        <f>IF((IF(OR(SUMPRODUCT(--('Repartition stock'!$A$6:$A$433="2026Q3"),--('Repartition stock'!$B$6:$B$433="FR"),--('Repartition stock'!$E$6:$E$433="Tranche"),--('Repartition stock'!$F$6:$F$433="100 - 1 000 €"))=0,SUMPRODUCT(--('Repartition stock'!$A$6:$A$433="2026Q3"),--('Repartition stock'!$B$6:$B$433="FR"),--('Repartition stock'!$E$6:$E$433="Tranche"),--('Repartition stock'!$F$6:$F$433="100 - 1 000 €"),--('Repartition stock'!$G$6:$G$433="n.d."))&gt;0),"n.d.",SUMPRODUCT(--('Repartition stock'!$A$6:$A$433="2026Q3"),--('Repartition stock'!$B$6:$B$433="FR"),--('Repartition stock'!$E$6:$E$433="Tranche"),--('Repartition stock'!$F$6:$F$433="100 - 1 000 €"),'Repartition stock'!$G$6:$G$433)))="n.d.",0,IF(OR(SUMPRODUCT(--('Repartition stock'!$A$6:$A$433="2026Q3"),--('Repartition stock'!$B$6:$B$433="FR"),--('Repartition stock'!$E$6:$E$433="Tranche"),--('Repartition stock'!$F$6:$F$433="100 - 1 000 €"))=0,SUMPRODUCT(--('Repartition stock'!$A$6:$A$433="2026Q3"),--('Repartition stock'!$B$6:$B$433="FR"),--('Repartition stock'!$E$6:$E$433="Tranche"),--('Repartition stock'!$F$6:$F$433="100 - 1 000 €"),--('Repartition stock'!$G$6:$G$433="n.d."))&gt;0),"n.d.",SUMPRODUCT(--('Repartition stock'!$A$6:$A$433="2026Q3"),--('Repartition stock'!$B$6:$B$433="FR"),--('Repartition stock'!$E$6:$E$433="Tranche"),--('Repartition stock'!$F$6:$F$433="100 - 1 000 €"),'Repartition stock'!$G$6:$G$433)))</f>
        <v>4688</v>
      </c>
      <c r="Y10" s="8"/>
      <c r="Z10" s="8">
        <f>IF((IF(OR(SUMPRODUCT(--('Repartition stock'!$A$6:$A$433="2026Q3"),--('Repartition stock'!$B$6:$B$433="FR"),--('Repartition stock'!$E$6:$E$433="Tranche"),--('Repartition stock'!$F$6:$F$433="100 - 1 000 €"))=0,SUMPRODUCT(--('Repartition stock'!$A$6:$A$433="2026Q3"),--('Repartition stock'!$B$6:$B$433="FR"),--('Repartition stock'!$E$6:$E$433="Tranche"),--('Repartition stock'!$F$6:$F$433="100 - 1 000 €"),--('Repartition stock'!$J$6:$J$433="n.d."))&gt;0),"n.d.",SUMPRODUCT(--('Repartition stock'!$A$6:$A$433="2026Q3"),--('Repartition stock'!$B$6:$B$433="FR"),--('Repartition stock'!$E$6:$E$433="Tranche"),--('Repartition stock'!$F$6:$F$433="100 - 1 000 €"),'Repartition stock'!$J$6:$J$433)))="n.d.",0,IF(OR(SUMPRODUCT(--('Repartition stock'!$A$6:$A$433="2026Q3"),--('Repartition stock'!$B$6:$B$433="FR"),--('Repartition stock'!$E$6:$E$433="Tranche"),--('Repartition stock'!$F$6:$F$433="100 - 1 000 €"))=0,SUMPRODUCT(--('Repartition stock'!$A$6:$A$433="2026Q3"),--('Repartition stock'!$B$6:$B$433="FR"),--('Repartition stock'!$E$6:$E$433="Tranche"),--('Repartition stock'!$F$6:$F$433="100 - 1 000 €"),--('Repartition stock'!$J$6:$J$433="n.d."))&gt;0),"n.d.",SUMPRODUCT(--('Repartition stock'!$A$6:$A$433="2026Q3"),--('Repartition stock'!$B$6:$B$433="FR"),--('Repartition stock'!$E$6:$E$433="Tranche"),--('Repartition stock'!$F$6:$F$433="100 - 1 000 €"),'Repartition stock'!$J$6:$J$433)))</f>
        <v>1357568.0</v>
      </c>
      <c r="AA10" s="8"/>
      <c r="AB10" s="8"/>
      <c r="AC10" s="7">
        <f>IF((IF(OR(COUNT(X10,X12)&lt;&gt;2,X12=0),"n.d.",X10/X12))="n.d.",0,IF(OR(COUNT(X10,X12)&lt;&gt;2,X12=0),"n.d.",X10/X12))</f>
        <v>0.28217166245335257</v>
      </c>
      <c r="AD10" s="7"/>
      <c r="AE10" s="7">
        <f>IF((IF(OR(COUNT(Z10,Z12)&lt;&gt;2,Z12=0),"n.d.",Z10/Z12))="n.d.",0,IF(OR(COUNT(Z10,Z12)&lt;&gt;2,Z12=0),"n.d.",Z10/Z12))</f>
        <v>0.4707824341579156</v>
      </c>
      <c r="AF10" s="7"/>
    </row>
    <row r="11" spans="1:32" ht="13.5" customHeight="1">
      <c r="A11" s="13"/>
      <c r="R11" s="4"/>
      <c r="S11" s="4"/>
      <c r="T11" s="4"/>
      <c r="U11" s="16" t="s">
        <v>70</v>
      </c>
      <c r="V11" s="16"/>
      <c r="W11" s="16"/>
      <c r="X11" s="8">
        <f>IF((IF(OR(SUMPRODUCT(--('Repartition stock'!$A$6:$A$433="2026Q3"),--('Repartition stock'!$B$6:$B$433="FR"),--('Repartition stock'!$E$6:$E$433="Tranche"),--('Repartition stock'!$F$6:$F$433="&gt; 1 000 €"))=0,SUMPRODUCT(--('Repartition stock'!$A$6:$A$433="2026Q3"),--('Repartition stock'!$B$6:$B$433="FR"),--('Repartition stock'!$E$6:$E$433="Tranche"),--('Repartition stock'!$F$6:$F$433="&gt; 1 000 €"),--('Repartition stock'!$G$6:$G$433="n.d."))&gt;0),"n.d.",SUMPRODUCT(--('Repartition stock'!$A$6:$A$433="2026Q3"),--('Repartition stock'!$B$6:$B$433="FR"),--('Repartition stock'!$E$6:$E$433="Tranche"),--('Repartition stock'!$F$6:$F$433="&gt; 1 000 €"),'Repartition stock'!$G$6:$G$433)))="n.d.",0,IF(OR(SUMPRODUCT(--('Repartition stock'!$A$6:$A$433="2026Q3"),--('Repartition stock'!$B$6:$B$433="FR"),--('Repartition stock'!$E$6:$E$433="Tranche"),--('Repartition stock'!$F$6:$F$433="&gt; 1 000 €"))=0,SUMPRODUCT(--('Repartition stock'!$A$6:$A$433="2026Q3"),--('Repartition stock'!$B$6:$B$433="FR"),--('Repartition stock'!$E$6:$E$433="Tranche"),--('Repartition stock'!$F$6:$F$433="&gt; 1 000 €"),--('Repartition stock'!$G$6:$G$433="n.d."))&gt;0),"n.d.",SUMPRODUCT(--('Repartition stock'!$A$6:$A$433="2026Q3"),--('Repartition stock'!$B$6:$B$433="FR"),--('Repartition stock'!$E$6:$E$433="Tranche"),--('Repartition stock'!$F$6:$F$433="&gt; 1 000 €"),'Repartition stock'!$G$6:$G$433)))</f>
        <v>559</v>
      </c>
      <c r="Y11" s="8"/>
      <c r="Z11" s="8">
        <f>IF((IF(OR(SUMPRODUCT(--('Repartition stock'!$A$6:$A$433="2026Q3"),--('Repartition stock'!$B$6:$B$433="FR"),--('Repartition stock'!$E$6:$E$433="Tranche"),--('Repartition stock'!$F$6:$F$433="&gt; 1 000 €"))=0,SUMPRODUCT(--('Repartition stock'!$A$6:$A$433="2026Q3"),--('Repartition stock'!$B$6:$B$433="FR"),--('Repartition stock'!$E$6:$E$433="Tranche"),--('Repartition stock'!$F$6:$F$433="&gt; 1 000 €"),--('Repartition stock'!$J$6:$J$433="n.d."))&gt;0),"n.d.",SUMPRODUCT(--('Repartition stock'!$A$6:$A$433="2026Q3"),--('Repartition stock'!$B$6:$B$433="FR"),--('Repartition stock'!$E$6:$E$433="Tranche"),--('Repartition stock'!$F$6:$F$433="&gt; 1 000 €"),'Repartition stock'!$J$6:$J$433)))="n.d.",0,IF(OR(SUMPRODUCT(--('Repartition stock'!$A$6:$A$433="2026Q3"),--('Repartition stock'!$B$6:$B$433="FR"),--('Repartition stock'!$E$6:$E$433="Tranche"),--('Repartition stock'!$F$6:$F$433="&gt; 1 000 €"))=0,SUMPRODUCT(--('Repartition stock'!$A$6:$A$433="2026Q3"),--('Repartition stock'!$B$6:$B$433="FR"),--('Repartition stock'!$E$6:$E$433="Tranche"),--('Repartition stock'!$F$6:$F$433="&gt; 1 000 €"),--('Repartition stock'!$J$6:$J$433="n.d."))&gt;0),"n.d.",SUMPRODUCT(--('Repartition stock'!$A$6:$A$433="2026Q3"),--('Repartition stock'!$B$6:$B$433="FR"),--('Repartition stock'!$E$6:$E$433="Tranche"),--('Repartition stock'!$F$6:$F$433="&gt; 1 000 €"),'Repartition stock'!$J$6:$J$433)))</f>
        <v>1247268.0</v>
      </c>
      <c r="AA11" s="8"/>
      <c r="AB11" s="8"/>
      <c r="AC11" s="7">
        <f>IF((IF(OR(COUNT(X11,X12)&lt;&gt;2,X12=0),"n.d.",X11/X12))="n.d.",0,IF(OR(COUNT(X11,X12)&lt;&gt;2,X12=0),"n.d.",X11/X12))</f>
        <v>0.033646322378716745</v>
      </c>
      <c r="AD11" s="7"/>
      <c r="AE11" s="7">
        <f>IF((IF(OR(COUNT(Z11,Z12)&lt;&gt;2,Z12=0),"n.d.",Z11/Z12))="n.d.",0,IF(OR(COUNT(Z11,Z12)&lt;&gt;2,Z12=0),"n.d.",Z11/Z12))</f>
        <v>0.43253219366342976</v>
      </c>
      <c r="AF11" s="7"/>
    </row>
    <row r="12" spans="1:32" ht="13.5" customHeight="1">
      <c r="A12" s="13"/>
      <c r="R12" s="17" t="s">
        <v>71</v>
      </c>
      <c r="S12" s="17"/>
      <c r="T12" s="17"/>
      <c r="U12" s="17"/>
      <c r="V12" s="17"/>
      <c r="W12" s="17"/>
      <c r="X12" s="17">
        <f>IF(('Presentation inputs'!D18)="n.d.",0,'Presentation inputs'!D18)</f>
        <v>16614</v>
      </c>
      <c r="Y12" s="17"/>
      <c r="Z12" s="17">
        <f>IF((IF(ISNUMBER('Presentation inputs'!E18),'Presentation inputs'!E18/(IF(OR(COUNTIFS('Consolidation'!$A$6:$A$47,"2026Q3",'Consolidation'!$B$6:$B$47,"FR")&lt;&gt;1,COUNTIFS('Consolidation'!$A$6:$A$47,"2026Q3",'Consolidation'!$B$6:$B$47,"FR",'Consolidation'!$E$6:$E$47,"n.d.")&gt;0),"n.d.",SUMIFS('Consolidation'!$E$6:$E$47,'Consolidation'!$A$6:$A$47,"2026Q3",'Consolidation'!$B$6:$B$47,"FR"))),"n.d."))="n.d.",0,IF(ISNUMBER('Presentation inputs'!E18),'Presentation inputs'!E18/(IF(OR(COUNTIFS('Consolidation'!$A$6:$A$47,"2026Q3",'Consolidation'!$B$6:$B$47,"FR")&lt;&gt;1,COUNTIFS('Consolidation'!$A$6:$A$47,"2026Q3",'Consolidation'!$B$6:$B$47,"FR",'Consolidation'!$E$6:$E$47,"n.d.")&gt;0),"n.d.",SUMIFS('Consolidation'!$E$6:$E$47,'Consolidation'!$A$6:$A$47,"2026Q3",'Consolidation'!$B$6:$B$47,"FR"))),"n.d."))</f>
        <v>2883642.0</v>
      </c>
      <c r="AA12" s="17"/>
      <c r="AB12" s="17"/>
      <c r="AC12" s="10">
        <f>IF((IF(OR(NOT(ISNUMBER(X12)),X12=0),"n.d.",1))="n.d.",0,IF(OR(NOT(ISNUMBER(X12)),X12=0),"n.d.",1))</f>
        <v>1.0</v>
      </c>
      <c r="AD12" s="10"/>
      <c r="AE12" s="10">
        <f>IF((IF(OR(NOT(ISNUMBER(Z12)),Z12=0),"n.d.",1))="n.d.",0,IF(OR(NOT(ISNUMBER(Z12)),Z12=0),"n.d.",1))</f>
        <v>1.0</v>
      </c>
      <c r="AF12" s="10"/>
    </row>
    <row r="13" spans="1:32" ht="13.5" customHeight="1">
      <c r="A13" s="13"/>
    </row>
    <row r="14" spans="1:32" ht="13.5" customHeight="1">
      <c r="A14" s="13"/>
      <c r="R14" s="4" t="s">
        <v>72</v>
      </c>
      <c r="S14" s="4"/>
      <c r="T14" s="4"/>
      <c r="U14" s="16" t="s">
        <v>73</v>
      </c>
      <c r="V14" s="16"/>
      <c r="W14" s="16"/>
      <c r="X14" s="8">
        <f>IF((IF(OR(SUMPRODUCT(--('Repartition stock'!$A$6:$A$433="2026Q3"),--('Repartition stock'!$B$6:$B$433="FR"),--('Repartition stock'!$E$6:$E$433="Millésime"),--('Repartition stock'!$F$6:$F$433="&lt;2018"))=0,SUMPRODUCT(--('Repartition stock'!$A$6:$A$433="2026Q3"),--('Repartition stock'!$B$6:$B$433="FR"),--('Repartition stock'!$E$6:$E$433="Millésime"),--('Repartition stock'!$F$6:$F$433="&lt;2018"),--('Repartition stock'!$G$6:$G$433="n.d."))&gt;0),"n.d.",SUMPRODUCT(--('Repartition stock'!$A$6:$A$433="2026Q3"),--('Repartition stock'!$B$6:$B$433="FR"),--('Repartition stock'!$E$6:$E$433="Millésime"),--('Repartition stock'!$F$6:$F$433="&lt;2018"),'Repartition stock'!$G$6:$G$433)))="n.d.",0,IF(OR(SUMPRODUCT(--('Repartition stock'!$A$6:$A$433="2026Q3"),--('Repartition stock'!$B$6:$B$433="FR"),--('Repartition stock'!$E$6:$E$433="Millésime"),--('Repartition stock'!$F$6:$F$433="&lt;2018"))=0,SUMPRODUCT(--('Repartition stock'!$A$6:$A$433="2026Q3"),--('Repartition stock'!$B$6:$B$433="FR"),--('Repartition stock'!$E$6:$E$433="Millésime"),--('Repartition stock'!$F$6:$F$433="&lt;2018"),--('Repartition stock'!$G$6:$G$433="n.d."))&gt;0),"n.d.",SUMPRODUCT(--('Repartition stock'!$A$6:$A$433="2026Q3"),--('Repartition stock'!$B$6:$B$433="FR"),--('Repartition stock'!$E$6:$E$433="Millésime"),--('Repartition stock'!$F$6:$F$433="&lt;2018"),'Repartition stock'!$G$6:$G$433)))</f>
        <v>0</v>
      </c>
      <c r="Y14" s="8"/>
      <c r="Z14" s="8">
        <f>IF((IF(OR(SUMPRODUCT(--('Repartition stock'!$A$6:$A$433="2026Q3"),--('Repartition stock'!$B$6:$B$433="FR"),--('Repartition stock'!$E$6:$E$433="Millésime"),--('Repartition stock'!$F$6:$F$433="&lt;2018"))=0,SUMPRODUCT(--('Repartition stock'!$A$6:$A$433="2026Q3"),--('Repartition stock'!$B$6:$B$433="FR"),--('Repartition stock'!$E$6:$E$433="Millésime"),--('Repartition stock'!$F$6:$F$433="&lt;2018"),--('Repartition stock'!$J$6:$J$433="n.d."))&gt;0),"n.d.",SUMPRODUCT(--('Repartition stock'!$A$6:$A$433="2026Q3"),--('Repartition stock'!$B$6:$B$433="FR"),--('Repartition stock'!$E$6:$E$433="Millésime"),--('Repartition stock'!$F$6:$F$433="&lt;2018"),'Repartition stock'!$J$6:$J$433)))="n.d.",0,IF(OR(SUMPRODUCT(--('Repartition stock'!$A$6:$A$433="2026Q3"),--('Repartition stock'!$B$6:$B$433="FR"),--('Repartition stock'!$E$6:$E$433="Millésime"),--('Repartition stock'!$F$6:$F$433="&lt;2018"))=0,SUMPRODUCT(--('Repartition stock'!$A$6:$A$433="2026Q3"),--('Repartition stock'!$B$6:$B$433="FR"),--('Repartition stock'!$E$6:$E$433="Millésime"),--('Repartition stock'!$F$6:$F$433="&lt;2018"),--('Repartition stock'!$J$6:$J$433="n.d."))&gt;0),"n.d.",SUMPRODUCT(--('Repartition stock'!$A$6:$A$433="2026Q3"),--('Repartition stock'!$B$6:$B$433="FR"),--('Repartition stock'!$E$6:$E$433="Millésime"),--('Repartition stock'!$F$6:$F$433="&lt;2018"),'Repartition stock'!$J$6:$J$433)))</f>
        <v>0.0</v>
      </c>
      <c r="AA14" s="8"/>
      <c r="AB14" s="8"/>
      <c r="AC14" s="7">
        <f>IF((IF(OR(COUNT(X14,X24)&lt;&gt;2,X24=0),"n.d.",X14/X24))="n.d.",0,IF(OR(COUNT(X14,X24)&lt;&gt;2,X24=0),"n.d.",X14/X24))</f>
        <v>0.0</v>
      </c>
      <c r="AD14" s="7"/>
      <c r="AE14" s="7">
        <f>IF((IF(OR(COUNT(Z14,Z24)&lt;&gt;2,Z24=0),"n.d.",Z14/Z24))="n.d.",0,IF(OR(COUNT(Z14,Z24)&lt;&gt;2,Z24=0),"n.d.",Z14/Z24))</f>
        <v>0.0</v>
      </c>
      <c r="AF14" s="7"/>
    </row>
    <row r="15" spans="1:32" ht="13.5" customHeight="1">
      <c r="A15" s="13"/>
      <c r="R15" s="4"/>
      <c r="S15" s="4"/>
      <c r="T15" s="4"/>
      <c r="U15" s="16" t="s">
        <v>74</v>
      </c>
      <c r="V15" s="16"/>
      <c r="W15" s="16"/>
      <c r="X15" s="8">
        <f>IF((IF(OR(SUMPRODUCT(--('Repartition stock'!$A$6:$A$433="2026Q3"),--('Repartition stock'!$B$6:$B$433="FR"),--('Repartition stock'!$E$6:$E$433="Millésime"),--('Repartition stock'!$F$6:$F$433="2018"))=0,SUMPRODUCT(--('Repartition stock'!$A$6:$A$433="2026Q3"),--('Repartition stock'!$B$6:$B$433="FR"),--('Repartition stock'!$E$6:$E$433="Millésime"),--('Repartition stock'!$F$6:$F$433="2018"),--('Repartition stock'!$G$6:$G$433="n.d."))&gt;0),"n.d.",SUMPRODUCT(--('Repartition stock'!$A$6:$A$433="2026Q3"),--('Repartition stock'!$B$6:$B$433="FR"),--('Repartition stock'!$E$6:$E$433="Millésime"),--('Repartition stock'!$F$6:$F$433="2018"),'Repartition stock'!$G$6:$G$433)))="n.d.",0,IF(OR(SUMPRODUCT(--('Repartition stock'!$A$6:$A$433="2026Q3"),--('Repartition stock'!$B$6:$B$433="FR"),--('Repartition stock'!$E$6:$E$433="Millésime"),--('Repartition stock'!$F$6:$F$433="2018"))=0,SUMPRODUCT(--('Repartition stock'!$A$6:$A$433="2026Q3"),--('Repartition stock'!$B$6:$B$433="FR"),--('Repartition stock'!$E$6:$E$433="Millésime"),--('Repartition stock'!$F$6:$F$433="2018"),--('Repartition stock'!$G$6:$G$433="n.d."))&gt;0),"n.d.",SUMPRODUCT(--('Repartition stock'!$A$6:$A$433="2026Q3"),--('Repartition stock'!$B$6:$B$433="FR"),--('Repartition stock'!$E$6:$E$433="Millésime"),--('Repartition stock'!$F$6:$F$433="2018"),'Repartition stock'!$G$6:$G$433)))</f>
        <v>0</v>
      </c>
      <c r="Y15" s="8"/>
      <c r="Z15" s="8">
        <f>IF((IF(OR(SUMPRODUCT(--('Repartition stock'!$A$6:$A$433="2026Q3"),--('Repartition stock'!$B$6:$B$433="FR"),--('Repartition stock'!$E$6:$E$433="Millésime"),--('Repartition stock'!$F$6:$F$433="2018"))=0,SUMPRODUCT(--('Repartition stock'!$A$6:$A$433="2026Q3"),--('Repartition stock'!$B$6:$B$433="FR"),--('Repartition stock'!$E$6:$E$433="Millésime"),--('Repartition stock'!$F$6:$F$433="2018"),--('Repartition stock'!$J$6:$J$433="n.d."))&gt;0),"n.d.",SUMPRODUCT(--('Repartition stock'!$A$6:$A$433="2026Q3"),--('Repartition stock'!$B$6:$B$433="FR"),--('Repartition stock'!$E$6:$E$433="Millésime"),--('Repartition stock'!$F$6:$F$433="2018"),'Repartition stock'!$J$6:$J$433)))="n.d.",0,IF(OR(SUMPRODUCT(--('Repartition stock'!$A$6:$A$433="2026Q3"),--('Repartition stock'!$B$6:$B$433="FR"),--('Repartition stock'!$E$6:$E$433="Millésime"),--('Repartition stock'!$F$6:$F$433="2018"))=0,SUMPRODUCT(--('Repartition stock'!$A$6:$A$433="2026Q3"),--('Repartition stock'!$B$6:$B$433="FR"),--('Repartition stock'!$E$6:$E$433="Millésime"),--('Repartition stock'!$F$6:$F$433="2018"),--('Repartition stock'!$J$6:$J$433="n.d."))&gt;0),"n.d.",SUMPRODUCT(--('Repartition stock'!$A$6:$A$433="2026Q3"),--('Repartition stock'!$B$6:$B$433="FR"),--('Repartition stock'!$E$6:$E$433="Millésime"),--('Repartition stock'!$F$6:$F$433="2018"),'Repartition stock'!$J$6:$J$433)))</f>
        <v>0.0</v>
      </c>
      <c r="AA15" s="8"/>
      <c r="AB15" s="8"/>
      <c r="AC15" s="7">
        <f>IF((IF(OR(COUNT(X15,X24)&lt;&gt;2,X24=0),"n.d.",X15/X24))="n.d.",0,IF(OR(COUNT(X15,X24)&lt;&gt;2,X24=0),"n.d.",X15/X24))</f>
        <v>0.0</v>
      </c>
      <c r="AD15" s="7"/>
      <c r="AE15" s="7">
        <f>IF((IF(OR(COUNT(Z15,Z24)&lt;&gt;2,Z24=0),"n.d.",Z15/Z24))="n.d.",0,IF(OR(COUNT(Z15,Z24)&lt;&gt;2,Z24=0),"n.d.",Z15/Z24))</f>
        <v>0.0</v>
      </c>
      <c r="AF15" s="7"/>
    </row>
    <row r="16" spans="1:32" ht="13.5" customHeight="1">
      <c r="A16" s="13"/>
      <c r="R16" s="4"/>
      <c r="S16" s="4"/>
      <c r="T16" s="4"/>
      <c r="U16" s="16" t="s">
        <v>75</v>
      </c>
      <c r="V16" s="16"/>
      <c r="W16" s="16"/>
      <c r="X16" s="8">
        <f>IF((IF(OR(SUMPRODUCT(--('Repartition stock'!$A$6:$A$433="2026Q3"),--('Repartition stock'!$B$6:$B$433="FR"),--('Repartition stock'!$E$6:$E$433="Millésime"),--('Repartition stock'!$F$6:$F$433="2019"))=0,SUMPRODUCT(--('Repartition stock'!$A$6:$A$433="2026Q3"),--('Repartition stock'!$B$6:$B$433="FR"),--('Repartition stock'!$E$6:$E$433="Millésime"),--('Repartition stock'!$F$6:$F$433="2019"),--('Repartition stock'!$G$6:$G$433="n.d."))&gt;0),"n.d.",SUMPRODUCT(--('Repartition stock'!$A$6:$A$433="2026Q3"),--('Repartition stock'!$B$6:$B$433="FR"),--('Repartition stock'!$E$6:$E$433="Millésime"),--('Repartition stock'!$F$6:$F$433="2019"),'Repartition stock'!$G$6:$G$433)))="n.d.",0,IF(OR(SUMPRODUCT(--('Repartition stock'!$A$6:$A$433="2026Q3"),--('Repartition stock'!$B$6:$B$433="FR"),--('Repartition stock'!$E$6:$E$433="Millésime"),--('Repartition stock'!$F$6:$F$433="2019"))=0,SUMPRODUCT(--('Repartition stock'!$A$6:$A$433="2026Q3"),--('Repartition stock'!$B$6:$B$433="FR"),--('Repartition stock'!$E$6:$E$433="Millésime"),--('Repartition stock'!$F$6:$F$433="2019"),--('Repartition stock'!$G$6:$G$433="n.d."))&gt;0),"n.d.",SUMPRODUCT(--('Repartition stock'!$A$6:$A$433="2026Q3"),--('Repartition stock'!$B$6:$B$433="FR"),--('Repartition stock'!$E$6:$E$433="Millésime"),--('Repartition stock'!$F$6:$F$433="2019"),'Repartition stock'!$G$6:$G$433)))</f>
        <v>0</v>
      </c>
      <c r="Y16" s="8"/>
      <c r="Z16" s="8">
        <f>IF((IF(OR(SUMPRODUCT(--('Repartition stock'!$A$6:$A$433="2026Q3"),--('Repartition stock'!$B$6:$B$433="FR"),--('Repartition stock'!$E$6:$E$433="Millésime"),--('Repartition stock'!$F$6:$F$433="2019"))=0,SUMPRODUCT(--('Repartition stock'!$A$6:$A$433="2026Q3"),--('Repartition stock'!$B$6:$B$433="FR"),--('Repartition stock'!$E$6:$E$433="Millésime"),--('Repartition stock'!$F$6:$F$433="2019"),--('Repartition stock'!$J$6:$J$433="n.d."))&gt;0),"n.d.",SUMPRODUCT(--('Repartition stock'!$A$6:$A$433="2026Q3"),--('Repartition stock'!$B$6:$B$433="FR"),--('Repartition stock'!$E$6:$E$433="Millésime"),--('Repartition stock'!$F$6:$F$433="2019"),'Repartition stock'!$J$6:$J$433)))="n.d.",0,IF(OR(SUMPRODUCT(--('Repartition stock'!$A$6:$A$433="2026Q3"),--('Repartition stock'!$B$6:$B$433="FR"),--('Repartition stock'!$E$6:$E$433="Millésime"),--('Repartition stock'!$F$6:$F$433="2019"))=0,SUMPRODUCT(--('Repartition stock'!$A$6:$A$433="2026Q3"),--('Repartition stock'!$B$6:$B$433="FR"),--('Repartition stock'!$E$6:$E$433="Millésime"),--('Repartition stock'!$F$6:$F$433="2019"),--('Repartition stock'!$J$6:$J$433="n.d."))&gt;0),"n.d.",SUMPRODUCT(--('Repartition stock'!$A$6:$A$433="2026Q3"),--('Repartition stock'!$B$6:$B$433="FR"),--('Repartition stock'!$E$6:$E$433="Millésime"),--('Repartition stock'!$F$6:$F$433="2019"),'Repartition stock'!$J$6:$J$433)))</f>
        <v>0.0</v>
      </c>
      <c r="AA16" s="8"/>
      <c r="AB16" s="8"/>
      <c r="AC16" s="7">
        <f>IF((IF(OR(COUNT(X16,X24)&lt;&gt;2,X24=0),"n.d.",X16/X24))="n.d.",0,IF(OR(COUNT(X16,X24)&lt;&gt;2,X24=0),"n.d.",X16/X24))</f>
        <v>0.0</v>
      </c>
      <c r="AD16" s="7"/>
      <c r="AE16" s="7">
        <f>IF((IF(OR(COUNT(Z16,Z24)&lt;&gt;2,Z24=0),"n.d.",Z16/Z24))="n.d.",0,IF(OR(COUNT(Z16,Z24)&lt;&gt;2,Z24=0),"n.d.",Z16/Z24))</f>
        <v>0.0</v>
      </c>
      <c r="AF16" s="7"/>
    </row>
    <row r="17" spans="1:32" ht="13.5" customHeight="1">
      <c r="A17" s="13"/>
      <c r="R17" s="4"/>
      <c r="S17" s="4"/>
      <c r="T17" s="4"/>
      <c r="U17" s="16" t="s">
        <v>76</v>
      </c>
      <c r="V17" s="16"/>
      <c r="W17" s="16"/>
      <c r="X17" s="8">
        <f>IF((IF(OR(SUMPRODUCT(--('Repartition stock'!$A$6:$A$433="2026Q3"),--('Repartition stock'!$B$6:$B$433="FR"),--('Repartition stock'!$E$6:$E$433="Millésime"),--('Repartition stock'!$F$6:$F$433="2020"))=0,SUMPRODUCT(--('Repartition stock'!$A$6:$A$433="2026Q3"),--('Repartition stock'!$B$6:$B$433="FR"),--('Repartition stock'!$E$6:$E$433="Millésime"),--('Repartition stock'!$F$6:$F$433="2020"),--('Repartition stock'!$G$6:$G$433="n.d."))&gt;0),"n.d.",SUMPRODUCT(--('Repartition stock'!$A$6:$A$433="2026Q3"),--('Repartition stock'!$B$6:$B$433="FR"),--('Repartition stock'!$E$6:$E$433="Millésime"),--('Repartition stock'!$F$6:$F$433="2020"),'Repartition stock'!$G$6:$G$433)))="n.d.",0,IF(OR(SUMPRODUCT(--('Repartition stock'!$A$6:$A$433="2026Q3"),--('Repartition stock'!$B$6:$B$433="FR"),--('Repartition stock'!$E$6:$E$433="Millésime"),--('Repartition stock'!$F$6:$F$433="2020"))=0,SUMPRODUCT(--('Repartition stock'!$A$6:$A$433="2026Q3"),--('Repartition stock'!$B$6:$B$433="FR"),--('Repartition stock'!$E$6:$E$433="Millésime"),--('Repartition stock'!$F$6:$F$433="2020"),--('Repartition stock'!$G$6:$G$433="n.d."))&gt;0),"n.d.",SUMPRODUCT(--('Repartition stock'!$A$6:$A$433="2026Q3"),--('Repartition stock'!$B$6:$B$433="FR"),--('Repartition stock'!$E$6:$E$433="Millésime"),--('Repartition stock'!$F$6:$F$433="2020"),'Repartition stock'!$G$6:$G$433)))</f>
        <v>0</v>
      </c>
      <c r="Y17" s="8"/>
      <c r="Z17" s="8">
        <f>IF((IF(OR(SUMPRODUCT(--('Repartition stock'!$A$6:$A$433="2026Q3"),--('Repartition stock'!$B$6:$B$433="FR"),--('Repartition stock'!$E$6:$E$433="Millésime"),--('Repartition stock'!$F$6:$F$433="2020"))=0,SUMPRODUCT(--('Repartition stock'!$A$6:$A$433="2026Q3"),--('Repartition stock'!$B$6:$B$433="FR"),--('Repartition stock'!$E$6:$E$433="Millésime"),--('Repartition stock'!$F$6:$F$433="2020"),--('Repartition stock'!$J$6:$J$433="n.d."))&gt;0),"n.d.",SUMPRODUCT(--('Repartition stock'!$A$6:$A$433="2026Q3"),--('Repartition stock'!$B$6:$B$433="FR"),--('Repartition stock'!$E$6:$E$433="Millésime"),--('Repartition stock'!$F$6:$F$433="2020"),'Repartition stock'!$J$6:$J$433)))="n.d.",0,IF(OR(SUMPRODUCT(--('Repartition stock'!$A$6:$A$433="2026Q3"),--('Repartition stock'!$B$6:$B$433="FR"),--('Repartition stock'!$E$6:$E$433="Millésime"),--('Repartition stock'!$F$6:$F$433="2020"))=0,SUMPRODUCT(--('Repartition stock'!$A$6:$A$433="2026Q3"),--('Repartition stock'!$B$6:$B$433="FR"),--('Repartition stock'!$E$6:$E$433="Millésime"),--('Repartition stock'!$F$6:$F$433="2020"),--('Repartition stock'!$J$6:$J$433="n.d."))&gt;0),"n.d.",SUMPRODUCT(--('Repartition stock'!$A$6:$A$433="2026Q3"),--('Repartition stock'!$B$6:$B$433="FR"),--('Repartition stock'!$E$6:$E$433="Millésime"),--('Repartition stock'!$F$6:$F$433="2020"),'Repartition stock'!$J$6:$J$433)))</f>
        <v>0.0</v>
      </c>
      <c r="AA17" s="8"/>
      <c r="AB17" s="8"/>
      <c r="AC17" s="7">
        <f>IF((IF(OR(COUNT(X17,X24)&lt;&gt;2,X24=0),"n.d.",X17/X24))="n.d.",0,IF(OR(COUNT(X17,X24)&lt;&gt;2,X24=0),"n.d.",X17/X24))</f>
        <v>0.0</v>
      </c>
      <c r="AD17" s="7"/>
      <c r="AE17" s="7">
        <f>IF((IF(OR(COUNT(Z17,Z24)&lt;&gt;2,Z24=0),"n.d.",Z17/Z24))="n.d.",0,IF(OR(COUNT(Z17,Z24)&lt;&gt;2,Z24=0),"n.d.",Z17/Z24))</f>
        <v>0.0</v>
      </c>
      <c r="AF17" s="7"/>
    </row>
    <row r="18" spans="1:32" ht="13.5" customHeight="1">
      <c r="A18" s="13"/>
      <c r="R18" s="4"/>
      <c r="S18" s="4"/>
      <c r="T18" s="4"/>
      <c r="U18" s="16" t="s">
        <v>77</v>
      </c>
      <c r="V18" s="16"/>
      <c r="W18" s="16"/>
      <c r="X18" s="8">
        <f>IF((IF(OR(SUMPRODUCT(--('Repartition stock'!$A$6:$A$433="2026Q3"),--('Repartition stock'!$B$6:$B$433="FR"),--('Repartition stock'!$E$6:$E$433="Millésime"),--('Repartition stock'!$F$6:$F$433="2021"))=0,SUMPRODUCT(--('Repartition stock'!$A$6:$A$433="2026Q3"),--('Repartition stock'!$B$6:$B$433="FR"),--('Repartition stock'!$E$6:$E$433="Millésime"),--('Repartition stock'!$F$6:$F$433="2021"),--('Repartition stock'!$G$6:$G$433="n.d."))&gt;0),"n.d.",SUMPRODUCT(--('Repartition stock'!$A$6:$A$433="2026Q3"),--('Repartition stock'!$B$6:$B$433="FR"),--('Repartition stock'!$E$6:$E$433="Millésime"),--('Repartition stock'!$F$6:$F$433="2021"),'Repartition stock'!$G$6:$G$433)))="n.d.",0,IF(OR(SUMPRODUCT(--('Repartition stock'!$A$6:$A$433="2026Q3"),--('Repartition stock'!$B$6:$B$433="FR"),--('Repartition stock'!$E$6:$E$433="Millésime"),--('Repartition stock'!$F$6:$F$433="2021"))=0,SUMPRODUCT(--('Repartition stock'!$A$6:$A$433="2026Q3"),--('Repartition stock'!$B$6:$B$433="FR"),--('Repartition stock'!$E$6:$E$433="Millésime"),--('Repartition stock'!$F$6:$F$433="2021"),--('Repartition stock'!$G$6:$G$433="n.d."))&gt;0),"n.d.",SUMPRODUCT(--('Repartition stock'!$A$6:$A$433="2026Q3"),--('Repartition stock'!$B$6:$B$433="FR"),--('Repartition stock'!$E$6:$E$433="Millésime"),--('Repartition stock'!$F$6:$F$433="2021"),'Repartition stock'!$G$6:$G$433)))</f>
        <v>0</v>
      </c>
      <c r="Y18" s="8"/>
      <c r="Z18" s="8">
        <f>IF((IF(OR(SUMPRODUCT(--('Repartition stock'!$A$6:$A$433="2026Q3"),--('Repartition stock'!$B$6:$B$433="FR"),--('Repartition stock'!$E$6:$E$433="Millésime"),--('Repartition stock'!$F$6:$F$433="2021"))=0,SUMPRODUCT(--('Repartition stock'!$A$6:$A$433="2026Q3"),--('Repartition stock'!$B$6:$B$433="FR"),--('Repartition stock'!$E$6:$E$433="Millésime"),--('Repartition stock'!$F$6:$F$433="2021"),--('Repartition stock'!$J$6:$J$433="n.d."))&gt;0),"n.d.",SUMPRODUCT(--('Repartition stock'!$A$6:$A$433="2026Q3"),--('Repartition stock'!$B$6:$B$433="FR"),--('Repartition stock'!$E$6:$E$433="Millésime"),--('Repartition stock'!$F$6:$F$433="2021"),'Repartition stock'!$J$6:$J$433)))="n.d.",0,IF(OR(SUMPRODUCT(--('Repartition stock'!$A$6:$A$433="2026Q3"),--('Repartition stock'!$B$6:$B$433="FR"),--('Repartition stock'!$E$6:$E$433="Millésime"),--('Repartition stock'!$F$6:$F$433="2021"))=0,SUMPRODUCT(--('Repartition stock'!$A$6:$A$433="2026Q3"),--('Repartition stock'!$B$6:$B$433="FR"),--('Repartition stock'!$E$6:$E$433="Millésime"),--('Repartition stock'!$F$6:$F$433="2021"),--('Repartition stock'!$J$6:$J$433="n.d."))&gt;0),"n.d.",SUMPRODUCT(--('Repartition stock'!$A$6:$A$433="2026Q3"),--('Repartition stock'!$B$6:$B$433="FR"),--('Repartition stock'!$E$6:$E$433="Millésime"),--('Repartition stock'!$F$6:$F$433="2021"),'Repartition stock'!$J$6:$J$433)))</f>
        <v>0.0</v>
      </c>
      <c r="AA18" s="8"/>
      <c r="AB18" s="8"/>
      <c r="AC18" s="7">
        <f>IF((IF(OR(COUNT(X18,X24)&lt;&gt;2,X24=0),"n.d.",X18/X24))="n.d.",0,IF(OR(COUNT(X18,X24)&lt;&gt;2,X24=0),"n.d.",X18/X24))</f>
        <v>0.0</v>
      </c>
      <c r="AD18" s="7"/>
      <c r="AE18" s="7">
        <f>IF((IF(OR(COUNT(Z18,Z24)&lt;&gt;2,Z24=0),"n.d.",Z18/Z24))="n.d.",0,IF(OR(COUNT(Z18,Z24)&lt;&gt;2,Z24=0),"n.d.",Z18/Z24))</f>
        <v>0.0</v>
      </c>
      <c r="AF18" s="7"/>
    </row>
    <row r="19" spans="1:32" ht="13.5" customHeight="1">
      <c r="A19" s="13"/>
      <c r="R19" s="4"/>
      <c r="S19" s="4"/>
      <c r="T19" s="4"/>
      <c r="U19" s="16" t="s">
        <v>78</v>
      </c>
      <c r="V19" s="16"/>
      <c r="W19" s="16"/>
      <c r="X19" s="8">
        <f>IF((IF(OR(SUMPRODUCT(--('Repartition stock'!$A$6:$A$433="2026Q3"),--('Repartition stock'!$B$6:$B$433="FR"),--('Repartition stock'!$E$6:$E$433="Millésime"),--('Repartition stock'!$F$6:$F$433="2022"))=0,SUMPRODUCT(--('Repartition stock'!$A$6:$A$433="2026Q3"),--('Repartition stock'!$B$6:$B$433="FR"),--('Repartition stock'!$E$6:$E$433="Millésime"),--('Repartition stock'!$F$6:$F$433="2022"),--('Repartition stock'!$G$6:$G$433="n.d."))&gt;0),"n.d.",SUMPRODUCT(--('Repartition stock'!$A$6:$A$433="2026Q3"),--('Repartition stock'!$B$6:$B$433="FR"),--('Repartition stock'!$E$6:$E$433="Millésime"),--('Repartition stock'!$F$6:$F$433="2022"),'Repartition stock'!$G$6:$G$433)))="n.d.",0,IF(OR(SUMPRODUCT(--('Repartition stock'!$A$6:$A$433="2026Q3"),--('Repartition stock'!$B$6:$B$433="FR"),--('Repartition stock'!$E$6:$E$433="Millésime"),--('Repartition stock'!$F$6:$F$433="2022"))=0,SUMPRODUCT(--('Repartition stock'!$A$6:$A$433="2026Q3"),--('Repartition stock'!$B$6:$B$433="FR"),--('Repartition stock'!$E$6:$E$433="Millésime"),--('Repartition stock'!$F$6:$F$433="2022"),--('Repartition stock'!$G$6:$G$433="n.d."))&gt;0),"n.d.",SUMPRODUCT(--('Repartition stock'!$A$6:$A$433="2026Q3"),--('Repartition stock'!$B$6:$B$433="FR"),--('Repartition stock'!$E$6:$E$433="Millésime"),--('Repartition stock'!$F$6:$F$433="2022"),'Repartition stock'!$G$6:$G$433)))</f>
        <v>0</v>
      </c>
      <c r="Y19" s="8"/>
      <c r="Z19" s="8">
        <f>IF((IF(OR(SUMPRODUCT(--('Repartition stock'!$A$6:$A$433="2026Q3"),--('Repartition stock'!$B$6:$B$433="FR"),--('Repartition stock'!$E$6:$E$433="Millésime"),--('Repartition stock'!$F$6:$F$433="2022"))=0,SUMPRODUCT(--('Repartition stock'!$A$6:$A$433="2026Q3"),--('Repartition stock'!$B$6:$B$433="FR"),--('Repartition stock'!$E$6:$E$433="Millésime"),--('Repartition stock'!$F$6:$F$433="2022"),--('Repartition stock'!$J$6:$J$433="n.d."))&gt;0),"n.d.",SUMPRODUCT(--('Repartition stock'!$A$6:$A$433="2026Q3"),--('Repartition stock'!$B$6:$B$433="FR"),--('Repartition stock'!$E$6:$E$433="Millésime"),--('Repartition stock'!$F$6:$F$433="2022"),'Repartition stock'!$J$6:$J$433)))="n.d.",0,IF(OR(SUMPRODUCT(--('Repartition stock'!$A$6:$A$433="2026Q3"),--('Repartition stock'!$B$6:$B$433="FR"),--('Repartition stock'!$E$6:$E$433="Millésime"),--('Repartition stock'!$F$6:$F$433="2022"))=0,SUMPRODUCT(--('Repartition stock'!$A$6:$A$433="2026Q3"),--('Repartition stock'!$B$6:$B$433="FR"),--('Repartition stock'!$E$6:$E$433="Millésime"),--('Repartition stock'!$F$6:$F$433="2022"),--('Repartition stock'!$J$6:$J$433="n.d."))&gt;0),"n.d.",SUMPRODUCT(--('Repartition stock'!$A$6:$A$433="2026Q3"),--('Repartition stock'!$B$6:$B$433="FR"),--('Repartition stock'!$E$6:$E$433="Millésime"),--('Repartition stock'!$F$6:$F$433="2022"),'Repartition stock'!$J$6:$J$433)))</f>
        <v>0.0</v>
      </c>
      <c r="AA19" s="8"/>
      <c r="AB19" s="8"/>
      <c r="AC19" s="7">
        <f>IF((IF(OR(COUNT(X19,X24)&lt;&gt;2,X24=0),"n.d.",X19/X24))="n.d.",0,IF(OR(COUNT(X19,X24)&lt;&gt;2,X24=0),"n.d.",X19/X24))</f>
        <v>0.0</v>
      </c>
      <c r="AD19" s="7"/>
      <c r="AE19" s="7">
        <f>IF((IF(OR(COUNT(Z19,Z24)&lt;&gt;2,Z24=0),"n.d.",Z19/Z24))="n.d.",0,IF(OR(COUNT(Z19,Z24)&lt;&gt;2,Z24=0),"n.d.",Z19/Z24))</f>
        <v>0.0</v>
      </c>
      <c r="AF19" s="7"/>
    </row>
    <row r="20" spans="1:32" ht="13.5" customHeight="1">
      <c r="A20" s="13"/>
      <c r="R20" s="4"/>
      <c r="S20" s="4"/>
      <c r="T20" s="4"/>
      <c r="U20" s="16" t="s">
        <v>79</v>
      </c>
      <c r="V20" s="16"/>
      <c r="W20" s="16"/>
      <c r="X20" s="8">
        <f>IF((IF(OR(SUMPRODUCT(--('Repartition stock'!$A$6:$A$433="2026Q3"),--('Repartition stock'!$B$6:$B$433="FR"),--('Repartition stock'!$E$6:$E$433="Millésime"),--('Repartition stock'!$F$6:$F$433="2023"))=0,SUMPRODUCT(--('Repartition stock'!$A$6:$A$433="2026Q3"),--('Repartition stock'!$B$6:$B$433="FR"),--('Repartition stock'!$E$6:$E$433="Millésime"),--('Repartition stock'!$F$6:$F$433="2023"),--('Repartition stock'!$G$6:$G$433="n.d."))&gt;0),"n.d.",SUMPRODUCT(--('Repartition stock'!$A$6:$A$433="2026Q3"),--('Repartition stock'!$B$6:$B$433="FR"),--('Repartition stock'!$E$6:$E$433="Millésime"),--('Repartition stock'!$F$6:$F$433="2023"),'Repartition stock'!$G$6:$G$433)))="n.d.",0,IF(OR(SUMPRODUCT(--('Repartition stock'!$A$6:$A$433="2026Q3"),--('Repartition stock'!$B$6:$B$433="FR"),--('Repartition stock'!$E$6:$E$433="Millésime"),--('Repartition stock'!$F$6:$F$433="2023"))=0,SUMPRODUCT(--('Repartition stock'!$A$6:$A$433="2026Q3"),--('Repartition stock'!$B$6:$B$433="FR"),--('Repartition stock'!$E$6:$E$433="Millésime"),--('Repartition stock'!$F$6:$F$433="2023"),--('Repartition stock'!$G$6:$G$433="n.d."))&gt;0),"n.d.",SUMPRODUCT(--('Repartition stock'!$A$6:$A$433="2026Q3"),--('Repartition stock'!$B$6:$B$433="FR"),--('Repartition stock'!$E$6:$E$433="Millésime"),--('Repartition stock'!$F$6:$F$433="2023"),'Repartition stock'!$G$6:$G$433)))</f>
        <v>0</v>
      </c>
      <c r="Y20" s="8"/>
      <c r="Z20" s="8">
        <f>IF((IF(OR(SUMPRODUCT(--('Repartition stock'!$A$6:$A$433="2026Q3"),--('Repartition stock'!$B$6:$B$433="FR"),--('Repartition stock'!$E$6:$E$433="Millésime"),--('Repartition stock'!$F$6:$F$433="2023"))=0,SUMPRODUCT(--('Repartition stock'!$A$6:$A$433="2026Q3"),--('Repartition stock'!$B$6:$B$433="FR"),--('Repartition stock'!$E$6:$E$433="Millésime"),--('Repartition stock'!$F$6:$F$433="2023"),--('Repartition stock'!$J$6:$J$433="n.d."))&gt;0),"n.d.",SUMPRODUCT(--('Repartition stock'!$A$6:$A$433="2026Q3"),--('Repartition stock'!$B$6:$B$433="FR"),--('Repartition stock'!$E$6:$E$433="Millésime"),--('Repartition stock'!$F$6:$F$433="2023"),'Repartition stock'!$J$6:$J$433)))="n.d.",0,IF(OR(SUMPRODUCT(--('Repartition stock'!$A$6:$A$433="2026Q3"),--('Repartition stock'!$B$6:$B$433="FR"),--('Repartition stock'!$E$6:$E$433="Millésime"),--('Repartition stock'!$F$6:$F$433="2023"))=0,SUMPRODUCT(--('Repartition stock'!$A$6:$A$433="2026Q3"),--('Repartition stock'!$B$6:$B$433="FR"),--('Repartition stock'!$E$6:$E$433="Millésime"),--('Repartition stock'!$F$6:$F$433="2023"),--('Repartition stock'!$J$6:$J$433="n.d."))&gt;0),"n.d.",SUMPRODUCT(--('Repartition stock'!$A$6:$A$433="2026Q3"),--('Repartition stock'!$B$6:$B$433="FR"),--('Repartition stock'!$E$6:$E$433="Millésime"),--('Repartition stock'!$F$6:$F$433="2023"),'Repartition stock'!$J$6:$J$433)))</f>
        <v>0.0</v>
      </c>
      <c r="AA20" s="8"/>
      <c r="AB20" s="8"/>
      <c r="AC20" s="7">
        <f>IF((IF(OR(COUNT(X20,X24)&lt;&gt;2,X24=0),"n.d.",X20/X24))="n.d.",0,IF(OR(COUNT(X20,X24)&lt;&gt;2,X24=0),"n.d.",X20/X24))</f>
        <v>0.0</v>
      </c>
      <c r="AD20" s="7"/>
      <c r="AE20" s="7">
        <f>IF((IF(OR(COUNT(Z20,Z24)&lt;&gt;2,Z24=0),"n.d.",Z20/Z24))="n.d.",0,IF(OR(COUNT(Z20,Z24)&lt;&gt;2,Z24=0),"n.d.",Z20/Z24))</f>
        <v>0.0</v>
      </c>
      <c r="AF20" s="7"/>
    </row>
    <row r="21" spans="1:32" ht="13.5" customHeight="1">
      <c r="A21" s="13"/>
      <c r="R21" s="4"/>
      <c r="S21" s="4"/>
      <c r="T21" s="4"/>
      <c r="U21" s="16" t="s">
        <v>80</v>
      </c>
      <c r="V21" s="16"/>
      <c r="W21" s="16"/>
      <c r="X21" s="8">
        <f>IF((IF(OR(SUMPRODUCT(--('Repartition stock'!$A$6:$A$433="2026Q3"),--('Repartition stock'!$B$6:$B$433="FR"),--('Repartition stock'!$E$6:$E$433="Millésime"),--('Repartition stock'!$F$6:$F$433="2024"))=0,SUMPRODUCT(--('Repartition stock'!$A$6:$A$433="2026Q3"),--('Repartition stock'!$B$6:$B$433="FR"),--('Repartition stock'!$E$6:$E$433="Millésime"),--('Repartition stock'!$F$6:$F$433="2024"),--('Repartition stock'!$G$6:$G$433="n.d."))&gt;0),"n.d.",SUMPRODUCT(--('Repartition stock'!$A$6:$A$433="2026Q3"),--('Repartition stock'!$B$6:$B$433="FR"),--('Repartition stock'!$E$6:$E$433="Millésime"),--('Repartition stock'!$F$6:$F$433="2024"),'Repartition stock'!$G$6:$G$433)))="n.d.",0,IF(OR(SUMPRODUCT(--('Repartition stock'!$A$6:$A$433="2026Q3"),--('Repartition stock'!$B$6:$B$433="FR"),--('Repartition stock'!$E$6:$E$433="Millésime"),--('Repartition stock'!$F$6:$F$433="2024"))=0,SUMPRODUCT(--('Repartition stock'!$A$6:$A$433="2026Q3"),--('Repartition stock'!$B$6:$B$433="FR"),--('Repartition stock'!$E$6:$E$433="Millésime"),--('Repartition stock'!$F$6:$F$433="2024"),--('Repartition stock'!$G$6:$G$433="n.d."))&gt;0),"n.d.",SUMPRODUCT(--('Repartition stock'!$A$6:$A$433="2026Q3"),--('Repartition stock'!$B$6:$B$433="FR"),--('Repartition stock'!$E$6:$E$433="Millésime"),--('Repartition stock'!$F$6:$F$433="2024"),'Repartition stock'!$G$6:$G$433)))</f>
        <v>0</v>
      </c>
      <c r="Y21" s="8"/>
      <c r="Z21" s="8">
        <f>IF((IF(OR(SUMPRODUCT(--('Repartition stock'!$A$6:$A$433="2026Q3"),--('Repartition stock'!$B$6:$B$433="FR"),--('Repartition stock'!$E$6:$E$433="Millésime"),--('Repartition stock'!$F$6:$F$433="2024"))=0,SUMPRODUCT(--('Repartition stock'!$A$6:$A$433="2026Q3"),--('Repartition stock'!$B$6:$B$433="FR"),--('Repartition stock'!$E$6:$E$433="Millésime"),--('Repartition stock'!$F$6:$F$433="2024"),--('Repartition stock'!$J$6:$J$433="n.d."))&gt;0),"n.d.",SUMPRODUCT(--('Repartition stock'!$A$6:$A$433="2026Q3"),--('Repartition stock'!$B$6:$B$433="FR"),--('Repartition stock'!$E$6:$E$433="Millésime"),--('Repartition stock'!$F$6:$F$433="2024"),'Repartition stock'!$J$6:$J$433)))="n.d.",0,IF(OR(SUMPRODUCT(--('Repartition stock'!$A$6:$A$433="2026Q3"),--('Repartition stock'!$B$6:$B$433="FR"),--('Repartition stock'!$E$6:$E$433="Millésime"),--('Repartition stock'!$F$6:$F$433="2024"))=0,SUMPRODUCT(--('Repartition stock'!$A$6:$A$433="2026Q3"),--('Repartition stock'!$B$6:$B$433="FR"),--('Repartition stock'!$E$6:$E$433="Millésime"),--('Repartition stock'!$F$6:$F$433="2024"),--('Repartition stock'!$J$6:$J$433="n.d."))&gt;0),"n.d.",SUMPRODUCT(--('Repartition stock'!$A$6:$A$433="2026Q3"),--('Repartition stock'!$B$6:$B$433="FR"),--('Repartition stock'!$E$6:$E$433="Millésime"),--('Repartition stock'!$F$6:$F$433="2024"),'Repartition stock'!$J$6:$J$433)))</f>
        <v>0.0</v>
      </c>
      <c r="AA21" s="8"/>
      <c r="AB21" s="8"/>
      <c r="AC21" s="7">
        <f>IF((IF(OR(COUNT(X21,X24)&lt;&gt;2,X24=0),"n.d.",X21/X24))="n.d.",0,IF(OR(COUNT(X21,X24)&lt;&gt;2,X24=0),"n.d.",X21/X24))</f>
        <v>0.0</v>
      </c>
      <c r="AD21" s="7"/>
      <c r="AE21" s="7">
        <f>IF((IF(OR(COUNT(Z21,Z24)&lt;&gt;2,Z24=0),"n.d.",Z21/Z24))="n.d.",0,IF(OR(COUNT(Z21,Z24)&lt;&gt;2,Z24=0),"n.d.",Z21/Z24))</f>
        <v>0.0</v>
      </c>
      <c r="AF21" s="7"/>
    </row>
    <row r="22" spans="1:32" ht="13.5" customHeight="1">
      <c r="A22" s="13"/>
      <c r="R22" s="4"/>
      <c r="S22" s="4"/>
      <c r="T22" s="4"/>
      <c r="U22" s="16" t="s">
        <v>50</v>
      </c>
      <c r="V22" s="16"/>
      <c r="W22" s="16"/>
      <c r="X22" s="8">
        <f>IF((IF(OR(SUMPRODUCT(--('Repartition stock'!$A$6:$A$433="2026Q3"),--('Repartition stock'!$B$6:$B$433="FR"),--('Repartition stock'!$E$6:$E$433="Millésime"),--('Repartition stock'!$F$6:$F$433="2025"))=0,SUMPRODUCT(--('Repartition stock'!$A$6:$A$433="2026Q3"),--('Repartition stock'!$B$6:$B$433="FR"),--('Repartition stock'!$E$6:$E$433="Millésime"),--('Repartition stock'!$F$6:$F$433="2025"),--('Repartition stock'!$G$6:$G$433="n.d."))&gt;0),"n.d.",SUMPRODUCT(--('Repartition stock'!$A$6:$A$433="2026Q3"),--('Repartition stock'!$B$6:$B$433="FR"),--('Repartition stock'!$E$6:$E$433="Millésime"),--('Repartition stock'!$F$6:$F$433="2025"),'Repartition stock'!$G$6:$G$433)))="n.d.",0,IF(OR(SUMPRODUCT(--('Repartition stock'!$A$6:$A$433="2026Q3"),--('Repartition stock'!$B$6:$B$433="FR"),--('Repartition stock'!$E$6:$E$433="Millésime"),--('Repartition stock'!$F$6:$F$433="2025"))=0,SUMPRODUCT(--('Repartition stock'!$A$6:$A$433="2026Q3"),--('Repartition stock'!$B$6:$B$433="FR"),--('Repartition stock'!$E$6:$E$433="Millésime"),--('Repartition stock'!$F$6:$F$433="2025"),--('Repartition stock'!$G$6:$G$433="n.d."))&gt;0),"n.d.",SUMPRODUCT(--('Repartition stock'!$A$6:$A$433="2026Q3"),--('Repartition stock'!$B$6:$B$433="FR"),--('Repartition stock'!$E$6:$E$433="Millésime"),--('Repartition stock'!$F$6:$F$433="2025"),'Repartition stock'!$G$6:$G$433)))</f>
        <v>934</v>
      </c>
      <c r="Y22" s="8"/>
      <c r="Z22" s="8">
        <f>IF((IF(OR(SUMPRODUCT(--('Repartition stock'!$A$6:$A$433="2026Q3"),--('Repartition stock'!$B$6:$B$433="FR"),--('Repartition stock'!$E$6:$E$433="Millésime"),--('Repartition stock'!$F$6:$F$433="2025"))=0,SUMPRODUCT(--('Repartition stock'!$A$6:$A$433="2026Q3"),--('Repartition stock'!$B$6:$B$433="FR"),--('Repartition stock'!$E$6:$E$433="Millésime"),--('Repartition stock'!$F$6:$F$433="2025"),--('Repartition stock'!$J$6:$J$433="n.d."))&gt;0),"n.d.",SUMPRODUCT(--('Repartition stock'!$A$6:$A$433="2026Q3"),--('Repartition stock'!$B$6:$B$433="FR"),--('Repartition stock'!$E$6:$E$433="Millésime"),--('Repartition stock'!$F$6:$F$433="2025"),'Repartition stock'!$J$6:$J$433)))="n.d.",0,IF(OR(SUMPRODUCT(--('Repartition stock'!$A$6:$A$433="2026Q3"),--('Repartition stock'!$B$6:$B$433="FR"),--('Repartition stock'!$E$6:$E$433="Millésime"),--('Repartition stock'!$F$6:$F$433="2025"))=0,SUMPRODUCT(--('Repartition stock'!$A$6:$A$433="2026Q3"),--('Repartition stock'!$B$6:$B$433="FR"),--('Repartition stock'!$E$6:$E$433="Millésime"),--('Repartition stock'!$F$6:$F$433="2025"),--('Repartition stock'!$J$6:$J$433="n.d."))&gt;0),"n.d.",SUMPRODUCT(--('Repartition stock'!$A$6:$A$433="2026Q3"),--('Repartition stock'!$B$6:$B$433="FR"),--('Repartition stock'!$E$6:$E$433="Millésime"),--('Repartition stock'!$F$6:$F$433="2025"),'Repartition stock'!$J$6:$J$433)))</f>
        <v>221972.0</v>
      </c>
      <c r="AA22" s="8"/>
      <c r="AB22" s="8"/>
      <c r="AC22" s="7">
        <f>IF((IF(OR(COUNT(X22,X24)&lt;&gt;2,X24=0),"n.d.",X22/X24))="n.d.",0,IF(OR(COUNT(X22,X24)&lt;&gt;2,X24=0),"n.d.",X22/X24))</f>
        <v>0.05621764776694354</v>
      </c>
      <c r="AD22" s="7"/>
      <c r="AE22" s="7">
        <f>IF((IF(OR(COUNT(Z22,Z24)&lt;&gt;2,Z24=0),"n.d.",Z22/Z24))="n.d.",0,IF(OR(COUNT(Z22,Z24)&lt;&gt;2,Z24=0),"n.d.",Z22/Z24))</f>
        <v>0.07697626820527652</v>
      </c>
      <c r="AF22" s="7"/>
    </row>
    <row r="23" spans="1:32" ht="13.5" customHeight="1">
      <c r="A23" s="13"/>
      <c r="R23" s="4"/>
      <c r="S23" s="4"/>
      <c r="T23" s="4"/>
      <c r="U23" s="16" t="s">
        <v>51</v>
      </c>
      <c r="V23" s="16"/>
      <c r="W23" s="16"/>
      <c r="X23" s="8">
        <f>IF((IF(OR(SUMPRODUCT(--('Repartition stock'!$A$6:$A$433="2026Q3"),--('Repartition stock'!$B$6:$B$433="FR"),--('Repartition stock'!$E$6:$E$433="Millésime"),--('Repartition stock'!$F$6:$F$433="2026"))=0,SUMPRODUCT(--('Repartition stock'!$A$6:$A$433="2026Q3"),--('Repartition stock'!$B$6:$B$433="FR"),--('Repartition stock'!$E$6:$E$433="Millésime"),--('Repartition stock'!$F$6:$F$433="2026"),--('Repartition stock'!$G$6:$G$433="n.d."))&gt;0),"n.d.",SUMPRODUCT(--('Repartition stock'!$A$6:$A$433="2026Q3"),--('Repartition stock'!$B$6:$B$433="FR"),--('Repartition stock'!$E$6:$E$433="Millésime"),--('Repartition stock'!$F$6:$F$433="2026"),'Repartition stock'!$G$6:$G$433)))="n.d.",0,IF(OR(SUMPRODUCT(--('Repartition stock'!$A$6:$A$433="2026Q3"),--('Repartition stock'!$B$6:$B$433="FR"),--('Repartition stock'!$E$6:$E$433="Millésime"),--('Repartition stock'!$F$6:$F$433="2026"))=0,SUMPRODUCT(--('Repartition stock'!$A$6:$A$433="2026Q3"),--('Repartition stock'!$B$6:$B$433="FR"),--('Repartition stock'!$E$6:$E$433="Millésime"),--('Repartition stock'!$F$6:$F$433="2026"),--('Repartition stock'!$G$6:$G$433="n.d."))&gt;0),"n.d.",SUMPRODUCT(--('Repartition stock'!$A$6:$A$433="2026Q3"),--('Repartition stock'!$B$6:$B$433="FR"),--('Repartition stock'!$E$6:$E$433="Millésime"),--('Repartition stock'!$F$6:$F$433="2026"),'Repartition stock'!$G$6:$G$433)))</f>
        <v>15680</v>
      </c>
      <c r="Y23" s="8"/>
      <c r="Z23" s="8">
        <f>IF((IF(OR(SUMPRODUCT(--('Repartition stock'!$A$6:$A$433="2026Q3"),--('Repartition stock'!$B$6:$B$433="FR"),--('Repartition stock'!$E$6:$E$433="Millésime"),--('Repartition stock'!$F$6:$F$433="2026"))=0,SUMPRODUCT(--('Repartition stock'!$A$6:$A$433="2026Q3"),--('Repartition stock'!$B$6:$B$433="FR"),--('Repartition stock'!$E$6:$E$433="Millésime"),--('Repartition stock'!$F$6:$F$433="2026"),--('Repartition stock'!$J$6:$J$433="n.d."))&gt;0),"n.d.",SUMPRODUCT(--('Repartition stock'!$A$6:$A$433="2026Q3"),--('Repartition stock'!$B$6:$B$433="FR"),--('Repartition stock'!$E$6:$E$433="Millésime"),--('Repartition stock'!$F$6:$F$433="2026"),'Repartition stock'!$J$6:$J$433)))="n.d.",0,IF(OR(SUMPRODUCT(--('Repartition stock'!$A$6:$A$433="2026Q3"),--('Repartition stock'!$B$6:$B$433="FR"),--('Repartition stock'!$E$6:$E$433="Millésime"),--('Repartition stock'!$F$6:$F$433="2026"))=0,SUMPRODUCT(--('Repartition stock'!$A$6:$A$433="2026Q3"),--('Repartition stock'!$B$6:$B$433="FR"),--('Repartition stock'!$E$6:$E$433="Millésime"),--('Repartition stock'!$F$6:$F$433="2026"),--('Repartition stock'!$J$6:$J$433="n.d."))&gt;0),"n.d.",SUMPRODUCT(--('Repartition stock'!$A$6:$A$433="2026Q3"),--('Repartition stock'!$B$6:$B$433="FR"),--('Repartition stock'!$E$6:$E$433="Millésime"),--('Repartition stock'!$F$6:$F$433="2026"),'Repartition stock'!$J$6:$J$433)))</f>
        <v>2661670.0</v>
      </c>
      <c r="AA23" s="8"/>
      <c r="AB23" s="8"/>
      <c r="AC23" s="7">
        <f>IF((IF(OR(COUNT(X23,X24)&lt;&gt;2,X24=0),"n.d.",X23/X24))="n.d.",0,IF(OR(COUNT(X23,X24)&lt;&gt;2,X24=0),"n.d.",X23/X24))</f>
        <v>0.9437823522330565</v>
      </c>
      <c r="AD23" s="7"/>
      <c r="AE23" s="7">
        <f>IF((IF(OR(COUNT(Z23,Z24)&lt;&gt;2,Z24=0),"n.d.",Z23/Z24))="n.d.",0,IF(OR(COUNT(Z23,Z24)&lt;&gt;2,Z24=0),"n.d.",Z23/Z24))</f>
        <v>0.9230237317947235</v>
      </c>
      <c r="AF23" s="7"/>
    </row>
    <row r="24" spans="1:32" ht="13.5" customHeight="1">
      <c r="A24" s="13"/>
      <c r="R24" s="17" t="s">
        <v>71</v>
      </c>
      <c r="S24" s="17"/>
      <c r="T24" s="17"/>
      <c r="U24" s="17"/>
      <c r="V24" s="17"/>
      <c r="W24" s="17"/>
      <c r="X24" s="17">
        <f>IF(('Presentation inputs'!D19)="n.d.",0,'Presentation inputs'!D19)</f>
        <v>16614</v>
      </c>
      <c r="Y24" s="17"/>
      <c r="Z24" s="17">
        <f>IF((IF(ISNUMBER('Presentation inputs'!E19),'Presentation inputs'!E19/(IF(OR(COUNTIFS('Consolidation'!$A$6:$A$47,"2026Q3",'Consolidation'!$B$6:$B$47,"FR")&lt;&gt;1,COUNTIFS('Consolidation'!$A$6:$A$47,"2026Q3",'Consolidation'!$B$6:$B$47,"FR",'Consolidation'!$E$6:$E$47,"n.d.")&gt;0),"n.d.",SUMIFS('Consolidation'!$E$6:$E$47,'Consolidation'!$A$6:$A$47,"2026Q3",'Consolidation'!$B$6:$B$47,"FR"))),"n.d."))="n.d.",0,IF(ISNUMBER('Presentation inputs'!E19),'Presentation inputs'!E19/(IF(OR(COUNTIFS('Consolidation'!$A$6:$A$47,"2026Q3",'Consolidation'!$B$6:$B$47,"FR")&lt;&gt;1,COUNTIFS('Consolidation'!$A$6:$A$47,"2026Q3",'Consolidation'!$B$6:$B$47,"FR",'Consolidation'!$E$6:$E$47,"n.d.")&gt;0),"n.d.",SUMIFS('Consolidation'!$E$6:$E$47,'Consolidation'!$A$6:$A$47,"2026Q3",'Consolidation'!$B$6:$B$47,"FR"))),"n.d."))</f>
        <v>2883642.0</v>
      </c>
      <c r="AA24" s="17"/>
      <c r="AB24" s="17"/>
      <c r="AC24" s="10">
        <f>IF((IF(OR(NOT(ISNUMBER(X24)),X24=0),"n.d.",1))="n.d.",0,IF(OR(NOT(ISNUMBER(X24)),X24=0),"n.d.",1))</f>
        <v>1.0</v>
      </c>
      <c r="AD24" s="10"/>
      <c r="AE24" s="10">
        <f>IF((IF(OR(NOT(ISNUMBER(Z24)),Z24=0),"n.d.",1))="n.d.",0,IF(OR(NOT(ISNUMBER(Z24)),Z24=0),"n.d.",1))</f>
        <v>1.0</v>
      </c>
      <c r="AF24" s="10"/>
    </row>
    <row r="25" spans="1:32" ht="13.5" customHeight="1">
      <c r="A25" s="13"/>
    </row>
    <row r="26" spans="1:32" ht="13.5" customHeight="1">
      <c r="A26" s="13"/>
    </row>
    <row r="27" spans="1:32" ht="13.5" customHeight="1">
      <c r="A27" s="13"/>
    </row>
    <row r="28" spans="1:32" ht="13.5" customHeight="1">
      <c r="A28" s="13"/>
    </row>
    <row r="29" spans="1:32" ht="13.5" customHeight="1">
      <c r="A29" s="13"/>
    </row>
    <row r="30" spans="1:32" ht="13.5" customHeight="1">
      <c r="A30" s="13"/>
      <c r="B30" s="11" t="str">
        <f>"Average monthly new flow: "&amp;IF(ISNUMBER('GraphData'!A213),TEXT('GraphData'!A213,"#,##0"),"0")&amp;" EUR. Average balance per contract: "&amp;IF(ISNUMBER('GraphData'!B213),TEXT('GraphData'!B213,"#,##0"),"0")&amp;" EUR."</f>
        <v>Average monthly new flow: 1,574,089 EUR. Average balance per contract: 202 EUR.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tr">
        <f>"Oldest cohort (M-5): "&amp;IF(ISNUMBER('GraphData'!C213),TEXT('GraphData'!C213,"0.0%"),"0")&amp;" treated in amount and "&amp;IF(ISNUMBER('GraphData'!D213),TEXT('GraphData'!D213,"0.0%"),"0")&amp;" in number."</f>
        <v>Oldest cohort (M-5): 100.0% treated in amount and 100.0% in number.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tr">
        <f>"Stock to process: "&amp;IF(ISNUMBER('GraphData'!E213),TEXT('GraphData'!E213,"#,##0"),"0")&amp;" EUR. Identified stock: "&amp;IF(ISNUMBER('GraphData'!F213),TEXT('GraphData'!F213,"#,##0"),"0")&amp;" EUR."</f>
        <v>Stock to process: 2,145,041 EUR. Identified stock: 2,883,642 EUR.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93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94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95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96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72</v>
      </c>
      <c r="S7" s="4"/>
      <c r="T7" s="4"/>
      <c r="U7" s="16" t="s">
        <v>73</v>
      </c>
      <c r="V7" s="16"/>
      <c r="W7" s="16"/>
      <c r="X7" s="8">
        <f>IF((IF(OR(SUMPRODUCT(--('Repartition stock'!$A$6:$A$433="2026Q3"),--('Repartition stock'!$B$6:$B$433="UK"),--('Repartition stock'!$E$6:$E$433="Millésime"),--('Repartition stock'!$F$6:$F$433="&lt;2018"))=0,SUMPRODUCT(--('Repartition stock'!$A$6:$A$433="2026Q3"),--('Repartition stock'!$B$6:$B$433="UK"),--('Repartition stock'!$E$6:$E$433="Millésime"),--('Repartition stock'!$F$6:$F$433="&lt;2018"),--('Repartition stock'!$G$6:$G$433="n.d."))&gt;0),"n.d.",SUMPRODUCT(--('Repartition stock'!$A$6:$A$433="2026Q3"),--('Repartition stock'!$B$6:$B$433="UK"),--('Repartition stock'!$E$6:$E$433="Millésime"),--('Repartition stock'!$F$6:$F$433="&lt;2018"),'Repartition stock'!$G$6:$G$433)))="n.d.",0,IF(OR(SUMPRODUCT(--('Repartition stock'!$A$6:$A$433="2026Q3"),--('Repartition stock'!$B$6:$B$433="UK"),--('Repartition stock'!$E$6:$E$433="Millésime"),--('Repartition stock'!$F$6:$F$433="&lt;2018"))=0,SUMPRODUCT(--('Repartition stock'!$A$6:$A$433="2026Q3"),--('Repartition stock'!$B$6:$B$433="UK"),--('Repartition stock'!$E$6:$E$433="Millésime"),--('Repartition stock'!$F$6:$F$433="&lt;2018"),--('Repartition stock'!$G$6:$G$433="n.d."))&gt;0),"n.d.",SUMPRODUCT(--('Repartition stock'!$A$6:$A$433="2026Q3"),--('Repartition stock'!$B$6:$B$433="UK"),--('Repartition stock'!$E$6:$E$433="Millésime"),--('Repartition stock'!$F$6:$F$433="&lt;2018"),'Repartition stock'!$G$6:$G$433)))</f>
        <v>1321.0</v>
      </c>
      <c r="Y7" s="8"/>
      <c r="Z7" s="8">
        <f>IF((IF(OR(SUMPRODUCT(--('Repartition stock'!$A$6:$A$433="2026Q3"),--('Repartition stock'!$B$6:$B$433="UK"),--('Repartition stock'!$E$6:$E$433="Millésime"),--('Repartition stock'!$F$6:$F$433="&lt;2018"))=0,SUMPRODUCT(--('Repartition stock'!$A$6:$A$433="2026Q3"),--('Repartition stock'!$B$6:$B$433="UK"),--('Repartition stock'!$E$6:$E$433="Millésime"),--('Repartition stock'!$F$6:$F$433="&lt;2018"),--('Repartition stock'!$H$6:$H$433="n.d."))&gt;0),"n.d.",SUMPRODUCT(--('Repartition stock'!$A$6:$A$433="2026Q3"),--('Repartition stock'!$B$6:$B$433="UK"),--('Repartition stock'!$E$6:$E$433="Millésime"),--('Repartition stock'!$F$6:$F$433="&lt;2018"),'Repartition stock'!$H$6:$H$433)))="n.d.",0,IF(OR(SUMPRODUCT(--('Repartition stock'!$A$6:$A$433="2026Q3"),--('Repartition stock'!$B$6:$B$433="UK"),--('Repartition stock'!$E$6:$E$433="Millésime"),--('Repartition stock'!$F$6:$F$433="&lt;2018"))=0,SUMPRODUCT(--('Repartition stock'!$A$6:$A$433="2026Q3"),--('Repartition stock'!$B$6:$B$433="UK"),--('Repartition stock'!$E$6:$E$433="Millésime"),--('Repartition stock'!$F$6:$F$433="&lt;2018"),--('Repartition stock'!$H$6:$H$433="n.d."))&gt;0),"n.d.",SUMPRODUCT(--('Repartition stock'!$A$6:$A$433="2026Q3"),--('Repartition stock'!$B$6:$B$433="UK"),--('Repartition stock'!$E$6:$E$433="Millésime"),--('Repartition stock'!$F$6:$F$433="&lt;2018"),'Repartition stock'!$H$6:$H$433)))</f>
        <v>68632.0</v>
      </c>
      <c r="AA7" s="8"/>
      <c r="AB7" s="8"/>
      <c r="AC7" s="7">
        <f>IF((IF(OR(COUNT(X7,X17)&lt;&gt;2,X17=0),"n.d.",X7/X17))="n.d.",0,IF(OR(COUNT(X7,X17)&lt;&gt;2,X17=0),"n.d.",X7/X17))</f>
        <v>0.024601001918170474</v>
      </c>
      <c r="AD7" s="7"/>
      <c r="AE7" s="7">
        <f>IF((IF(OR(COUNT(Z7,Z17)&lt;&gt;2,Z17=0),"n.d.",Z7/Z17))="n.d.",0,IF(OR(COUNT(Z7,Z17)&lt;&gt;2,Z17=0),"n.d.",Z7/Z17))</f>
        <v>0.023055831581436818</v>
      </c>
      <c r="AF7" s="7"/>
    </row>
    <row r="8" spans="1:32" ht="13.5" customHeight="1">
      <c r="A8" s="13"/>
      <c r="R8" s="4"/>
      <c r="S8" s="4"/>
      <c r="T8" s="4"/>
      <c r="U8" s="16" t="s">
        <v>74</v>
      </c>
      <c r="V8" s="16"/>
      <c r="W8" s="16"/>
      <c r="X8" s="8">
        <f>IF((IF(OR(SUMPRODUCT(--('Repartition stock'!$A$6:$A$433="2026Q3"),--('Repartition stock'!$B$6:$B$433="UK"),--('Repartition stock'!$E$6:$E$433="Millésime"),--('Repartition stock'!$F$6:$F$433="2018"))=0,SUMPRODUCT(--('Repartition stock'!$A$6:$A$433="2026Q3"),--('Repartition stock'!$B$6:$B$433="UK"),--('Repartition stock'!$E$6:$E$433="Millésime"),--('Repartition stock'!$F$6:$F$433="2018"),--('Repartition stock'!$G$6:$G$433="n.d."))&gt;0),"n.d.",SUMPRODUCT(--('Repartition stock'!$A$6:$A$433="2026Q3"),--('Repartition stock'!$B$6:$B$433="UK"),--('Repartition stock'!$E$6:$E$433="Millésime"),--('Repartition stock'!$F$6:$F$433="2018"),'Repartition stock'!$G$6:$G$433)))="n.d.",0,IF(OR(SUMPRODUCT(--('Repartition stock'!$A$6:$A$433="2026Q3"),--('Repartition stock'!$B$6:$B$433="UK"),--('Repartition stock'!$E$6:$E$433="Millésime"),--('Repartition stock'!$F$6:$F$433="2018"))=0,SUMPRODUCT(--('Repartition stock'!$A$6:$A$433="2026Q3"),--('Repartition stock'!$B$6:$B$433="UK"),--('Repartition stock'!$E$6:$E$433="Millésime"),--('Repartition stock'!$F$6:$F$433="2018"),--('Repartition stock'!$G$6:$G$433="n.d."))&gt;0),"n.d.",SUMPRODUCT(--('Repartition stock'!$A$6:$A$433="2026Q3"),--('Repartition stock'!$B$6:$B$433="UK"),--('Repartition stock'!$E$6:$E$433="Millésime"),--('Repartition stock'!$F$6:$F$433="2018"),'Repartition stock'!$G$6:$G$433)))</f>
        <v>817.0</v>
      </c>
      <c r="Y8" s="8"/>
      <c r="Z8" s="8">
        <f>IF((IF(OR(SUMPRODUCT(--('Repartition stock'!$A$6:$A$433="2026Q3"),--('Repartition stock'!$B$6:$B$433="UK"),--('Repartition stock'!$E$6:$E$433="Millésime"),--('Repartition stock'!$F$6:$F$433="2018"))=0,SUMPRODUCT(--('Repartition stock'!$A$6:$A$433="2026Q3"),--('Repartition stock'!$B$6:$B$433="UK"),--('Repartition stock'!$E$6:$E$433="Millésime"),--('Repartition stock'!$F$6:$F$433="2018"),--('Repartition stock'!$H$6:$H$433="n.d."))&gt;0),"n.d.",SUMPRODUCT(--('Repartition stock'!$A$6:$A$433="2026Q3"),--('Repartition stock'!$B$6:$B$433="UK"),--('Repartition stock'!$E$6:$E$433="Millésime"),--('Repartition stock'!$F$6:$F$433="2018"),'Repartition stock'!$H$6:$H$433)))="n.d.",0,IF(OR(SUMPRODUCT(--('Repartition stock'!$A$6:$A$433="2026Q3"),--('Repartition stock'!$B$6:$B$433="UK"),--('Repartition stock'!$E$6:$E$433="Millésime"),--('Repartition stock'!$F$6:$F$433="2018"))=0,SUMPRODUCT(--('Repartition stock'!$A$6:$A$433="2026Q3"),--('Repartition stock'!$B$6:$B$433="UK"),--('Repartition stock'!$E$6:$E$433="Millésime"),--('Repartition stock'!$F$6:$F$433="2018"),--('Repartition stock'!$H$6:$H$433="n.d."))&gt;0),"n.d.",SUMPRODUCT(--('Repartition stock'!$A$6:$A$433="2026Q3"),--('Repartition stock'!$B$6:$B$433="UK"),--('Repartition stock'!$E$6:$E$433="Millésime"),--('Repartition stock'!$F$6:$F$433="2018"),'Repartition stock'!$H$6:$H$433)))</f>
        <v>84026.0</v>
      </c>
      <c r="AA8" s="8"/>
      <c r="AB8" s="8"/>
      <c r="AC8" s="7">
        <f>IF((IF(OR(COUNT(X8,X17)&lt;&gt;2,X17=0),"n.d.",X8/X17))="n.d.",0,IF(OR(COUNT(X8,X17)&lt;&gt;2,X17=0),"n.d.",X8/X17))</f>
        <v>0.015215002700337077</v>
      </c>
      <c r="AD8" s="7"/>
      <c r="AE8" s="7">
        <f>IF((IF(OR(COUNT(Z8,Z17)&lt;&gt;2,Z17=0),"n.d.",Z8/Z17))="n.d.",0,IF(OR(COUNT(Z8,Z17)&lt;&gt;2,Z17=0),"n.d.",Z8/Z17))</f>
        <v>0.028227201661933356</v>
      </c>
      <c r="AF8" s="7"/>
    </row>
    <row r="9" spans="1:32" ht="13.5" customHeight="1">
      <c r="A9" s="13"/>
      <c r="R9" s="4"/>
      <c r="S9" s="4"/>
      <c r="T9" s="4"/>
      <c r="U9" s="16" t="s">
        <v>75</v>
      </c>
      <c r="V9" s="16"/>
      <c r="W9" s="16"/>
      <c r="X9" s="8">
        <f>IF((IF(OR(SUMPRODUCT(--('Repartition stock'!$A$6:$A$433="2026Q3"),--('Repartition stock'!$B$6:$B$433="UK"),--('Repartition stock'!$E$6:$E$433="Millésime"),--('Repartition stock'!$F$6:$F$433="2019"))=0,SUMPRODUCT(--('Repartition stock'!$A$6:$A$433="2026Q3"),--('Repartition stock'!$B$6:$B$433="UK"),--('Repartition stock'!$E$6:$E$433="Millésime"),--('Repartition stock'!$F$6:$F$433="2019"),--('Repartition stock'!$G$6:$G$433="n.d."))&gt;0),"n.d.",SUMPRODUCT(--('Repartition stock'!$A$6:$A$433="2026Q3"),--('Repartition stock'!$B$6:$B$433="UK"),--('Repartition stock'!$E$6:$E$433="Millésime"),--('Repartition stock'!$F$6:$F$433="2019"),'Repartition stock'!$G$6:$G$433)))="n.d.",0,IF(OR(SUMPRODUCT(--('Repartition stock'!$A$6:$A$433="2026Q3"),--('Repartition stock'!$B$6:$B$433="UK"),--('Repartition stock'!$E$6:$E$433="Millésime"),--('Repartition stock'!$F$6:$F$433="2019"))=0,SUMPRODUCT(--('Repartition stock'!$A$6:$A$433="2026Q3"),--('Repartition stock'!$B$6:$B$433="UK"),--('Repartition stock'!$E$6:$E$433="Millésime"),--('Repartition stock'!$F$6:$F$433="2019"),--('Repartition stock'!$G$6:$G$433="n.d."))&gt;0),"n.d.",SUMPRODUCT(--('Repartition stock'!$A$6:$A$433="2026Q3"),--('Repartition stock'!$B$6:$B$433="UK"),--('Repartition stock'!$E$6:$E$433="Millésime"),--('Repartition stock'!$F$6:$F$433="2019"),'Repartition stock'!$G$6:$G$433)))</f>
        <v>953.0</v>
      </c>
      <c r="Y9" s="8"/>
      <c r="Z9" s="8">
        <f>IF((IF(OR(SUMPRODUCT(--('Repartition stock'!$A$6:$A$433="2026Q3"),--('Repartition stock'!$B$6:$B$433="UK"),--('Repartition stock'!$E$6:$E$433="Millésime"),--('Repartition stock'!$F$6:$F$433="2019"))=0,SUMPRODUCT(--('Repartition stock'!$A$6:$A$433="2026Q3"),--('Repartition stock'!$B$6:$B$433="UK"),--('Repartition stock'!$E$6:$E$433="Millésime"),--('Repartition stock'!$F$6:$F$433="2019"),--('Repartition stock'!$H$6:$H$433="n.d."))&gt;0),"n.d.",SUMPRODUCT(--('Repartition stock'!$A$6:$A$433="2026Q3"),--('Repartition stock'!$B$6:$B$433="UK"),--('Repartition stock'!$E$6:$E$433="Millésime"),--('Repartition stock'!$F$6:$F$433="2019"),'Repartition stock'!$H$6:$H$433)))="n.d.",0,IF(OR(SUMPRODUCT(--('Repartition stock'!$A$6:$A$433="2026Q3"),--('Repartition stock'!$B$6:$B$433="UK"),--('Repartition stock'!$E$6:$E$433="Millésime"),--('Repartition stock'!$F$6:$F$433="2019"))=0,SUMPRODUCT(--('Repartition stock'!$A$6:$A$433="2026Q3"),--('Repartition stock'!$B$6:$B$433="UK"),--('Repartition stock'!$E$6:$E$433="Millésime"),--('Repartition stock'!$F$6:$F$433="2019"),--('Repartition stock'!$H$6:$H$433="n.d."))&gt;0),"n.d.",SUMPRODUCT(--('Repartition stock'!$A$6:$A$433="2026Q3"),--('Repartition stock'!$B$6:$B$433="UK"),--('Repartition stock'!$E$6:$E$433="Millésime"),--('Repartition stock'!$F$6:$F$433="2019"),'Repartition stock'!$H$6:$H$433)))</f>
        <v>100521.0</v>
      </c>
      <c r="AA9" s="8"/>
      <c r="AB9" s="8"/>
      <c r="AC9" s="7">
        <f>IF((IF(OR(COUNT(X9,X17)&lt;&gt;2,X17=0),"n.d.",X9/X17))="n.d.",0,IF(OR(COUNT(X9,X17)&lt;&gt;2,X17=0),"n.d.",X9/X17))</f>
        <v>0.017747732648006408</v>
      </c>
      <c r="AD9" s="7"/>
      <c r="AE9" s="7">
        <f>IF((IF(OR(COUNT(Z9,Z17)&lt;&gt;2,Z17=0),"n.d.",Z9/Z17))="n.d.",0,IF(OR(COUNT(Z9,Z17)&lt;&gt;2,Z17=0),"n.d.",Z9/Z17))</f>
        <v>0.033768435225515946</v>
      </c>
      <c r="AF9" s="7"/>
    </row>
    <row r="10" spans="1:32" ht="13.5" customHeight="1">
      <c r="A10" s="13"/>
      <c r="R10" s="4"/>
      <c r="S10" s="4"/>
      <c r="T10" s="4"/>
      <c r="U10" s="16" t="s">
        <v>76</v>
      </c>
      <c r="V10" s="16"/>
      <c r="W10" s="16"/>
      <c r="X10" s="8">
        <f>IF((IF(OR(SUMPRODUCT(--('Repartition stock'!$A$6:$A$433="2026Q3"),--('Repartition stock'!$B$6:$B$433="UK"),--('Repartition stock'!$E$6:$E$433="Millésime"),--('Repartition stock'!$F$6:$F$433="2020"))=0,SUMPRODUCT(--('Repartition stock'!$A$6:$A$433="2026Q3"),--('Repartition stock'!$B$6:$B$433="UK"),--('Repartition stock'!$E$6:$E$433="Millésime"),--('Repartition stock'!$F$6:$F$433="2020"),--('Repartition stock'!$G$6:$G$433="n.d."))&gt;0),"n.d.",SUMPRODUCT(--('Repartition stock'!$A$6:$A$433="2026Q3"),--('Repartition stock'!$B$6:$B$433="UK"),--('Repartition stock'!$E$6:$E$433="Millésime"),--('Repartition stock'!$F$6:$F$433="2020"),'Repartition stock'!$G$6:$G$433)))="n.d.",0,IF(OR(SUMPRODUCT(--('Repartition stock'!$A$6:$A$433="2026Q3"),--('Repartition stock'!$B$6:$B$433="UK"),--('Repartition stock'!$E$6:$E$433="Millésime"),--('Repartition stock'!$F$6:$F$433="2020"))=0,SUMPRODUCT(--('Repartition stock'!$A$6:$A$433="2026Q3"),--('Repartition stock'!$B$6:$B$433="UK"),--('Repartition stock'!$E$6:$E$433="Millésime"),--('Repartition stock'!$F$6:$F$433="2020"),--('Repartition stock'!$G$6:$G$433="n.d."))&gt;0),"n.d.",SUMPRODUCT(--('Repartition stock'!$A$6:$A$433="2026Q3"),--('Repartition stock'!$B$6:$B$433="UK"),--('Repartition stock'!$E$6:$E$433="Millésime"),--('Repartition stock'!$F$6:$F$433="2020"),'Repartition stock'!$G$6:$G$433)))</f>
        <v>752.0</v>
      </c>
      <c r="Y10" s="8"/>
      <c r="Z10" s="8">
        <f>IF((IF(OR(SUMPRODUCT(--('Repartition stock'!$A$6:$A$433="2026Q3"),--('Repartition stock'!$B$6:$B$433="UK"),--('Repartition stock'!$E$6:$E$433="Millésime"),--('Repartition stock'!$F$6:$F$433="2020"))=0,SUMPRODUCT(--('Repartition stock'!$A$6:$A$433="2026Q3"),--('Repartition stock'!$B$6:$B$433="UK"),--('Repartition stock'!$E$6:$E$433="Millésime"),--('Repartition stock'!$F$6:$F$433="2020"),--('Repartition stock'!$H$6:$H$433="n.d."))&gt;0),"n.d.",SUMPRODUCT(--('Repartition stock'!$A$6:$A$433="2026Q3"),--('Repartition stock'!$B$6:$B$433="UK"),--('Repartition stock'!$E$6:$E$433="Millésime"),--('Repartition stock'!$F$6:$F$433="2020"),'Repartition stock'!$H$6:$H$433)))="n.d.",0,IF(OR(SUMPRODUCT(--('Repartition stock'!$A$6:$A$433="2026Q3"),--('Repartition stock'!$B$6:$B$433="UK"),--('Repartition stock'!$E$6:$E$433="Millésime"),--('Repartition stock'!$F$6:$F$433="2020"))=0,SUMPRODUCT(--('Repartition stock'!$A$6:$A$433="2026Q3"),--('Repartition stock'!$B$6:$B$433="UK"),--('Repartition stock'!$E$6:$E$433="Millésime"),--('Repartition stock'!$F$6:$F$433="2020"),--('Repartition stock'!$H$6:$H$433="n.d."))&gt;0),"n.d.",SUMPRODUCT(--('Repartition stock'!$A$6:$A$433="2026Q3"),--('Repartition stock'!$B$6:$B$433="UK"),--('Repartition stock'!$E$6:$E$433="Millésime"),--('Repartition stock'!$F$6:$F$433="2020"),'Repartition stock'!$H$6:$H$433)))</f>
        <v>75096.0</v>
      </c>
      <c r="AA10" s="8"/>
      <c r="AB10" s="8"/>
      <c r="AC10" s="7">
        <f>IF((IF(OR(COUNT(X10,X17)&lt;&gt;2,X17=0),"n.d.",X10/X17))="n.d.",0,IF(OR(COUNT(X10,X17)&lt;&gt;2,X17=0),"n.d.",X10/X17))</f>
        <v>0.014004506769465706</v>
      </c>
      <c r="AD10" s="7"/>
      <c r="AE10" s="7">
        <f>IF((IF(OR(COUNT(Z10,Z17)&lt;&gt;2,Z17=0),"n.d.",Z10/Z17))="n.d.",0,IF(OR(COUNT(Z10,Z17)&lt;&gt;2,Z17=0),"n.d.",Z10/Z17))</f>
        <v>0.02522730983272496</v>
      </c>
      <c r="AF10" s="7"/>
    </row>
    <row r="11" spans="1:32" ht="13.5" customHeight="1">
      <c r="A11" s="13"/>
      <c r="R11" s="4"/>
      <c r="S11" s="4"/>
      <c r="T11" s="4"/>
      <c r="U11" s="16" t="s">
        <v>77</v>
      </c>
      <c r="V11" s="16"/>
      <c r="W11" s="16"/>
      <c r="X11" s="8">
        <f>IF((IF(OR(SUMPRODUCT(--('Repartition stock'!$A$6:$A$433="2026Q3"),--('Repartition stock'!$B$6:$B$433="UK"),--('Repartition stock'!$E$6:$E$433="Millésime"),--('Repartition stock'!$F$6:$F$433="2021"))=0,SUMPRODUCT(--('Repartition stock'!$A$6:$A$433="2026Q3"),--('Repartition stock'!$B$6:$B$433="UK"),--('Repartition stock'!$E$6:$E$433="Millésime"),--('Repartition stock'!$F$6:$F$433="2021"),--('Repartition stock'!$G$6:$G$433="n.d."))&gt;0),"n.d.",SUMPRODUCT(--('Repartition stock'!$A$6:$A$433="2026Q3"),--('Repartition stock'!$B$6:$B$433="UK"),--('Repartition stock'!$E$6:$E$433="Millésime"),--('Repartition stock'!$F$6:$F$433="2021"),'Repartition stock'!$G$6:$G$433)))="n.d.",0,IF(OR(SUMPRODUCT(--('Repartition stock'!$A$6:$A$433="2026Q3"),--('Repartition stock'!$B$6:$B$433="UK"),--('Repartition stock'!$E$6:$E$433="Millésime"),--('Repartition stock'!$F$6:$F$433="2021"))=0,SUMPRODUCT(--('Repartition stock'!$A$6:$A$433="2026Q3"),--('Repartition stock'!$B$6:$B$433="UK"),--('Repartition stock'!$E$6:$E$433="Millésime"),--('Repartition stock'!$F$6:$F$433="2021"),--('Repartition stock'!$G$6:$G$433="n.d."))&gt;0),"n.d.",SUMPRODUCT(--('Repartition stock'!$A$6:$A$433="2026Q3"),--('Repartition stock'!$B$6:$B$433="UK"),--('Repartition stock'!$E$6:$E$433="Millésime"),--('Repartition stock'!$F$6:$F$433="2021"),'Repartition stock'!$G$6:$G$433)))</f>
        <v>727.0</v>
      </c>
      <c r="Y11" s="8"/>
      <c r="Z11" s="8">
        <f>IF((IF(OR(SUMPRODUCT(--('Repartition stock'!$A$6:$A$433="2026Q3"),--('Repartition stock'!$B$6:$B$433="UK"),--('Repartition stock'!$E$6:$E$433="Millésime"),--('Repartition stock'!$F$6:$F$433="2021"))=0,SUMPRODUCT(--('Repartition stock'!$A$6:$A$433="2026Q3"),--('Repartition stock'!$B$6:$B$433="UK"),--('Repartition stock'!$E$6:$E$433="Millésime"),--('Repartition stock'!$F$6:$F$433="2021"),--('Repartition stock'!$H$6:$H$433="n.d."))&gt;0),"n.d.",SUMPRODUCT(--('Repartition stock'!$A$6:$A$433="2026Q3"),--('Repartition stock'!$B$6:$B$433="UK"),--('Repartition stock'!$E$6:$E$433="Millésime"),--('Repartition stock'!$F$6:$F$433="2021"),'Repartition stock'!$H$6:$H$433)))="n.d.",0,IF(OR(SUMPRODUCT(--('Repartition stock'!$A$6:$A$433="2026Q3"),--('Repartition stock'!$B$6:$B$433="UK"),--('Repartition stock'!$E$6:$E$433="Millésime"),--('Repartition stock'!$F$6:$F$433="2021"))=0,SUMPRODUCT(--('Repartition stock'!$A$6:$A$433="2026Q3"),--('Repartition stock'!$B$6:$B$433="UK"),--('Repartition stock'!$E$6:$E$433="Millésime"),--('Repartition stock'!$F$6:$F$433="2021"),--('Repartition stock'!$H$6:$H$433="n.d."))&gt;0),"n.d.",SUMPRODUCT(--('Repartition stock'!$A$6:$A$433="2026Q3"),--('Repartition stock'!$B$6:$B$433="UK"),--('Repartition stock'!$E$6:$E$433="Millésime"),--('Repartition stock'!$F$6:$F$433="2021"),'Repartition stock'!$H$6:$H$433)))</f>
        <v>86007.0</v>
      </c>
      <c r="AA11" s="8"/>
      <c r="AB11" s="8"/>
      <c r="AC11" s="7">
        <f>IF((IF(OR(COUNT(X11,X17)&lt;&gt;2,X17=0),"n.d.",X11/X17))="n.d.",0,IF(OR(COUNT(X11,X17)&lt;&gt;2,X17=0),"n.d.",X11/X17))</f>
        <v>0.013538931411438256</v>
      </c>
      <c r="AD11" s="7"/>
      <c r="AE11" s="7">
        <f>IF((IF(OR(COUNT(Z11,Z17)&lt;&gt;2,Z17=0),"n.d.",Z11/Z17))="n.d.",0,IF(OR(COUNT(Z11,Z17)&lt;&gt;2,Z17=0),"n.d.",Z11/Z17))</f>
        <v>0.02889268718417992</v>
      </c>
      <c r="AF11" s="7"/>
    </row>
    <row r="12" spans="1:32" ht="13.5" customHeight="1">
      <c r="A12" s="13"/>
      <c r="R12" s="4"/>
      <c r="S12" s="4"/>
      <c r="T12" s="4"/>
      <c r="U12" s="16" t="s">
        <v>78</v>
      </c>
      <c r="V12" s="16"/>
      <c r="W12" s="16"/>
      <c r="X12" s="8">
        <f>IF((IF(OR(SUMPRODUCT(--('Repartition stock'!$A$6:$A$433="2026Q3"),--('Repartition stock'!$B$6:$B$433="UK"),--('Repartition stock'!$E$6:$E$433="Millésime"),--('Repartition stock'!$F$6:$F$433="2022"))=0,SUMPRODUCT(--('Repartition stock'!$A$6:$A$433="2026Q3"),--('Repartition stock'!$B$6:$B$433="UK"),--('Repartition stock'!$E$6:$E$433="Millésime"),--('Repartition stock'!$F$6:$F$433="2022"),--('Repartition stock'!$G$6:$G$433="n.d."))&gt;0),"n.d.",SUMPRODUCT(--('Repartition stock'!$A$6:$A$433="2026Q3"),--('Repartition stock'!$B$6:$B$433="UK"),--('Repartition stock'!$E$6:$E$433="Millésime"),--('Repartition stock'!$F$6:$F$433="2022"),'Repartition stock'!$G$6:$G$433)))="n.d.",0,IF(OR(SUMPRODUCT(--('Repartition stock'!$A$6:$A$433="2026Q3"),--('Repartition stock'!$B$6:$B$433="UK"),--('Repartition stock'!$E$6:$E$433="Millésime"),--('Repartition stock'!$F$6:$F$433="2022"))=0,SUMPRODUCT(--('Repartition stock'!$A$6:$A$433="2026Q3"),--('Repartition stock'!$B$6:$B$433="UK"),--('Repartition stock'!$E$6:$E$433="Millésime"),--('Repartition stock'!$F$6:$F$433="2022"),--('Repartition stock'!$G$6:$G$433="n.d."))&gt;0),"n.d.",SUMPRODUCT(--('Repartition stock'!$A$6:$A$433="2026Q3"),--('Repartition stock'!$B$6:$B$433="UK"),--('Repartition stock'!$E$6:$E$433="Millésime"),--('Repartition stock'!$F$6:$F$433="2022"),'Repartition stock'!$G$6:$G$433)))</f>
        <v>1294.0</v>
      </c>
      <c r="Y12" s="8"/>
      <c r="Z12" s="8">
        <f>IF((IF(OR(SUMPRODUCT(--('Repartition stock'!$A$6:$A$433="2026Q3"),--('Repartition stock'!$B$6:$B$433="UK"),--('Repartition stock'!$E$6:$E$433="Millésime"),--('Repartition stock'!$F$6:$F$433="2022"))=0,SUMPRODUCT(--('Repartition stock'!$A$6:$A$433="2026Q3"),--('Repartition stock'!$B$6:$B$433="UK"),--('Repartition stock'!$E$6:$E$433="Millésime"),--('Repartition stock'!$F$6:$F$433="2022"),--('Repartition stock'!$H$6:$H$433="n.d."))&gt;0),"n.d.",SUMPRODUCT(--('Repartition stock'!$A$6:$A$433="2026Q3"),--('Repartition stock'!$B$6:$B$433="UK"),--('Repartition stock'!$E$6:$E$433="Millésime"),--('Repartition stock'!$F$6:$F$433="2022"),'Repartition stock'!$H$6:$H$433)))="n.d.",0,IF(OR(SUMPRODUCT(--('Repartition stock'!$A$6:$A$433="2026Q3"),--('Repartition stock'!$B$6:$B$433="UK"),--('Repartition stock'!$E$6:$E$433="Millésime"),--('Repartition stock'!$F$6:$F$433="2022"))=0,SUMPRODUCT(--('Repartition stock'!$A$6:$A$433="2026Q3"),--('Repartition stock'!$B$6:$B$433="UK"),--('Repartition stock'!$E$6:$E$433="Millésime"),--('Repartition stock'!$F$6:$F$433="2022"),--('Repartition stock'!$H$6:$H$433="n.d."))&gt;0),"n.d.",SUMPRODUCT(--('Repartition stock'!$A$6:$A$433="2026Q3"),--('Repartition stock'!$B$6:$B$433="UK"),--('Repartition stock'!$E$6:$E$433="Millésime"),--('Repartition stock'!$F$6:$F$433="2022"),'Repartition stock'!$H$6:$H$433)))</f>
        <v>114129.0</v>
      </c>
      <c r="AA12" s="8"/>
      <c r="AB12" s="8"/>
      <c r="AC12" s="7">
        <f>IF((IF(OR(COUNT(X12,X17)&lt;&gt;2,X17=0),"n.d.",X12/X17))="n.d.",0,IF(OR(COUNT(X12,X17)&lt;&gt;2,X17=0),"n.d.",X12/X17))</f>
        <v>0.02409818053150083</v>
      </c>
      <c r="AD12" s="7"/>
      <c r="AE12" s="7">
        <f>IF((IF(OR(COUNT(Z12,Z17)&lt;&gt;2,Z17=0),"n.d.",Z12/Z17))="n.d.",0,IF(OR(COUNT(Z12,Z17)&lt;&gt;2,Z17=0),"n.d.",Z12/Z17))</f>
        <v>0.0383398269401708</v>
      </c>
      <c r="AF12" s="7"/>
    </row>
    <row r="13" spans="1:32" ht="13.5" customHeight="1">
      <c r="A13" s="13"/>
      <c r="R13" s="4"/>
      <c r="S13" s="4"/>
      <c r="T13" s="4"/>
      <c r="U13" s="16" t="s">
        <v>79</v>
      </c>
      <c r="V13" s="16"/>
      <c r="W13" s="16"/>
      <c r="X13" s="8">
        <f>IF((IF(OR(SUMPRODUCT(--('Repartition stock'!$A$6:$A$433="2026Q3"),--('Repartition stock'!$B$6:$B$433="UK"),--('Repartition stock'!$E$6:$E$433="Millésime"),--('Repartition stock'!$F$6:$F$433="2023"))=0,SUMPRODUCT(--('Repartition stock'!$A$6:$A$433="2026Q3"),--('Repartition stock'!$B$6:$B$433="UK"),--('Repartition stock'!$E$6:$E$433="Millésime"),--('Repartition stock'!$F$6:$F$433="2023"),--('Repartition stock'!$G$6:$G$433="n.d."))&gt;0),"n.d.",SUMPRODUCT(--('Repartition stock'!$A$6:$A$433="2026Q3"),--('Repartition stock'!$B$6:$B$433="UK"),--('Repartition stock'!$E$6:$E$433="Millésime"),--('Repartition stock'!$F$6:$F$433="2023"),'Repartition stock'!$G$6:$G$433)))="n.d.",0,IF(OR(SUMPRODUCT(--('Repartition stock'!$A$6:$A$433="2026Q3"),--('Repartition stock'!$B$6:$B$433="UK"),--('Repartition stock'!$E$6:$E$433="Millésime"),--('Repartition stock'!$F$6:$F$433="2023"))=0,SUMPRODUCT(--('Repartition stock'!$A$6:$A$433="2026Q3"),--('Repartition stock'!$B$6:$B$433="UK"),--('Repartition stock'!$E$6:$E$433="Millésime"),--('Repartition stock'!$F$6:$F$433="2023"),--('Repartition stock'!$G$6:$G$433="n.d."))&gt;0),"n.d.",SUMPRODUCT(--('Repartition stock'!$A$6:$A$433="2026Q3"),--('Repartition stock'!$B$6:$B$433="UK"),--('Repartition stock'!$E$6:$E$433="Millésime"),--('Repartition stock'!$F$6:$F$433="2023"),'Repartition stock'!$G$6:$G$433)))</f>
        <v>3922.0</v>
      </c>
      <c r="Y13" s="8"/>
      <c r="Z13" s="8">
        <f>IF((IF(OR(SUMPRODUCT(--('Repartition stock'!$A$6:$A$433="2026Q3"),--('Repartition stock'!$B$6:$B$433="UK"),--('Repartition stock'!$E$6:$E$433="Millésime"),--('Repartition stock'!$F$6:$F$433="2023"))=0,SUMPRODUCT(--('Repartition stock'!$A$6:$A$433="2026Q3"),--('Repartition stock'!$B$6:$B$433="UK"),--('Repartition stock'!$E$6:$E$433="Millésime"),--('Repartition stock'!$F$6:$F$433="2023"),--('Repartition stock'!$H$6:$H$433="n.d."))&gt;0),"n.d.",SUMPRODUCT(--('Repartition stock'!$A$6:$A$433="2026Q3"),--('Repartition stock'!$B$6:$B$433="UK"),--('Repartition stock'!$E$6:$E$433="Millésime"),--('Repartition stock'!$F$6:$F$433="2023"),'Repartition stock'!$H$6:$H$433)))="n.d.",0,IF(OR(SUMPRODUCT(--('Repartition stock'!$A$6:$A$433="2026Q3"),--('Repartition stock'!$B$6:$B$433="UK"),--('Repartition stock'!$E$6:$E$433="Millésime"),--('Repartition stock'!$F$6:$F$433="2023"))=0,SUMPRODUCT(--('Repartition stock'!$A$6:$A$433="2026Q3"),--('Repartition stock'!$B$6:$B$433="UK"),--('Repartition stock'!$E$6:$E$433="Millésime"),--('Repartition stock'!$F$6:$F$433="2023"),--('Repartition stock'!$H$6:$H$433="n.d."))&gt;0),"n.d.",SUMPRODUCT(--('Repartition stock'!$A$6:$A$433="2026Q3"),--('Repartition stock'!$B$6:$B$433="UK"),--('Repartition stock'!$E$6:$E$433="Millésime"),--('Repartition stock'!$F$6:$F$433="2023"),'Repartition stock'!$H$6:$H$433)))</f>
        <v>206890.0</v>
      </c>
      <c r="AA13" s="8"/>
      <c r="AB13" s="8"/>
      <c r="AC13" s="7">
        <f>IF((IF(OR(COUNT(X13,X17)&lt;&gt;2,X17=0),"n.d.",X13/X17))="n.d.",0,IF(OR(COUNT(X13,X17)&lt;&gt;2,X17=0),"n.d.",X13/X17))</f>
        <v>0.0730394621673464</v>
      </c>
      <c r="AD13" s="7"/>
      <c r="AE13" s="7">
        <f>IF((IF(OR(COUNT(Z13,Z17)&lt;&gt;2,Z17=0),"n.d.",Z13/Z17))="n.d.",0,IF(OR(COUNT(Z13,Z17)&lt;&gt;2,Z17=0),"n.d.",Z13/Z17))</f>
        <v>0.06950141327490766</v>
      </c>
      <c r="AF13" s="7"/>
    </row>
    <row r="14" spans="1:32" ht="13.5" customHeight="1">
      <c r="A14" s="13"/>
      <c r="R14" s="4"/>
      <c r="S14" s="4"/>
      <c r="T14" s="4"/>
      <c r="U14" s="16" t="s">
        <v>80</v>
      </c>
      <c r="V14" s="16"/>
      <c r="W14" s="16"/>
      <c r="X14" s="8">
        <f>IF((IF(OR(SUMPRODUCT(--('Repartition stock'!$A$6:$A$433="2026Q3"),--('Repartition stock'!$B$6:$B$433="UK"),--('Repartition stock'!$E$6:$E$433="Millésime"),--('Repartition stock'!$F$6:$F$433="2024"))=0,SUMPRODUCT(--('Repartition stock'!$A$6:$A$433="2026Q3"),--('Repartition stock'!$B$6:$B$433="UK"),--('Repartition stock'!$E$6:$E$433="Millésime"),--('Repartition stock'!$F$6:$F$433="2024"),--('Repartition stock'!$G$6:$G$433="n.d."))&gt;0),"n.d.",SUMPRODUCT(--('Repartition stock'!$A$6:$A$433="2026Q3"),--('Repartition stock'!$B$6:$B$433="UK"),--('Repartition stock'!$E$6:$E$433="Millésime"),--('Repartition stock'!$F$6:$F$433="2024"),'Repartition stock'!$G$6:$G$433)))="n.d.",0,IF(OR(SUMPRODUCT(--('Repartition stock'!$A$6:$A$433="2026Q3"),--('Repartition stock'!$B$6:$B$433="UK"),--('Repartition stock'!$E$6:$E$433="Millésime"),--('Repartition stock'!$F$6:$F$433="2024"))=0,SUMPRODUCT(--('Repartition stock'!$A$6:$A$433="2026Q3"),--('Repartition stock'!$B$6:$B$433="UK"),--('Repartition stock'!$E$6:$E$433="Millésime"),--('Repartition stock'!$F$6:$F$433="2024"),--('Repartition stock'!$G$6:$G$433="n.d."))&gt;0),"n.d.",SUMPRODUCT(--('Repartition stock'!$A$6:$A$433="2026Q3"),--('Repartition stock'!$B$6:$B$433="UK"),--('Repartition stock'!$E$6:$E$433="Millésime"),--('Repartition stock'!$F$6:$F$433="2024"),'Repartition stock'!$G$6:$G$433)))</f>
        <v>10013.0</v>
      </c>
      <c r="Y14" s="8"/>
      <c r="Z14" s="8">
        <f>IF((IF(OR(SUMPRODUCT(--('Repartition stock'!$A$6:$A$433="2026Q3"),--('Repartition stock'!$B$6:$B$433="UK"),--('Repartition stock'!$E$6:$E$433="Millésime"),--('Repartition stock'!$F$6:$F$433="2024"))=0,SUMPRODUCT(--('Repartition stock'!$A$6:$A$433="2026Q3"),--('Repartition stock'!$B$6:$B$433="UK"),--('Repartition stock'!$E$6:$E$433="Millésime"),--('Repartition stock'!$F$6:$F$433="2024"),--('Repartition stock'!$H$6:$H$433="n.d."))&gt;0),"n.d.",SUMPRODUCT(--('Repartition stock'!$A$6:$A$433="2026Q3"),--('Repartition stock'!$B$6:$B$433="UK"),--('Repartition stock'!$E$6:$E$433="Millésime"),--('Repartition stock'!$F$6:$F$433="2024"),'Repartition stock'!$H$6:$H$433)))="n.d.",0,IF(OR(SUMPRODUCT(--('Repartition stock'!$A$6:$A$433="2026Q3"),--('Repartition stock'!$B$6:$B$433="UK"),--('Repartition stock'!$E$6:$E$433="Millésime"),--('Repartition stock'!$F$6:$F$433="2024"))=0,SUMPRODUCT(--('Repartition stock'!$A$6:$A$433="2026Q3"),--('Repartition stock'!$B$6:$B$433="UK"),--('Repartition stock'!$E$6:$E$433="Millésime"),--('Repartition stock'!$F$6:$F$433="2024"),--('Repartition stock'!$H$6:$H$433="n.d."))&gt;0),"n.d.",SUMPRODUCT(--('Repartition stock'!$A$6:$A$433="2026Q3"),--('Repartition stock'!$B$6:$B$433="UK"),--('Repartition stock'!$E$6:$E$433="Millésime"),--('Repartition stock'!$F$6:$F$433="2024"),'Repartition stock'!$H$6:$H$433)))</f>
        <v>760202.0</v>
      </c>
      <c r="AA14" s="8"/>
      <c r="AB14" s="8"/>
      <c r="AC14" s="7">
        <f>IF((IF(OR(COUNT(X14,X17)&lt;&gt;2,X17=0),"n.d.",X14/X17))="n.d.",0,IF(OR(COUNT(X14,X17)&lt;&gt;2,X17=0),"n.d.",X14/X17))</f>
        <v>0.1864722423971544</v>
      </c>
      <c r="AD14" s="7"/>
      <c r="AE14" s="7">
        <f>IF((IF(OR(COUNT(Z14,Z17)&lt;&gt;2,Z17=0),"n.d.",Z14/Z17))="n.d.",0,IF(OR(COUNT(Z14,Z17)&lt;&gt;2,Z17=0),"n.d.",Z14/Z17))</f>
        <v>0.25537780160670576</v>
      </c>
      <c r="AF14" s="7"/>
    </row>
    <row r="15" spans="1:32" ht="13.5" customHeight="1">
      <c r="A15" s="13"/>
      <c r="R15" s="4"/>
      <c r="S15" s="4"/>
      <c r="T15" s="4"/>
      <c r="U15" s="16" t="s">
        <v>50</v>
      </c>
      <c r="V15" s="16"/>
      <c r="W15" s="16"/>
      <c r="X15" s="8">
        <f>IF((IF(OR(SUMPRODUCT(--('Repartition stock'!$A$6:$A$433="2026Q3"),--('Repartition stock'!$B$6:$B$433="UK"),--('Repartition stock'!$E$6:$E$433="Millésime"),--('Repartition stock'!$F$6:$F$433="2025"))=0,SUMPRODUCT(--('Repartition stock'!$A$6:$A$433="2026Q3"),--('Repartition stock'!$B$6:$B$433="UK"),--('Repartition stock'!$E$6:$E$433="Millésime"),--('Repartition stock'!$F$6:$F$433="2025"),--('Repartition stock'!$G$6:$G$433="n.d."))&gt;0),"n.d.",SUMPRODUCT(--('Repartition stock'!$A$6:$A$433="2026Q3"),--('Repartition stock'!$B$6:$B$433="UK"),--('Repartition stock'!$E$6:$E$433="Millésime"),--('Repartition stock'!$F$6:$F$433="2025"),'Repartition stock'!$G$6:$G$433)))="n.d.",0,IF(OR(SUMPRODUCT(--('Repartition stock'!$A$6:$A$433="2026Q3"),--('Repartition stock'!$B$6:$B$433="UK"),--('Repartition stock'!$E$6:$E$433="Millésime"),--('Repartition stock'!$F$6:$F$433="2025"))=0,SUMPRODUCT(--('Repartition stock'!$A$6:$A$433="2026Q3"),--('Repartition stock'!$B$6:$B$433="UK"),--('Repartition stock'!$E$6:$E$433="Millésime"),--('Repartition stock'!$F$6:$F$433="2025"),--('Repartition stock'!$G$6:$G$433="n.d."))&gt;0),"n.d.",SUMPRODUCT(--('Repartition stock'!$A$6:$A$433="2026Q3"),--('Repartition stock'!$B$6:$B$433="UK"),--('Repartition stock'!$E$6:$E$433="Millésime"),--('Repartition stock'!$F$6:$F$433="2025"),'Repartition stock'!$G$6:$G$433)))</f>
        <v>16652.0</v>
      </c>
      <c r="Y15" s="8"/>
      <c r="Z15" s="8">
        <f>IF((IF(OR(SUMPRODUCT(--('Repartition stock'!$A$6:$A$433="2026Q3"),--('Repartition stock'!$B$6:$B$433="UK"),--('Repartition stock'!$E$6:$E$433="Millésime"),--('Repartition stock'!$F$6:$F$433="2025"))=0,SUMPRODUCT(--('Repartition stock'!$A$6:$A$433="2026Q3"),--('Repartition stock'!$B$6:$B$433="UK"),--('Repartition stock'!$E$6:$E$433="Millésime"),--('Repartition stock'!$F$6:$F$433="2025"),--('Repartition stock'!$H$6:$H$433="n.d."))&gt;0),"n.d.",SUMPRODUCT(--('Repartition stock'!$A$6:$A$433="2026Q3"),--('Repartition stock'!$B$6:$B$433="UK"),--('Repartition stock'!$E$6:$E$433="Millésime"),--('Repartition stock'!$F$6:$F$433="2025"),'Repartition stock'!$H$6:$H$433)))="n.d.",0,IF(OR(SUMPRODUCT(--('Repartition stock'!$A$6:$A$433="2026Q3"),--('Repartition stock'!$B$6:$B$433="UK"),--('Repartition stock'!$E$6:$E$433="Millésime"),--('Repartition stock'!$F$6:$F$433="2025"))=0,SUMPRODUCT(--('Repartition stock'!$A$6:$A$433="2026Q3"),--('Repartition stock'!$B$6:$B$433="UK"),--('Repartition stock'!$E$6:$E$433="Millésime"),--('Repartition stock'!$F$6:$F$433="2025"),--('Repartition stock'!$H$6:$H$433="n.d."))&gt;0),"n.d.",SUMPRODUCT(--('Repartition stock'!$A$6:$A$433="2026Q3"),--('Repartition stock'!$B$6:$B$433="UK"),--('Repartition stock'!$E$6:$E$433="Millésime"),--('Repartition stock'!$F$6:$F$433="2025"),'Repartition stock'!$H$6:$H$433)))</f>
        <v>626503.0</v>
      </c>
      <c r="AA15" s="8"/>
      <c r="AB15" s="8"/>
      <c r="AC15" s="7">
        <f>IF((IF(OR(COUNT(X15,X17)&lt;&gt;2,X17=0),"n.d.",X15/X17))="n.d.",0,IF(OR(COUNT(X15,X17)&lt;&gt;2,X17=0),"n.d.",X15/X17))</f>
        <v>0.3101104344749241</v>
      </c>
      <c r="AD15" s="7"/>
      <c r="AE15" s="7">
        <f>IF((IF(OR(COUNT(Z15,Z17)&lt;&gt;2,Z17=0),"n.d.",Z15/Z17))="n.d.",0,IF(OR(COUNT(Z15,Z17)&lt;&gt;2,Z17=0),"n.d.",Z15/Z17))</f>
        <v>0.21046374363656764</v>
      </c>
      <c r="AF15" s="7"/>
    </row>
    <row r="16" spans="1:32" ht="13.5" customHeight="1">
      <c r="A16" s="13"/>
      <c r="R16" s="4"/>
      <c r="S16" s="4"/>
      <c r="T16" s="4"/>
      <c r="U16" s="16" t="s">
        <v>51</v>
      </c>
      <c r="V16" s="16"/>
      <c r="W16" s="16"/>
      <c r="X16" s="8">
        <f>IF((IF(OR(SUMPRODUCT(--('Repartition stock'!$A$6:$A$433="2026Q3"),--('Repartition stock'!$B$6:$B$433="UK"),--('Repartition stock'!$E$6:$E$433="Millésime"),--('Repartition stock'!$F$6:$F$433="2026"))=0,SUMPRODUCT(--('Repartition stock'!$A$6:$A$433="2026Q3"),--('Repartition stock'!$B$6:$B$433="UK"),--('Repartition stock'!$E$6:$E$433="Millésime"),--('Repartition stock'!$F$6:$F$433="2026"),--('Repartition stock'!$G$6:$G$433="n.d."))&gt;0),"n.d.",SUMPRODUCT(--('Repartition stock'!$A$6:$A$433="2026Q3"),--('Repartition stock'!$B$6:$B$433="UK"),--('Repartition stock'!$E$6:$E$433="Millésime"),--('Repartition stock'!$F$6:$F$433="2026"),'Repartition stock'!$G$6:$G$433)))="n.d.",0,IF(OR(SUMPRODUCT(--('Repartition stock'!$A$6:$A$433="2026Q3"),--('Repartition stock'!$B$6:$B$433="UK"),--('Repartition stock'!$E$6:$E$433="Millésime"),--('Repartition stock'!$F$6:$F$433="2026"))=0,SUMPRODUCT(--('Repartition stock'!$A$6:$A$433="2026Q3"),--('Repartition stock'!$B$6:$B$433="UK"),--('Repartition stock'!$E$6:$E$433="Millésime"),--('Repartition stock'!$F$6:$F$433="2026"),--('Repartition stock'!$G$6:$G$433="n.d."))&gt;0),"n.d.",SUMPRODUCT(--('Repartition stock'!$A$6:$A$433="2026Q3"),--('Repartition stock'!$B$6:$B$433="UK"),--('Repartition stock'!$E$6:$E$433="Millésime"),--('Repartition stock'!$F$6:$F$433="2026"),'Repartition stock'!$G$6:$G$433)))</f>
        <v>17246.0</v>
      </c>
      <c r="Y16" s="8"/>
      <c r="Z16" s="8">
        <f>IF((IF(OR(SUMPRODUCT(--('Repartition stock'!$A$6:$A$433="2026Q3"),--('Repartition stock'!$B$6:$B$433="UK"),--('Repartition stock'!$E$6:$E$433="Millésime"),--('Repartition stock'!$F$6:$F$433="2026"))=0,SUMPRODUCT(--('Repartition stock'!$A$6:$A$433="2026Q3"),--('Repartition stock'!$B$6:$B$433="UK"),--('Repartition stock'!$E$6:$E$433="Millésime"),--('Repartition stock'!$F$6:$F$433="2026"),--('Repartition stock'!$H$6:$H$433="n.d."))&gt;0),"n.d.",SUMPRODUCT(--('Repartition stock'!$A$6:$A$433="2026Q3"),--('Repartition stock'!$B$6:$B$433="UK"),--('Repartition stock'!$E$6:$E$433="Millésime"),--('Repartition stock'!$F$6:$F$433="2026"),'Repartition stock'!$H$6:$H$433)))="n.d.",0,IF(OR(SUMPRODUCT(--('Repartition stock'!$A$6:$A$433="2026Q3"),--('Repartition stock'!$B$6:$B$433="UK"),--('Repartition stock'!$E$6:$E$433="Millésime"),--('Repartition stock'!$F$6:$F$433="2026"))=0,SUMPRODUCT(--('Repartition stock'!$A$6:$A$433="2026Q3"),--('Repartition stock'!$B$6:$B$433="UK"),--('Repartition stock'!$E$6:$E$433="Millésime"),--('Repartition stock'!$F$6:$F$433="2026"),--('Repartition stock'!$H$6:$H$433="n.d."))&gt;0),"n.d.",SUMPRODUCT(--('Repartition stock'!$A$6:$A$433="2026Q3"),--('Repartition stock'!$B$6:$B$433="UK"),--('Repartition stock'!$E$6:$E$433="Millésime"),--('Repartition stock'!$F$6:$F$433="2026"),'Repartition stock'!$H$6:$H$433)))</f>
        <v>854768.0</v>
      </c>
      <c r="AA16" s="8"/>
      <c r="AB16" s="8"/>
      <c r="AC16" s="7">
        <f>IF((IF(OR(COUNT(X16,X17)&lt;&gt;2,X17=0),"n.d.",X16/X17))="n.d.",0,IF(OR(COUNT(X16,X17)&lt;&gt;2,X17=0),"n.d.",X16/X17))</f>
        <v>0.32117250498165634</v>
      </c>
      <c r="AD16" s="7"/>
      <c r="AE16" s="7">
        <f>IF((IF(OR(COUNT(Z16,Z17)&lt;&gt;2,Z17=0),"n.d.",Z16/Z17))="n.d.",0,IF(OR(COUNT(Z16,Z17)&lt;&gt;2,Z17=0),"n.d.",Z16/Z17))</f>
        <v>0.2871457490558571</v>
      </c>
      <c r="AF16" s="7"/>
    </row>
    <row r="17" spans="1:32" ht="13.5" customHeight="1">
      <c r="A17" s="13"/>
      <c r="R17" s="17" t="s">
        <v>71</v>
      </c>
      <c r="S17" s="17"/>
      <c r="T17" s="17"/>
      <c r="U17" s="17"/>
      <c r="V17" s="17"/>
      <c r="W17" s="17"/>
      <c r="X17" s="17">
        <f>IF((IF(COUNT(X7:X16)=10,SUM(X7:X16),"n.d."))="n.d.",0,IF(COUNT(X7:X16)=10,SUM(X7:X16),"n.d."))</f>
        <v>53697.0</v>
      </c>
      <c r="Y17" s="17"/>
      <c r="Z17" s="17">
        <f>IF((IF(COUNT(Z7:Z16)=10,SUM(Z7:Z16),"n.d."))="n.d.",0,IF(COUNT(Z7:Z16)=10,SUM(Z7:Z16),"n.d."))</f>
        <v>2976774.0</v>
      </c>
      <c r="AA17" s="17"/>
      <c r="AB17" s="17"/>
      <c r="AC17" s="10">
        <f>IF((IF(OR(NOT(ISNUMBER(X17)),X17=0),"n.d.",1))="n.d.",0,IF(OR(NOT(ISNUMBER(X17)),X17=0),"n.d.",1))</f>
        <v>1.0</v>
      </c>
      <c r="AD17" s="10"/>
      <c r="AE17" s="10">
        <f>IF((IF(OR(NOT(ISNUMBER(Z17)),Z17=0),"n.d.",1))="n.d.",0,IF(OR(NOT(ISNUMBER(Z17)),Z17=0),"n.d.",1))</f>
        <v>1.0</v>
      </c>
      <c r="AF17" s="10"/>
    </row>
    <row r="18" spans="1:32" ht="13.5" customHeight="1">
      <c r="A18" s="13"/>
    </row>
    <row r="19" spans="1:32" ht="13.5" customHeight="1">
      <c r="A19" s="13"/>
    </row>
    <row r="20" spans="1:32" ht="13.5" customHeight="1">
      <c r="A20" s="13"/>
    </row>
    <row r="21" spans="1:32" ht="13.5" customHeight="1">
      <c r="A21" s="13"/>
    </row>
    <row r="22" spans="1:32" ht="13.5" customHeight="1">
      <c r="A22" s="13"/>
    </row>
    <row r="23" spans="1:32" ht="13.5" customHeight="1">
      <c r="A23" s="13"/>
    </row>
    <row r="24" spans="1:32" ht="13.5" customHeight="1">
      <c r="A24" s="13"/>
    </row>
    <row r="25" spans="1:32" ht="13.5" customHeight="1">
      <c r="A25" s="13"/>
    </row>
    <row r="26" spans="1:32" ht="13.5" customHeight="1">
      <c r="A26" s="13"/>
    </row>
    <row r="27" spans="1:32" ht="13.5" customHeight="1">
      <c r="A27" s="13"/>
    </row>
    <row r="28" spans="1:32" ht="13.5" customHeight="1">
      <c r="A28" s="13"/>
    </row>
    <row r="29" spans="1:32" ht="13.5" customHeight="1">
      <c r="A29" s="13"/>
    </row>
    <row r="30" spans="1:32" ht="13.5" customHeight="1">
      <c r="A30" s="13"/>
      <c r="B30" s="11" t="str">
        <f>"Average monthly new flow: "&amp;IF(ISNUMBER('GraphData'!A230),TEXT('GraphData'!A230,"#,##0"),"0")&amp;" GBP. Average balance per contract: "&amp;IF(ISNUMBER('GraphData'!B230),TEXT('GraphData'!B230,"#,##0"),"0")&amp;" GBP."</f>
        <v>Average monthly new flow: 180,548 GBP. Average balance per contract: 66 GBP.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tr">
        <f>"Oldest cohort (M-5): "&amp;IF(ISNUMBER('GraphData'!C230),TEXT('GraphData'!C230,"0.0%"),"0")&amp;" treated in amount and "&amp;IF(ISNUMBER('GraphData'!D230),TEXT('GraphData'!D230,"0.0%"),"0")&amp;" in number."</f>
        <v>Oldest cohort (M-5): 79.3% treated in amount and 69.5% in number.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tr">
        <f>"Stock to process: "&amp;IF(ISNUMBER('GraphData'!E230),TEXT('GraphData'!E230,"#,##0"),"0")&amp;" GBP. Identified stock: "&amp;IF(ISNUMBER('GraphData'!F230),TEXT('GraphData'!F230,"#,##0"),"0")&amp;" GBP."</f>
        <v>Stock to process: 866,177 GBP. Identified stock: 2,976,774 GBP.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97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69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6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U12:W12"/>
    <mergeCell ref="X12:Y12"/>
    <mergeCell ref="Z12:AB12"/>
    <mergeCell ref="AC12:AD12"/>
    <mergeCell ref="AE12:AF12"/>
    <mergeCell ref="U13:W13"/>
    <mergeCell ref="X13:Y13"/>
    <mergeCell ref="Z13:AB13"/>
    <mergeCell ref="AC13:AD13"/>
    <mergeCell ref="AE13:AF1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R17:W17"/>
    <mergeCell ref="X17:Y17"/>
    <mergeCell ref="Z17:AB17"/>
    <mergeCell ref="AC17:AD17"/>
    <mergeCell ref="AE17:AF17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98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99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100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72</v>
      </c>
      <c r="S7" s="4"/>
      <c r="T7" s="4"/>
      <c r="U7" s="16" t="s">
        <v>101</v>
      </c>
      <c r="V7" s="16"/>
      <c r="W7" s="16"/>
      <c r="X7" s="8">
        <f>IF((IF(OR(SUMPRODUCT(--('Repartition stock'!$A$6:$A$433="2026Q3"),--('Repartition stock'!$B$6:$B$433="ZA"),--('Repartition stock'!$E$6:$E$433="Millésime"),--('Repartition stock'!$F$6:$F$433="&lt;2019"))=0,SUMPRODUCT(--('Repartition stock'!$A$6:$A$433="2026Q3"),--('Repartition stock'!$B$6:$B$433="ZA"),--('Repartition stock'!$E$6:$E$433="Millésime"),--('Repartition stock'!$F$6:$F$433="&lt;2019"),--('Repartition stock'!$G$6:$G$433="n.d."))&gt;0),"n.d.",SUMPRODUCT(--('Repartition stock'!$A$6:$A$433="2026Q3"),--('Repartition stock'!$B$6:$B$433="ZA"),--('Repartition stock'!$E$6:$E$433="Millésime"),--('Repartition stock'!$F$6:$F$433="&lt;2019"),'Repartition stock'!$G$6:$G$433)))="n.d.",0,IF(OR(SUMPRODUCT(--('Repartition stock'!$A$6:$A$433="2026Q3"),--('Repartition stock'!$B$6:$B$433="ZA"),--('Repartition stock'!$E$6:$E$433="Millésime"),--('Repartition stock'!$F$6:$F$433="&lt;2019"))=0,SUMPRODUCT(--('Repartition stock'!$A$6:$A$433="2026Q3"),--('Repartition stock'!$B$6:$B$433="ZA"),--('Repartition stock'!$E$6:$E$433="Millésime"),--('Repartition stock'!$F$6:$F$433="&lt;2019"),--('Repartition stock'!$G$6:$G$433="n.d."))&gt;0),"n.d.",SUMPRODUCT(--('Repartition stock'!$A$6:$A$433="2026Q3"),--('Repartition stock'!$B$6:$B$433="ZA"),--('Repartition stock'!$E$6:$E$433="Millésime"),--('Repartition stock'!$F$6:$F$433="&lt;2019"),'Repartition stock'!$G$6:$G$433)))</f>
        <v>191</v>
      </c>
      <c r="Y7" s="8"/>
      <c r="Z7" s="8">
        <f>IF((IF(OR(SUMPRODUCT(--('Repartition stock'!$A$6:$A$433="2026Q3"),--('Repartition stock'!$B$6:$B$433="ZA"),--('Repartition stock'!$E$6:$E$433="Millésime"),--('Repartition stock'!$F$6:$F$433="&lt;2019"))=0,SUMPRODUCT(--('Repartition stock'!$A$6:$A$433="2026Q3"),--('Repartition stock'!$B$6:$B$433="ZA"),--('Repartition stock'!$E$6:$E$433="Millésime"),--('Repartition stock'!$F$6:$F$433="&lt;2019"),--('Repartition stock'!$H$6:$H$433="n.d."))&gt;0),"n.d.",SUMPRODUCT(--('Repartition stock'!$A$6:$A$433="2026Q3"),--('Repartition stock'!$B$6:$B$433="ZA"),--('Repartition stock'!$E$6:$E$433="Millésime"),--('Repartition stock'!$F$6:$F$433="&lt;2019"),'Repartition stock'!$H$6:$H$433)))="n.d.",0,IF(OR(SUMPRODUCT(--('Repartition stock'!$A$6:$A$433="2026Q3"),--('Repartition stock'!$B$6:$B$433="ZA"),--('Repartition stock'!$E$6:$E$433="Millésime"),--('Repartition stock'!$F$6:$F$433="&lt;2019"))=0,SUMPRODUCT(--('Repartition stock'!$A$6:$A$433="2026Q3"),--('Repartition stock'!$B$6:$B$433="ZA"),--('Repartition stock'!$E$6:$E$433="Millésime"),--('Repartition stock'!$F$6:$F$433="&lt;2019"),--('Repartition stock'!$H$6:$H$433="n.d."))&gt;0),"n.d.",SUMPRODUCT(--('Repartition stock'!$A$6:$A$433="2026Q3"),--('Repartition stock'!$B$6:$B$433="ZA"),--('Repartition stock'!$E$6:$E$433="Millésime"),--('Repartition stock'!$F$6:$F$433="&lt;2019"),'Repartition stock'!$H$6:$H$433)))</f>
        <v>688714.21</v>
      </c>
      <c r="AA7" s="8"/>
      <c r="AB7" s="8"/>
      <c r="AC7" s="7">
        <f>IF((IF(OR(COUNT(X7,X16)&lt;&gt;2,X16=0),"n.d.",X7/X16))="n.d.",0,IF(OR(COUNT(X7,X16)&lt;&gt;2,X16=0),"n.d.",X7/X16))</f>
        <v>0.002651856994099271</v>
      </c>
      <c r="AD7" s="7"/>
      <c r="AE7" s="7">
        <f>IF((IF(OR(COUNT(Z7,Z16)&lt;&gt;2,Z16=0),"n.d.",Z7/Z16))="n.d.",0,IF(OR(COUNT(Z7,Z16)&lt;&gt;2,Z16=0),"n.d.",Z7/Z16))</f>
        <v>0.02050252659937398</v>
      </c>
      <c r="AF7" s="7"/>
    </row>
    <row r="8" spans="1:32" ht="13.5" customHeight="1">
      <c r="A8" s="13"/>
      <c r="R8" s="4"/>
      <c r="S8" s="4"/>
      <c r="T8" s="4"/>
      <c r="U8" s="16" t="s">
        <v>75</v>
      </c>
      <c r="V8" s="16"/>
      <c r="W8" s="16"/>
      <c r="X8" s="8">
        <f>IF((IF(OR(SUMPRODUCT(--('Repartition stock'!$A$6:$A$433="2026Q3"),--('Repartition stock'!$B$6:$B$433="ZA"),--('Repartition stock'!$E$6:$E$433="Millésime"),--('Repartition stock'!$F$6:$F$433="2019"))=0,SUMPRODUCT(--('Repartition stock'!$A$6:$A$433="2026Q3"),--('Repartition stock'!$B$6:$B$433="ZA"),--('Repartition stock'!$E$6:$E$433="Millésime"),--('Repartition stock'!$F$6:$F$433="2019"),--('Repartition stock'!$G$6:$G$433="n.d."))&gt;0),"n.d.",SUMPRODUCT(--('Repartition stock'!$A$6:$A$433="2026Q3"),--('Repartition stock'!$B$6:$B$433="ZA"),--('Repartition stock'!$E$6:$E$433="Millésime"),--('Repartition stock'!$F$6:$F$433="2019"),'Repartition stock'!$G$6:$G$433)))="n.d.",0,IF(OR(SUMPRODUCT(--('Repartition stock'!$A$6:$A$433="2026Q3"),--('Repartition stock'!$B$6:$B$433="ZA"),--('Repartition stock'!$E$6:$E$433="Millésime"),--('Repartition stock'!$F$6:$F$433="2019"))=0,SUMPRODUCT(--('Repartition stock'!$A$6:$A$433="2026Q3"),--('Repartition stock'!$B$6:$B$433="ZA"),--('Repartition stock'!$E$6:$E$433="Millésime"),--('Repartition stock'!$F$6:$F$433="2019"),--('Repartition stock'!$G$6:$G$433="n.d."))&gt;0),"n.d.",SUMPRODUCT(--('Repartition stock'!$A$6:$A$433="2026Q3"),--('Repartition stock'!$B$6:$B$433="ZA"),--('Repartition stock'!$E$6:$E$433="Millésime"),--('Repartition stock'!$F$6:$F$433="2019"),'Repartition stock'!$G$6:$G$433)))</f>
        <v>76</v>
      </c>
      <c r="Y8" s="8"/>
      <c r="Z8" s="8">
        <f>IF((IF(OR(SUMPRODUCT(--('Repartition stock'!$A$6:$A$433="2026Q3"),--('Repartition stock'!$B$6:$B$433="ZA"),--('Repartition stock'!$E$6:$E$433="Millésime"),--('Repartition stock'!$F$6:$F$433="2019"))=0,SUMPRODUCT(--('Repartition stock'!$A$6:$A$433="2026Q3"),--('Repartition stock'!$B$6:$B$433="ZA"),--('Repartition stock'!$E$6:$E$433="Millésime"),--('Repartition stock'!$F$6:$F$433="2019"),--('Repartition stock'!$H$6:$H$433="n.d."))&gt;0),"n.d.",SUMPRODUCT(--('Repartition stock'!$A$6:$A$433="2026Q3"),--('Repartition stock'!$B$6:$B$433="ZA"),--('Repartition stock'!$E$6:$E$433="Millésime"),--('Repartition stock'!$F$6:$F$433="2019"),'Repartition stock'!$H$6:$H$433)))="n.d.",0,IF(OR(SUMPRODUCT(--('Repartition stock'!$A$6:$A$433="2026Q3"),--('Repartition stock'!$B$6:$B$433="ZA"),--('Repartition stock'!$E$6:$E$433="Millésime"),--('Repartition stock'!$F$6:$F$433="2019"))=0,SUMPRODUCT(--('Repartition stock'!$A$6:$A$433="2026Q3"),--('Repartition stock'!$B$6:$B$433="ZA"),--('Repartition stock'!$E$6:$E$433="Millésime"),--('Repartition stock'!$F$6:$F$433="2019"),--('Repartition stock'!$H$6:$H$433="n.d."))&gt;0),"n.d.",SUMPRODUCT(--('Repartition stock'!$A$6:$A$433="2026Q3"),--('Repartition stock'!$B$6:$B$433="ZA"),--('Repartition stock'!$E$6:$E$433="Millésime"),--('Repartition stock'!$F$6:$F$433="2019"),'Repartition stock'!$H$6:$H$433)))</f>
        <v>217714.23</v>
      </c>
      <c r="AA8" s="8"/>
      <c r="AB8" s="8"/>
      <c r="AC8" s="7">
        <f>IF((IF(OR(COUNT(X8,X16)&lt;&gt;2,X16=0),"n.d.",X8/X16))="n.d.",0,IF(OR(COUNT(X8,X16)&lt;&gt;2,X16=0),"n.d.",X8/X16))</f>
        <v>0.0010551891704269351</v>
      </c>
      <c r="AD8" s="7"/>
      <c r="AE8" s="7">
        <f>IF((IF(OR(COUNT(Z8,Z16)&lt;&gt;2,Z16=0),"n.d.",Z8/Z16))="n.d.",0,IF(OR(COUNT(Z8,Z16)&lt;&gt;2,Z16=0),"n.d.",Z8/Z16))</f>
        <v>0.006481196012548115</v>
      </c>
      <c r="AF8" s="7"/>
    </row>
    <row r="9" spans="1:32" ht="13.5" customHeight="1">
      <c r="A9" s="13"/>
      <c r="R9" s="4"/>
      <c r="S9" s="4"/>
      <c r="T9" s="4"/>
      <c r="U9" s="16" t="s">
        <v>76</v>
      </c>
      <c r="V9" s="16"/>
      <c r="W9" s="16"/>
      <c r="X9" s="8">
        <f>IF((IF(OR(SUMPRODUCT(--('Repartition stock'!$A$6:$A$433="2026Q3"),--('Repartition stock'!$B$6:$B$433="ZA"),--('Repartition stock'!$E$6:$E$433="Millésime"),--('Repartition stock'!$F$6:$F$433="2020"))=0,SUMPRODUCT(--('Repartition stock'!$A$6:$A$433="2026Q3"),--('Repartition stock'!$B$6:$B$433="ZA"),--('Repartition stock'!$E$6:$E$433="Millésime"),--('Repartition stock'!$F$6:$F$433="2020"),--('Repartition stock'!$G$6:$G$433="n.d."))&gt;0),"n.d.",SUMPRODUCT(--('Repartition stock'!$A$6:$A$433="2026Q3"),--('Repartition stock'!$B$6:$B$433="ZA"),--('Repartition stock'!$E$6:$E$433="Millésime"),--('Repartition stock'!$F$6:$F$433="2020"),'Repartition stock'!$G$6:$G$433)))="n.d.",0,IF(OR(SUMPRODUCT(--('Repartition stock'!$A$6:$A$433="2026Q3"),--('Repartition stock'!$B$6:$B$433="ZA"),--('Repartition stock'!$E$6:$E$433="Millésime"),--('Repartition stock'!$F$6:$F$433="2020"))=0,SUMPRODUCT(--('Repartition stock'!$A$6:$A$433="2026Q3"),--('Repartition stock'!$B$6:$B$433="ZA"),--('Repartition stock'!$E$6:$E$433="Millésime"),--('Repartition stock'!$F$6:$F$433="2020"),--('Repartition stock'!$G$6:$G$433="n.d."))&gt;0),"n.d.",SUMPRODUCT(--('Repartition stock'!$A$6:$A$433="2026Q3"),--('Repartition stock'!$B$6:$B$433="ZA"),--('Repartition stock'!$E$6:$E$433="Millésime"),--('Repartition stock'!$F$6:$F$433="2020"),'Repartition stock'!$G$6:$G$433)))</f>
        <v>536</v>
      </c>
      <c r="Y9" s="8"/>
      <c r="Z9" s="8">
        <f>IF((IF(OR(SUMPRODUCT(--('Repartition stock'!$A$6:$A$433="2026Q3"),--('Repartition stock'!$B$6:$B$433="ZA"),--('Repartition stock'!$E$6:$E$433="Millésime"),--('Repartition stock'!$F$6:$F$433="2020"))=0,SUMPRODUCT(--('Repartition stock'!$A$6:$A$433="2026Q3"),--('Repartition stock'!$B$6:$B$433="ZA"),--('Repartition stock'!$E$6:$E$433="Millésime"),--('Repartition stock'!$F$6:$F$433="2020"),--('Repartition stock'!$H$6:$H$433="n.d."))&gt;0),"n.d.",SUMPRODUCT(--('Repartition stock'!$A$6:$A$433="2026Q3"),--('Repartition stock'!$B$6:$B$433="ZA"),--('Repartition stock'!$E$6:$E$433="Millésime"),--('Repartition stock'!$F$6:$F$433="2020"),'Repartition stock'!$H$6:$H$433)))="n.d.",0,IF(OR(SUMPRODUCT(--('Repartition stock'!$A$6:$A$433="2026Q3"),--('Repartition stock'!$B$6:$B$433="ZA"),--('Repartition stock'!$E$6:$E$433="Millésime"),--('Repartition stock'!$F$6:$F$433="2020"))=0,SUMPRODUCT(--('Repartition stock'!$A$6:$A$433="2026Q3"),--('Repartition stock'!$B$6:$B$433="ZA"),--('Repartition stock'!$E$6:$E$433="Millésime"),--('Repartition stock'!$F$6:$F$433="2020"),--('Repartition stock'!$H$6:$H$433="n.d."))&gt;0),"n.d.",SUMPRODUCT(--('Repartition stock'!$A$6:$A$433="2026Q3"),--('Repartition stock'!$B$6:$B$433="ZA"),--('Repartition stock'!$E$6:$E$433="Millésime"),--('Repartition stock'!$F$6:$F$433="2020"),'Repartition stock'!$H$6:$H$433)))</f>
        <v>1009033.5699999994</v>
      </c>
      <c r="AA9" s="8"/>
      <c r="AB9" s="8"/>
      <c r="AC9" s="7">
        <f>IF((IF(OR(COUNT(X9,X16)&lt;&gt;2,X16=0),"n.d.",X9/X16))="n.d.",0,IF(OR(COUNT(X9,X16)&lt;&gt;2,X16=0),"n.d.",X9/X16))</f>
        <v>0.0074418604651162795</v>
      </c>
      <c r="AD9" s="7"/>
      <c r="AE9" s="7">
        <f>IF((IF(OR(COUNT(Z9,Z16)&lt;&gt;2,Z16=0),"n.d.",Z9/Z16))="n.d.",0,IF(OR(COUNT(Z9,Z16)&lt;&gt;2,Z16=0),"n.d.",Z9/Z16))</f>
        <v>0.030038203522163822</v>
      </c>
      <c r="AF9" s="7"/>
    </row>
    <row r="10" spans="1:32" ht="13.5" customHeight="1">
      <c r="A10" s="13"/>
      <c r="R10" s="4"/>
      <c r="S10" s="4"/>
      <c r="T10" s="4"/>
      <c r="U10" s="16" t="s">
        <v>77</v>
      </c>
      <c r="V10" s="16"/>
      <c r="W10" s="16"/>
      <c r="X10" s="8">
        <f>IF((IF(OR(SUMPRODUCT(--('Repartition stock'!$A$6:$A$433="2026Q3"),--('Repartition stock'!$B$6:$B$433="ZA"),--('Repartition stock'!$E$6:$E$433="Millésime"),--('Repartition stock'!$F$6:$F$433="2021"))=0,SUMPRODUCT(--('Repartition stock'!$A$6:$A$433="2026Q3"),--('Repartition stock'!$B$6:$B$433="ZA"),--('Repartition stock'!$E$6:$E$433="Millésime"),--('Repartition stock'!$F$6:$F$433="2021"),--('Repartition stock'!$G$6:$G$433="n.d."))&gt;0),"n.d.",SUMPRODUCT(--('Repartition stock'!$A$6:$A$433="2026Q3"),--('Repartition stock'!$B$6:$B$433="ZA"),--('Repartition stock'!$E$6:$E$433="Millésime"),--('Repartition stock'!$F$6:$F$433="2021"),'Repartition stock'!$G$6:$G$433)))="n.d.",0,IF(OR(SUMPRODUCT(--('Repartition stock'!$A$6:$A$433="2026Q3"),--('Repartition stock'!$B$6:$B$433="ZA"),--('Repartition stock'!$E$6:$E$433="Millésime"),--('Repartition stock'!$F$6:$F$433="2021"))=0,SUMPRODUCT(--('Repartition stock'!$A$6:$A$433="2026Q3"),--('Repartition stock'!$B$6:$B$433="ZA"),--('Repartition stock'!$E$6:$E$433="Millésime"),--('Repartition stock'!$F$6:$F$433="2021"),--('Repartition stock'!$G$6:$G$433="n.d."))&gt;0),"n.d.",SUMPRODUCT(--('Repartition stock'!$A$6:$A$433="2026Q3"),--('Repartition stock'!$B$6:$B$433="ZA"),--('Repartition stock'!$E$6:$E$433="Millésime"),--('Repartition stock'!$F$6:$F$433="2021"),'Repartition stock'!$G$6:$G$433)))</f>
        <v>3378</v>
      </c>
      <c r="Y10" s="8"/>
      <c r="Z10" s="8">
        <f>IF((IF(OR(SUMPRODUCT(--('Repartition stock'!$A$6:$A$433="2026Q3"),--('Repartition stock'!$B$6:$B$433="ZA"),--('Repartition stock'!$E$6:$E$433="Millésime"),--('Repartition stock'!$F$6:$F$433="2021"))=0,SUMPRODUCT(--('Repartition stock'!$A$6:$A$433="2026Q3"),--('Repartition stock'!$B$6:$B$433="ZA"),--('Repartition stock'!$E$6:$E$433="Millésime"),--('Repartition stock'!$F$6:$F$433="2021"),--('Repartition stock'!$H$6:$H$433="n.d."))&gt;0),"n.d.",SUMPRODUCT(--('Repartition stock'!$A$6:$A$433="2026Q3"),--('Repartition stock'!$B$6:$B$433="ZA"),--('Repartition stock'!$E$6:$E$433="Millésime"),--('Repartition stock'!$F$6:$F$433="2021"),'Repartition stock'!$H$6:$H$433)))="n.d.",0,IF(OR(SUMPRODUCT(--('Repartition stock'!$A$6:$A$433="2026Q3"),--('Repartition stock'!$B$6:$B$433="ZA"),--('Repartition stock'!$E$6:$E$433="Millésime"),--('Repartition stock'!$F$6:$F$433="2021"))=0,SUMPRODUCT(--('Repartition stock'!$A$6:$A$433="2026Q3"),--('Repartition stock'!$B$6:$B$433="ZA"),--('Repartition stock'!$E$6:$E$433="Millésime"),--('Repartition stock'!$F$6:$F$433="2021"),--('Repartition stock'!$H$6:$H$433="n.d."))&gt;0),"n.d.",SUMPRODUCT(--('Repartition stock'!$A$6:$A$433="2026Q3"),--('Repartition stock'!$B$6:$B$433="ZA"),--('Repartition stock'!$E$6:$E$433="Millésime"),--('Repartition stock'!$F$6:$F$433="2021"),'Repartition stock'!$H$6:$H$433)))</f>
        <v>1988576.5700000057</v>
      </c>
      <c r="AA10" s="8"/>
      <c r="AB10" s="8"/>
      <c r="AC10" s="7">
        <f>IF((IF(OR(COUNT(X10,X16)&lt;&gt;2,X16=0),"n.d.",X10/X16))="n.d.",0,IF(OR(COUNT(X10,X16)&lt;&gt;2,X16=0),"n.d.",X10/X16))</f>
        <v>0.04690038181187088</v>
      </c>
      <c r="AD10" s="7"/>
      <c r="AE10" s="7">
        <f>IF((IF(OR(COUNT(Z10,Z16)&lt;&gt;2,Z16=0),"n.d.",Z10/Z16))="n.d.",0,IF(OR(COUNT(Z10,Z16)&lt;&gt;2,Z16=0),"n.d.",Z10/Z16))</f>
        <v>0.05919849398971598</v>
      </c>
      <c r="AF10" s="7"/>
    </row>
    <row r="11" spans="1:32" ht="13.5" customHeight="1">
      <c r="A11" s="13"/>
      <c r="R11" s="4"/>
      <c r="S11" s="4"/>
      <c r="T11" s="4"/>
      <c r="U11" s="16" t="s">
        <v>78</v>
      </c>
      <c r="V11" s="16"/>
      <c r="W11" s="16"/>
      <c r="X11" s="8">
        <f>IF((IF(OR(SUMPRODUCT(--('Repartition stock'!$A$6:$A$433="2026Q3"),--('Repartition stock'!$B$6:$B$433="ZA"),--('Repartition stock'!$E$6:$E$433="Millésime"),--('Repartition stock'!$F$6:$F$433="2022"))=0,SUMPRODUCT(--('Repartition stock'!$A$6:$A$433="2026Q3"),--('Repartition stock'!$B$6:$B$433="ZA"),--('Repartition stock'!$E$6:$E$433="Millésime"),--('Repartition stock'!$F$6:$F$433="2022"),--('Repartition stock'!$G$6:$G$433="n.d."))&gt;0),"n.d.",SUMPRODUCT(--('Repartition stock'!$A$6:$A$433="2026Q3"),--('Repartition stock'!$B$6:$B$433="ZA"),--('Repartition stock'!$E$6:$E$433="Millésime"),--('Repartition stock'!$F$6:$F$433="2022"),'Repartition stock'!$G$6:$G$433)))="n.d.",0,IF(OR(SUMPRODUCT(--('Repartition stock'!$A$6:$A$433="2026Q3"),--('Repartition stock'!$B$6:$B$433="ZA"),--('Repartition stock'!$E$6:$E$433="Millésime"),--('Repartition stock'!$F$6:$F$433="2022"))=0,SUMPRODUCT(--('Repartition stock'!$A$6:$A$433="2026Q3"),--('Repartition stock'!$B$6:$B$433="ZA"),--('Repartition stock'!$E$6:$E$433="Millésime"),--('Repartition stock'!$F$6:$F$433="2022"),--('Repartition stock'!$G$6:$G$433="n.d."))&gt;0),"n.d.",SUMPRODUCT(--('Repartition stock'!$A$6:$A$433="2026Q3"),--('Repartition stock'!$B$6:$B$433="ZA"),--('Repartition stock'!$E$6:$E$433="Millésime"),--('Repartition stock'!$F$6:$F$433="2022"),'Repartition stock'!$G$6:$G$433)))</f>
        <v>2953</v>
      </c>
      <c r="Y11" s="8"/>
      <c r="Z11" s="8">
        <f>IF((IF(OR(SUMPRODUCT(--('Repartition stock'!$A$6:$A$433="2026Q3"),--('Repartition stock'!$B$6:$B$433="ZA"),--('Repartition stock'!$E$6:$E$433="Millésime"),--('Repartition stock'!$F$6:$F$433="2022"))=0,SUMPRODUCT(--('Repartition stock'!$A$6:$A$433="2026Q3"),--('Repartition stock'!$B$6:$B$433="ZA"),--('Repartition stock'!$E$6:$E$433="Millésime"),--('Repartition stock'!$F$6:$F$433="2022"),--('Repartition stock'!$H$6:$H$433="n.d."))&gt;0),"n.d.",SUMPRODUCT(--('Repartition stock'!$A$6:$A$433="2026Q3"),--('Repartition stock'!$B$6:$B$433="ZA"),--('Repartition stock'!$E$6:$E$433="Millésime"),--('Repartition stock'!$F$6:$F$433="2022"),'Repartition stock'!$H$6:$H$433)))="n.d.",0,IF(OR(SUMPRODUCT(--('Repartition stock'!$A$6:$A$433="2026Q3"),--('Repartition stock'!$B$6:$B$433="ZA"),--('Repartition stock'!$E$6:$E$433="Millésime"),--('Repartition stock'!$F$6:$F$433="2022"))=0,SUMPRODUCT(--('Repartition stock'!$A$6:$A$433="2026Q3"),--('Repartition stock'!$B$6:$B$433="ZA"),--('Repartition stock'!$E$6:$E$433="Millésime"),--('Repartition stock'!$F$6:$F$433="2022"),--('Repartition stock'!$H$6:$H$433="n.d."))&gt;0),"n.d.",SUMPRODUCT(--('Repartition stock'!$A$6:$A$433="2026Q3"),--('Repartition stock'!$B$6:$B$433="ZA"),--('Repartition stock'!$E$6:$E$433="Millésime"),--('Repartition stock'!$F$6:$F$433="2022"),'Repartition stock'!$H$6:$H$433)))</f>
        <v>1765334.3200000038</v>
      </c>
      <c r="AA11" s="8"/>
      <c r="AB11" s="8"/>
      <c r="AC11" s="7">
        <f>IF((IF(OR(COUNT(X11,X16)&lt;&gt;2,X16=0),"n.d.",X11/X16))="n.d.",0,IF(OR(COUNT(X11,X16)&lt;&gt;2,X16=0),"n.d.",X11/X16))</f>
        <v>0.0409996528982992</v>
      </c>
      <c r="AD11" s="7"/>
      <c r="AE11" s="7">
        <f>IF((IF(OR(COUNT(Z11,Z16)&lt;&gt;2,Z16=0),"n.d.",Z11/Z16))="n.d.",0,IF(OR(COUNT(Z11,Z16)&lt;&gt;2,Z16=0),"n.d.",Z11/Z16))</f>
        <v>0.05255273279839523</v>
      </c>
      <c r="AF11" s="7"/>
    </row>
    <row r="12" spans="1:32" ht="13.5" customHeight="1">
      <c r="A12" s="13"/>
      <c r="R12" s="4"/>
      <c r="S12" s="4"/>
      <c r="T12" s="4"/>
      <c r="U12" s="16" t="s">
        <v>79</v>
      </c>
      <c r="V12" s="16"/>
      <c r="W12" s="16"/>
      <c r="X12" s="8">
        <f>IF((IF(OR(SUMPRODUCT(--('Repartition stock'!$A$6:$A$433="2026Q3"),--('Repartition stock'!$B$6:$B$433="ZA"),--('Repartition stock'!$E$6:$E$433="Millésime"),--('Repartition stock'!$F$6:$F$433="2023"))=0,SUMPRODUCT(--('Repartition stock'!$A$6:$A$433="2026Q3"),--('Repartition stock'!$B$6:$B$433="ZA"),--('Repartition stock'!$E$6:$E$433="Millésime"),--('Repartition stock'!$F$6:$F$433="2023"),--('Repartition stock'!$G$6:$G$433="n.d."))&gt;0),"n.d.",SUMPRODUCT(--('Repartition stock'!$A$6:$A$433="2026Q3"),--('Repartition stock'!$B$6:$B$433="ZA"),--('Repartition stock'!$E$6:$E$433="Millésime"),--('Repartition stock'!$F$6:$F$433="2023"),'Repartition stock'!$G$6:$G$433)))="n.d.",0,IF(OR(SUMPRODUCT(--('Repartition stock'!$A$6:$A$433="2026Q3"),--('Repartition stock'!$B$6:$B$433="ZA"),--('Repartition stock'!$E$6:$E$433="Millésime"),--('Repartition stock'!$F$6:$F$433="2023"))=0,SUMPRODUCT(--('Repartition stock'!$A$6:$A$433="2026Q3"),--('Repartition stock'!$B$6:$B$433="ZA"),--('Repartition stock'!$E$6:$E$433="Millésime"),--('Repartition stock'!$F$6:$F$433="2023"),--('Repartition stock'!$G$6:$G$433="n.d."))&gt;0),"n.d.",SUMPRODUCT(--('Repartition stock'!$A$6:$A$433="2026Q3"),--('Repartition stock'!$B$6:$B$433="ZA"),--('Repartition stock'!$E$6:$E$433="Millésime"),--('Repartition stock'!$F$6:$F$433="2023"),'Repartition stock'!$G$6:$G$433)))</f>
        <v>3919</v>
      </c>
      <c r="Y12" s="8"/>
      <c r="Z12" s="8">
        <f>IF((IF(OR(SUMPRODUCT(--('Repartition stock'!$A$6:$A$433="2026Q3"),--('Repartition stock'!$B$6:$B$433="ZA"),--('Repartition stock'!$E$6:$E$433="Millésime"),--('Repartition stock'!$F$6:$F$433="2023"))=0,SUMPRODUCT(--('Repartition stock'!$A$6:$A$433="2026Q3"),--('Repartition stock'!$B$6:$B$433="ZA"),--('Repartition stock'!$E$6:$E$433="Millésime"),--('Repartition stock'!$F$6:$F$433="2023"),--('Repartition stock'!$H$6:$H$433="n.d."))&gt;0),"n.d.",SUMPRODUCT(--('Repartition stock'!$A$6:$A$433="2026Q3"),--('Repartition stock'!$B$6:$B$433="ZA"),--('Repartition stock'!$E$6:$E$433="Millésime"),--('Repartition stock'!$F$6:$F$433="2023"),'Repartition stock'!$H$6:$H$433)))="n.d.",0,IF(OR(SUMPRODUCT(--('Repartition stock'!$A$6:$A$433="2026Q3"),--('Repartition stock'!$B$6:$B$433="ZA"),--('Repartition stock'!$E$6:$E$433="Millésime"),--('Repartition stock'!$F$6:$F$433="2023"))=0,SUMPRODUCT(--('Repartition stock'!$A$6:$A$433="2026Q3"),--('Repartition stock'!$B$6:$B$433="ZA"),--('Repartition stock'!$E$6:$E$433="Millésime"),--('Repartition stock'!$F$6:$F$433="2023"),--('Repartition stock'!$H$6:$H$433="n.d."))&gt;0),"n.d.",SUMPRODUCT(--('Repartition stock'!$A$6:$A$433="2026Q3"),--('Repartition stock'!$B$6:$B$433="ZA"),--('Repartition stock'!$E$6:$E$433="Millésime"),--('Repartition stock'!$F$6:$F$433="2023"),'Repartition stock'!$H$6:$H$433)))</f>
        <v>2536581.8899999964</v>
      </c>
      <c r="AA12" s="8"/>
      <c r="AB12" s="8"/>
      <c r="AC12" s="7">
        <f>IF((IF(OR(COUNT(X12,X16)&lt;&gt;2,X16=0),"n.d.",X12/X16))="n.d.",0,IF(OR(COUNT(X12,X16)&lt;&gt;2,X16=0),"n.d.",X12/X16))</f>
        <v>0.054411662617146826</v>
      </c>
      <c r="AD12" s="7"/>
      <c r="AE12" s="7">
        <f>IF((IF(OR(COUNT(Z12,Z16)&lt;&gt;2,Z16=0),"n.d.",Z12/Z16))="n.d.",0,IF(OR(COUNT(Z12,Z16)&lt;&gt;2,Z16=0),"n.d.",Z12/Z16))</f>
        <v>0.07551221815390632</v>
      </c>
      <c r="AF12" s="7"/>
    </row>
    <row r="13" spans="1:32" ht="13.5" customHeight="1">
      <c r="A13" s="13"/>
      <c r="R13" s="4"/>
      <c r="S13" s="4"/>
      <c r="T13" s="4"/>
      <c r="U13" s="16" t="s">
        <v>80</v>
      </c>
      <c r="V13" s="16"/>
      <c r="W13" s="16"/>
      <c r="X13" s="8">
        <f>IF((IF(OR(SUMPRODUCT(--('Repartition stock'!$A$6:$A$433="2026Q3"),--('Repartition stock'!$B$6:$B$433="ZA"),--('Repartition stock'!$E$6:$E$433="Millésime"),--('Repartition stock'!$F$6:$F$433="2024"))=0,SUMPRODUCT(--('Repartition stock'!$A$6:$A$433="2026Q3"),--('Repartition stock'!$B$6:$B$433="ZA"),--('Repartition stock'!$E$6:$E$433="Millésime"),--('Repartition stock'!$F$6:$F$433="2024"),--('Repartition stock'!$G$6:$G$433="n.d."))&gt;0),"n.d.",SUMPRODUCT(--('Repartition stock'!$A$6:$A$433="2026Q3"),--('Repartition stock'!$B$6:$B$433="ZA"),--('Repartition stock'!$E$6:$E$433="Millésime"),--('Repartition stock'!$F$6:$F$433="2024"),'Repartition stock'!$G$6:$G$433)))="n.d.",0,IF(OR(SUMPRODUCT(--('Repartition stock'!$A$6:$A$433="2026Q3"),--('Repartition stock'!$B$6:$B$433="ZA"),--('Repartition stock'!$E$6:$E$433="Millésime"),--('Repartition stock'!$F$6:$F$433="2024"))=0,SUMPRODUCT(--('Repartition stock'!$A$6:$A$433="2026Q3"),--('Repartition stock'!$B$6:$B$433="ZA"),--('Repartition stock'!$E$6:$E$433="Millésime"),--('Repartition stock'!$F$6:$F$433="2024"),--('Repartition stock'!$G$6:$G$433="n.d."))&gt;0),"n.d.",SUMPRODUCT(--('Repartition stock'!$A$6:$A$433="2026Q3"),--('Repartition stock'!$B$6:$B$433="ZA"),--('Repartition stock'!$E$6:$E$433="Millésime"),--('Repartition stock'!$F$6:$F$433="2024"),'Repartition stock'!$G$6:$G$433)))</f>
        <v>5286</v>
      </c>
      <c r="Y13" s="8"/>
      <c r="Z13" s="8">
        <f>IF((IF(OR(SUMPRODUCT(--('Repartition stock'!$A$6:$A$433="2026Q3"),--('Repartition stock'!$B$6:$B$433="ZA"),--('Repartition stock'!$E$6:$E$433="Millésime"),--('Repartition stock'!$F$6:$F$433="2024"))=0,SUMPRODUCT(--('Repartition stock'!$A$6:$A$433="2026Q3"),--('Repartition stock'!$B$6:$B$433="ZA"),--('Repartition stock'!$E$6:$E$433="Millésime"),--('Repartition stock'!$F$6:$F$433="2024"),--('Repartition stock'!$H$6:$H$433="n.d."))&gt;0),"n.d.",SUMPRODUCT(--('Repartition stock'!$A$6:$A$433="2026Q3"),--('Repartition stock'!$B$6:$B$433="ZA"),--('Repartition stock'!$E$6:$E$433="Millésime"),--('Repartition stock'!$F$6:$F$433="2024"),'Repartition stock'!$H$6:$H$433)))="n.d.",0,IF(OR(SUMPRODUCT(--('Repartition stock'!$A$6:$A$433="2026Q3"),--('Repartition stock'!$B$6:$B$433="ZA"),--('Repartition stock'!$E$6:$E$433="Millésime"),--('Repartition stock'!$F$6:$F$433="2024"))=0,SUMPRODUCT(--('Repartition stock'!$A$6:$A$433="2026Q3"),--('Repartition stock'!$B$6:$B$433="ZA"),--('Repartition stock'!$E$6:$E$433="Millésime"),--('Repartition stock'!$F$6:$F$433="2024"),--('Repartition stock'!$H$6:$H$433="n.d."))&gt;0),"n.d.",SUMPRODUCT(--('Repartition stock'!$A$6:$A$433="2026Q3"),--('Repartition stock'!$B$6:$B$433="ZA"),--('Repartition stock'!$E$6:$E$433="Millésime"),--('Repartition stock'!$F$6:$F$433="2024"),'Repartition stock'!$H$6:$H$433)))</f>
        <v>3180139.1900000055</v>
      </c>
      <c r="AA13" s="8"/>
      <c r="AB13" s="8"/>
      <c r="AC13" s="7">
        <f>IF((IF(OR(COUNT(X13,X16)&lt;&gt;2,X16=0),"n.d.",X13/X16))="n.d.",0,IF(OR(COUNT(X13,X16)&lt;&gt;2,X16=0),"n.d.",X13/X16))</f>
        <v>0.07339118361679972</v>
      </c>
      <c r="AD13" s="7"/>
      <c r="AE13" s="7">
        <f>IF((IF(OR(COUNT(Z13,Z16)&lt;&gt;2,Z16=0),"n.d.",Z13/Z16))="n.d.",0,IF(OR(COUNT(Z13,Z16)&lt;&gt;2,Z16=0),"n.d.",Z13/Z16))</f>
        <v>0.09467045602658139</v>
      </c>
      <c r="AF13" s="7"/>
    </row>
    <row r="14" spans="1:32" ht="13.5" customHeight="1">
      <c r="A14" s="13"/>
      <c r="R14" s="4"/>
      <c r="S14" s="4"/>
      <c r="T14" s="4"/>
      <c r="U14" s="16" t="s">
        <v>50</v>
      </c>
      <c r="V14" s="16"/>
      <c r="W14" s="16"/>
      <c r="X14" s="8">
        <f>IF((IF(OR(SUMPRODUCT(--('Repartition stock'!$A$6:$A$433="2026Q3"),--('Repartition stock'!$B$6:$B$433="ZA"),--('Repartition stock'!$E$6:$E$433="Millésime"),--('Repartition stock'!$F$6:$F$433="2025"))=0,SUMPRODUCT(--('Repartition stock'!$A$6:$A$433="2026Q3"),--('Repartition stock'!$B$6:$B$433="ZA"),--('Repartition stock'!$E$6:$E$433="Millésime"),--('Repartition stock'!$F$6:$F$433="2025"),--('Repartition stock'!$G$6:$G$433="n.d."))&gt;0),"n.d.",SUMPRODUCT(--('Repartition stock'!$A$6:$A$433="2026Q3"),--('Repartition stock'!$B$6:$B$433="ZA"),--('Repartition stock'!$E$6:$E$433="Millésime"),--('Repartition stock'!$F$6:$F$433="2025"),'Repartition stock'!$G$6:$G$433)))="n.d.",0,IF(OR(SUMPRODUCT(--('Repartition stock'!$A$6:$A$433="2026Q3"),--('Repartition stock'!$B$6:$B$433="ZA"),--('Repartition stock'!$E$6:$E$433="Millésime"),--('Repartition stock'!$F$6:$F$433="2025"))=0,SUMPRODUCT(--('Repartition stock'!$A$6:$A$433="2026Q3"),--('Repartition stock'!$B$6:$B$433="ZA"),--('Repartition stock'!$E$6:$E$433="Millésime"),--('Repartition stock'!$F$6:$F$433="2025"),--('Repartition stock'!$G$6:$G$433="n.d."))&gt;0),"n.d.",SUMPRODUCT(--('Repartition stock'!$A$6:$A$433="2026Q3"),--('Repartition stock'!$B$6:$B$433="ZA"),--('Repartition stock'!$E$6:$E$433="Millésime"),--('Repartition stock'!$F$6:$F$433="2025"),'Repartition stock'!$G$6:$G$433)))</f>
        <v>10227</v>
      </c>
      <c r="Y14" s="8"/>
      <c r="Z14" s="8">
        <f>IF((IF(OR(SUMPRODUCT(--('Repartition stock'!$A$6:$A$433="2026Q3"),--('Repartition stock'!$B$6:$B$433="ZA"),--('Repartition stock'!$E$6:$E$433="Millésime"),--('Repartition stock'!$F$6:$F$433="2025"))=0,SUMPRODUCT(--('Repartition stock'!$A$6:$A$433="2026Q3"),--('Repartition stock'!$B$6:$B$433="ZA"),--('Repartition stock'!$E$6:$E$433="Millésime"),--('Repartition stock'!$F$6:$F$433="2025"),--('Repartition stock'!$H$6:$H$433="n.d."))&gt;0),"n.d.",SUMPRODUCT(--('Repartition stock'!$A$6:$A$433="2026Q3"),--('Repartition stock'!$B$6:$B$433="ZA"),--('Repartition stock'!$E$6:$E$433="Millésime"),--('Repartition stock'!$F$6:$F$433="2025"),'Repartition stock'!$H$6:$H$433)))="n.d.",0,IF(OR(SUMPRODUCT(--('Repartition stock'!$A$6:$A$433="2026Q3"),--('Repartition stock'!$B$6:$B$433="ZA"),--('Repartition stock'!$E$6:$E$433="Millésime"),--('Repartition stock'!$F$6:$F$433="2025"))=0,SUMPRODUCT(--('Repartition stock'!$A$6:$A$433="2026Q3"),--('Repartition stock'!$B$6:$B$433="ZA"),--('Repartition stock'!$E$6:$E$433="Millésime"),--('Repartition stock'!$F$6:$F$433="2025"),--('Repartition stock'!$H$6:$H$433="n.d."))&gt;0),"n.d.",SUMPRODUCT(--('Repartition stock'!$A$6:$A$433="2026Q3"),--('Repartition stock'!$B$6:$B$433="ZA"),--('Repartition stock'!$E$6:$E$433="Millésime"),--('Repartition stock'!$F$6:$F$433="2025"),'Repartition stock'!$H$6:$H$433)))</f>
        <v>6167078.229999923</v>
      </c>
      <c r="AA14" s="8"/>
      <c r="AB14" s="8"/>
      <c r="AC14" s="7">
        <f>IF((IF(OR(COUNT(X14,X16)&lt;&gt;2,X16=0),"n.d.",X14/X16))="n.d.",0,IF(OR(COUNT(X14,X16)&lt;&gt;2,X16=0),"n.d.",X14/X16))</f>
        <v>0.14199236376258242</v>
      </c>
      <c r="AD14" s="7"/>
      <c r="AE14" s="7">
        <f>IF((IF(OR(COUNT(Z14,Z16)&lt;&gt;2,Z16=0),"n.d.",Z14/Z16))="n.d.",0,IF(OR(COUNT(Z14,Z16)&lt;&gt;2,Z16=0),"n.d.",Z14/Z16))</f>
        <v>0.1835894825678036</v>
      </c>
      <c r="AF14" s="7"/>
    </row>
    <row r="15" spans="1:32" ht="13.5" customHeight="1">
      <c r="A15" s="13"/>
      <c r="R15" s="4"/>
      <c r="S15" s="4"/>
      <c r="T15" s="4"/>
      <c r="U15" s="16" t="s">
        <v>51</v>
      </c>
      <c r="V15" s="16"/>
      <c r="W15" s="16"/>
      <c r="X15" s="8">
        <f>IF((IF(OR(SUMPRODUCT(--('Repartition stock'!$A$6:$A$433="2026Q3"),--('Repartition stock'!$B$6:$B$433="ZA"),--('Repartition stock'!$E$6:$E$433="Millésime"),--('Repartition stock'!$F$6:$F$433="2026"))=0,SUMPRODUCT(--('Repartition stock'!$A$6:$A$433="2026Q3"),--('Repartition stock'!$B$6:$B$433="ZA"),--('Repartition stock'!$E$6:$E$433="Millésime"),--('Repartition stock'!$F$6:$F$433="2026"),--('Repartition stock'!$G$6:$G$433="n.d."))&gt;0),"n.d.",SUMPRODUCT(--('Repartition stock'!$A$6:$A$433="2026Q3"),--('Repartition stock'!$B$6:$B$433="ZA"),--('Repartition stock'!$E$6:$E$433="Millésime"),--('Repartition stock'!$F$6:$F$433="2026"),'Repartition stock'!$G$6:$G$433)))="n.d.",0,IF(OR(SUMPRODUCT(--('Repartition stock'!$A$6:$A$433="2026Q3"),--('Repartition stock'!$B$6:$B$433="ZA"),--('Repartition stock'!$E$6:$E$433="Millésime"),--('Repartition stock'!$F$6:$F$433="2026"))=0,SUMPRODUCT(--('Repartition stock'!$A$6:$A$433="2026Q3"),--('Repartition stock'!$B$6:$B$433="ZA"),--('Repartition stock'!$E$6:$E$433="Millésime"),--('Repartition stock'!$F$6:$F$433="2026"),--('Repartition stock'!$G$6:$G$433="n.d."))&gt;0),"n.d.",SUMPRODUCT(--('Repartition stock'!$A$6:$A$433="2026Q3"),--('Repartition stock'!$B$6:$B$433="ZA"),--('Repartition stock'!$E$6:$E$433="Millésime"),--('Repartition stock'!$F$6:$F$433="2026"),'Repartition stock'!$G$6:$G$433)))</f>
        <v>45459</v>
      </c>
      <c r="Y15" s="8"/>
      <c r="Z15" s="8">
        <f>IF((IF(OR(SUMPRODUCT(--('Repartition stock'!$A$6:$A$433="2026Q3"),--('Repartition stock'!$B$6:$B$433="ZA"),--('Repartition stock'!$E$6:$E$433="Millésime"),--('Repartition stock'!$F$6:$F$433="2026"))=0,SUMPRODUCT(--('Repartition stock'!$A$6:$A$433="2026Q3"),--('Repartition stock'!$B$6:$B$433="ZA"),--('Repartition stock'!$E$6:$E$433="Millésime"),--('Repartition stock'!$F$6:$F$433="2026"),--('Repartition stock'!$H$6:$H$433="n.d."))&gt;0),"n.d.",SUMPRODUCT(--('Repartition stock'!$A$6:$A$433="2026Q3"),--('Repartition stock'!$B$6:$B$433="ZA"),--('Repartition stock'!$E$6:$E$433="Millésime"),--('Repartition stock'!$F$6:$F$433="2026"),'Repartition stock'!$H$6:$H$433)))="n.d.",0,IF(OR(SUMPRODUCT(--('Repartition stock'!$A$6:$A$433="2026Q3"),--('Repartition stock'!$B$6:$B$433="ZA"),--('Repartition stock'!$E$6:$E$433="Millésime"),--('Repartition stock'!$F$6:$F$433="2026"))=0,SUMPRODUCT(--('Repartition stock'!$A$6:$A$433="2026Q3"),--('Repartition stock'!$B$6:$B$433="ZA"),--('Repartition stock'!$E$6:$E$433="Millésime"),--('Repartition stock'!$F$6:$F$433="2026"),--('Repartition stock'!$H$6:$H$433="n.d."))&gt;0),"n.d.",SUMPRODUCT(--('Repartition stock'!$A$6:$A$433="2026Q3"),--('Repartition stock'!$B$6:$B$433="ZA"),--('Repartition stock'!$E$6:$E$433="Millésime"),--('Repartition stock'!$F$6:$F$433="2026"),'Repartition stock'!$H$6:$H$433)))</f>
        <v>16038502.780000027</v>
      </c>
      <c r="AA15" s="8"/>
      <c r="AB15" s="8"/>
      <c r="AC15" s="7">
        <f>IF((IF(OR(COUNT(X15,X16)&lt;&gt;2,X16=0),"n.d.",X15/X16))="n.d.",0,IF(OR(COUNT(X15,X16)&lt;&gt;2,X16=0),"n.d.",X15/X16))</f>
        <v>0.6311558486636585</v>
      </c>
      <c r="AD15" s="7"/>
      <c r="AE15" s="7">
        <f>IF((IF(OR(COUNT(Z15,Z16)&lt;&gt;2,Z16=0),"n.d.",Z15/Z16))="n.d.",0,IF(OR(COUNT(Z15,Z16)&lt;&gt;2,Z16=0),"n.d.",Z15/Z16))</f>
        <v>0.47745469032951143</v>
      </c>
      <c r="AF15" s="7"/>
    </row>
    <row r="16" spans="1:32" ht="13.5" customHeight="1">
      <c r="A16" s="13"/>
      <c r="R16" s="17" t="s">
        <v>71</v>
      </c>
      <c r="S16" s="17"/>
      <c r="T16" s="17"/>
      <c r="U16" s="17"/>
      <c r="V16" s="17"/>
      <c r="W16" s="17"/>
      <c r="X16" s="17">
        <f>IF((IF(COUNT(X7:X15)=9,SUM(X7:X15),"n.d."))="n.d.",0,IF(COUNT(X7:X15)=9,SUM(X7:X15),"n.d."))</f>
        <v>72025</v>
      </c>
      <c r="Y16" s="17"/>
      <c r="Z16" s="17">
        <f>IF((IF(COUNT(Z7:Z15)=9,SUM(Z7:Z15),"n.d."))="n.d.",0,IF(COUNT(Z7:Z15)=9,SUM(Z7:Z15),"n.d."))</f>
        <v>33591674.989999965</v>
      </c>
      <c r="AA16" s="17"/>
      <c r="AB16" s="17"/>
      <c r="AC16" s="10">
        <f>IF((IF(OR(NOT(ISNUMBER(X16)),X16=0),"n.d.",1))="n.d.",0,IF(OR(NOT(ISNUMBER(X16)),X16=0),"n.d.",1))</f>
        <v>1.0</v>
      </c>
      <c r="AD16" s="10"/>
      <c r="AE16" s="10">
        <f>IF((IF(OR(NOT(ISNUMBER(Z16)),Z16=0),"n.d.",1))="n.d.",0,IF(OR(NOT(ISNUMBER(Z16)),Z16=0),"n.d.",1))</f>
        <v>1.0</v>
      </c>
      <c r="AF16" s="10"/>
    </row>
    <row r="17" spans="1:32" ht="13.5" customHeight="1">
      <c r="A17" s="13"/>
    </row>
    <row r="18" spans="1:32" ht="13.5" customHeight="1">
      <c r="A18" s="13"/>
      <c r="R18" s="1" t="s">
        <v>102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3.5" customHeight="1">
      <c r="A19" s="13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3.5" customHeight="1">
      <c r="A20" s="13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3.5" customHeight="1">
      <c r="A21" s="13"/>
    </row>
    <row r="22" spans="1:32" ht="13.5" customHeight="1">
      <c r="A22" s="13"/>
    </row>
    <row r="23" spans="1:32" ht="13.5" customHeight="1">
      <c r="A23" s="13"/>
    </row>
    <row r="24" spans="1:32" ht="13.5" customHeight="1">
      <c r="A24" s="13"/>
    </row>
    <row r="25" spans="1:32" ht="13.5" customHeight="1">
      <c r="A25" s="13"/>
    </row>
    <row r="26" spans="1:32" ht="13.5" customHeight="1">
      <c r="A26" s="13"/>
    </row>
    <row r="27" spans="1:32" ht="13.5" customHeight="1">
      <c r="A27" s="13"/>
    </row>
    <row r="28" spans="1:32" ht="13.5" customHeight="1">
      <c r="A28" s="13"/>
    </row>
    <row r="29" spans="1:32" ht="13.5" customHeight="1">
      <c r="A29" s="13"/>
    </row>
    <row r="30" spans="1:32" ht="13.5" customHeight="1">
      <c r="A30" s="13"/>
      <c r="B30" s="11" t="str">
        <f>"Average monthly new flow: "&amp;IF(ISNUMBER('GraphData'!A247),TEXT('GraphData'!A247,"#,##0"),"0")&amp;" ZAR. Average balance per contract: "&amp;IF(ISNUMBER('GraphData'!B247),TEXT('GraphData'!B247,"#,##0"),"0")&amp;" ZAR."</f>
        <v>Average monthly new flow: 3,829,942 ZAR. Average balance per contract: 195 ZAR.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tr">
        <f>"Oldest cohort (M-5): "&amp;IF(ISNUMBER('GraphData'!C247),TEXT('GraphData'!C247,"0.0%"),"0")&amp;" treated in amount and "&amp;IF(ISNUMBER('GraphData'!D247),TEXT('GraphData'!D247,"0.0%"),"0")&amp;" in number."</f>
        <v>Oldest cohort (M-5): 69.3% treated in amount and 85.7% in number.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tr">
        <f>"Stock to process: "&amp;IF(ISNUMBER('GraphData'!E247),TEXT('GraphData'!E247,"#,##0"),"0")&amp;" ZAR. Identified stock: "&amp;IF(ISNUMBER('GraphData'!F247),TEXT('GraphData'!F247,"#,##0"),"0")&amp;" ZAR."</f>
        <v>Stock to process: 33,591,675 ZAR. Identified stock: 38,076,722 ZAR.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103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65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5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U12:W12"/>
    <mergeCell ref="X12:Y12"/>
    <mergeCell ref="Z12:AB12"/>
    <mergeCell ref="AC12:AD12"/>
    <mergeCell ref="AE12:AF12"/>
    <mergeCell ref="U13:W13"/>
    <mergeCell ref="X13:Y13"/>
    <mergeCell ref="Z13:AB13"/>
    <mergeCell ref="AC13:AD13"/>
    <mergeCell ref="AE13:AF1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R16:W16"/>
    <mergeCell ref="X16:Y16"/>
    <mergeCell ref="Z16:AB16"/>
    <mergeCell ref="AC16:AD16"/>
    <mergeCell ref="AE16:AF16"/>
    <mergeCell ref="R18:AF20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15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61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104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65</v>
      </c>
      <c r="S7" s="4"/>
      <c r="T7" s="4"/>
      <c r="U7" s="16" t="s">
        <v>66</v>
      </c>
      <c r="V7" s="16"/>
      <c r="W7" s="16"/>
      <c r="X7" s="8">
        <f>IF((IF(OR(SUMPRODUCT(--('Repartition stock'!$A$6:$A$433="2026Q3"),--('Repartition stock'!$B$6:$B$433="RO"),--('Repartition stock'!$E$6:$E$433="Tranche"),--('Repartition stock'!$F$6:$F$433="0 - 1 €"))=0,SUMPRODUCT(--('Repartition stock'!$A$6:$A$433="2026Q3"),--('Repartition stock'!$B$6:$B$433="RO"),--('Repartition stock'!$E$6:$E$433="Tranche"),--('Repartition stock'!$F$6:$F$433="0 - 1 €"),--('Repartition stock'!$G$6:$G$433="n.d."))&gt;0),"n.d.",SUMPRODUCT(--('Repartition stock'!$A$6:$A$433="2026Q3"),--('Repartition stock'!$B$6:$B$433="RO"),--('Repartition stock'!$E$6:$E$433="Tranche"),--('Repartition stock'!$F$6:$F$433="0 - 1 €"),'Repartition stock'!$G$6:$G$433)))="n.d.",0,IF(OR(SUMPRODUCT(--('Repartition stock'!$A$6:$A$433="2026Q3"),--('Repartition stock'!$B$6:$B$433="RO"),--('Repartition stock'!$E$6:$E$433="Tranche"),--('Repartition stock'!$F$6:$F$433="0 - 1 €"))=0,SUMPRODUCT(--('Repartition stock'!$A$6:$A$433="2026Q3"),--('Repartition stock'!$B$6:$B$433="RO"),--('Repartition stock'!$E$6:$E$433="Tranche"),--('Repartition stock'!$F$6:$F$433="0 - 1 €"),--('Repartition stock'!$G$6:$G$433="n.d."))&gt;0),"n.d.",SUMPRODUCT(--('Repartition stock'!$A$6:$A$433="2026Q3"),--('Repartition stock'!$B$6:$B$433="RO"),--('Repartition stock'!$E$6:$E$433="Tranche"),--('Repartition stock'!$F$6:$F$433="0 - 1 €"),'Repartition stock'!$G$6:$G$433)))</f>
        <v>0</v>
      </c>
      <c r="Y7" s="8"/>
      <c r="Z7" s="8">
        <f>IF((IF(OR(SUMPRODUCT(--('Repartition stock'!$A$6:$A$433="2026Q3"),--('Repartition stock'!$B$6:$B$433="RO"),--('Repartition stock'!$E$6:$E$433="Tranche"),--('Repartition stock'!$F$6:$F$433="0 - 1 €"))=0,SUMPRODUCT(--('Repartition stock'!$A$6:$A$433="2026Q3"),--('Repartition stock'!$B$6:$B$433="RO"),--('Repartition stock'!$E$6:$E$433="Tranche"),--('Repartition stock'!$F$6:$F$433="0 - 1 €"),--('Repartition stock'!$J$6:$J$433="n.d."))&gt;0),"n.d.",SUMPRODUCT(--('Repartition stock'!$A$6:$A$433="2026Q3"),--('Repartition stock'!$B$6:$B$433="RO"),--('Repartition stock'!$E$6:$E$433="Tranche"),--('Repartition stock'!$F$6:$F$433="0 - 1 €"),'Repartition stock'!$J$6:$J$433)))="n.d.",0,IF(OR(SUMPRODUCT(--('Repartition stock'!$A$6:$A$433="2026Q3"),--('Repartition stock'!$B$6:$B$433="RO"),--('Repartition stock'!$E$6:$E$433="Tranche"),--('Repartition stock'!$F$6:$F$433="0 - 1 €"))=0,SUMPRODUCT(--('Repartition stock'!$A$6:$A$433="2026Q3"),--('Repartition stock'!$B$6:$B$433="RO"),--('Repartition stock'!$E$6:$E$433="Tranche"),--('Repartition stock'!$F$6:$F$433="0 - 1 €"),--('Repartition stock'!$J$6:$J$433="n.d."))&gt;0),"n.d.",SUMPRODUCT(--('Repartition stock'!$A$6:$A$433="2026Q3"),--('Repartition stock'!$B$6:$B$433="RO"),--('Repartition stock'!$E$6:$E$433="Tranche"),--('Repartition stock'!$F$6:$F$433="0 - 1 €"),'Repartition stock'!$J$6:$J$433)))</f>
        <v>0.0</v>
      </c>
      <c r="AA7" s="8"/>
      <c r="AB7" s="8"/>
      <c r="AC7" s="7">
        <f>IF((IF(OR(COUNT(X7,X12)&lt;&gt;2,X12=0),"n.d.",X7/X12))="n.d.",0,IF(OR(COUNT(X7,X12)&lt;&gt;2,X12=0),"n.d.",X7/X12))</f>
        <v>0</v>
      </c>
      <c r="AD7" s="7"/>
      <c r="AE7" s="7">
        <f>IF((IF(OR(COUNT(Z7,Z12)&lt;&gt;2,Z12=0),"n.d.",Z7/Z12))="n.d.",0,IF(OR(COUNT(Z7,Z12)&lt;&gt;2,Z12=0),"n.d.",Z7/Z12))</f>
        <v>0</v>
      </c>
      <c r="AF7" s="7"/>
    </row>
    <row r="8" spans="1:32" ht="13.5" customHeight="1">
      <c r="A8" s="13"/>
      <c r="B8" s="4" t="s">
        <v>105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R8" s="4"/>
      <c r="S8" s="4"/>
      <c r="T8" s="4"/>
      <c r="U8" s="16" t="s">
        <v>67</v>
      </c>
      <c r="V8" s="16"/>
      <c r="W8" s="16"/>
      <c r="X8" s="8">
        <f>IF((IF(OR(SUMPRODUCT(--('Repartition stock'!$A$6:$A$433="2026Q3"),--('Repartition stock'!$B$6:$B$433="RO"),--('Repartition stock'!$E$6:$E$433="Tranche"),--('Repartition stock'!$F$6:$F$433="1 - 10 €"))=0,SUMPRODUCT(--('Repartition stock'!$A$6:$A$433="2026Q3"),--('Repartition stock'!$B$6:$B$433="RO"),--('Repartition stock'!$E$6:$E$433="Tranche"),--('Repartition stock'!$F$6:$F$433="1 - 10 €"),--('Repartition stock'!$G$6:$G$433="n.d."))&gt;0),"n.d.",SUMPRODUCT(--('Repartition stock'!$A$6:$A$433="2026Q3"),--('Repartition stock'!$B$6:$B$433="RO"),--('Repartition stock'!$E$6:$E$433="Tranche"),--('Repartition stock'!$F$6:$F$433="1 - 10 €"),'Repartition stock'!$G$6:$G$433)))="n.d.",0,IF(OR(SUMPRODUCT(--('Repartition stock'!$A$6:$A$433="2026Q3"),--('Repartition stock'!$B$6:$B$433="RO"),--('Repartition stock'!$E$6:$E$433="Tranche"),--('Repartition stock'!$F$6:$F$433="1 - 10 €"))=0,SUMPRODUCT(--('Repartition stock'!$A$6:$A$433="2026Q3"),--('Repartition stock'!$B$6:$B$433="RO"),--('Repartition stock'!$E$6:$E$433="Tranche"),--('Repartition stock'!$F$6:$F$433="1 - 10 €"),--('Repartition stock'!$G$6:$G$433="n.d."))&gt;0),"n.d.",SUMPRODUCT(--('Repartition stock'!$A$6:$A$433="2026Q3"),--('Repartition stock'!$B$6:$B$433="RO"),--('Repartition stock'!$E$6:$E$433="Tranche"),--('Repartition stock'!$F$6:$F$433="1 - 10 €"),'Repartition stock'!$G$6:$G$433)))</f>
        <v>0</v>
      </c>
      <c r="Y8" s="8"/>
      <c r="Z8" s="8">
        <f>IF((IF(OR(SUMPRODUCT(--('Repartition stock'!$A$6:$A$433="2026Q3"),--('Repartition stock'!$B$6:$B$433="RO"),--('Repartition stock'!$E$6:$E$433="Tranche"),--('Repartition stock'!$F$6:$F$433="1 - 10 €"))=0,SUMPRODUCT(--('Repartition stock'!$A$6:$A$433="2026Q3"),--('Repartition stock'!$B$6:$B$433="RO"),--('Repartition stock'!$E$6:$E$433="Tranche"),--('Repartition stock'!$F$6:$F$433="1 - 10 €"),--('Repartition stock'!$J$6:$J$433="n.d."))&gt;0),"n.d.",SUMPRODUCT(--('Repartition stock'!$A$6:$A$433="2026Q3"),--('Repartition stock'!$B$6:$B$433="RO"),--('Repartition stock'!$E$6:$E$433="Tranche"),--('Repartition stock'!$F$6:$F$433="1 - 10 €"),'Repartition stock'!$J$6:$J$433)))="n.d.",0,IF(OR(SUMPRODUCT(--('Repartition stock'!$A$6:$A$433="2026Q3"),--('Repartition stock'!$B$6:$B$433="RO"),--('Repartition stock'!$E$6:$E$433="Tranche"),--('Repartition stock'!$F$6:$F$433="1 - 10 €"))=0,SUMPRODUCT(--('Repartition stock'!$A$6:$A$433="2026Q3"),--('Repartition stock'!$B$6:$B$433="RO"),--('Repartition stock'!$E$6:$E$433="Tranche"),--('Repartition stock'!$F$6:$F$433="1 - 10 €"),--('Repartition stock'!$J$6:$J$433="n.d."))&gt;0),"n.d.",SUMPRODUCT(--('Repartition stock'!$A$6:$A$433="2026Q3"),--('Repartition stock'!$B$6:$B$433="RO"),--('Repartition stock'!$E$6:$E$433="Tranche"),--('Repartition stock'!$F$6:$F$433="1 - 10 €"),'Repartition stock'!$J$6:$J$433)))</f>
        <v>0.0</v>
      </c>
      <c r="AA8" s="8"/>
      <c r="AB8" s="8"/>
      <c r="AC8" s="7">
        <f>IF((IF(OR(COUNT(X8,X12)&lt;&gt;2,X12=0),"n.d.",X8/X12))="n.d.",0,IF(OR(COUNT(X8,X12)&lt;&gt;2,X12=0),"n.d.",X8/X12))</f>
        <v>0</v>
      </c>
      <c r="AD8" s="7"/>
      <c r="AE8" s="7">
        <f>IF((IF(OR(COUNT(Z8,Z12)&lt;&gt;2,Z12=0),"n.d.",Z8/Z12))="n.d.",0,IF(OR(COUNT(Z8,Z12)&lt;&gt;2,Z12=0),"n.d.",Z8/Z12))</f>
        <v>0</v>
      </c>
      <c r="AF8" s="7"/>
    </row>
    <row r="9" spans="1:32" ht="13.5" customHeight="1">
      <c r="A9" s="1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4"/>
      <c r="S9" s="4"/>
      <c r="T9" s="4"/>
      <c r="U9" s="16" t="s">
        <v>68</v>
      </c>
      <c r="V9" s="16"/>
      <c r="W9" s="16"/>
      <c r="X9" s="8">
        <f>IF((IF(OR(SUMPRODUCT(--('Repartition stock'!$A$6:$A$433="2026Q3"),--('Repartition stock'!$B$6:$B$433="RO"),--('Repartition stock'!$E$6:$E$433="Tranche"),--('Repartition stock'!$F$6:$F$433="10 - 100 €"))=0,SUMPRODUCT(--('Repartition stock'!$A$6:$A$433="2026Q3"),--('Repartition stock'!$B$6:$B$433="RO"),--('Repartition stock'!$E$6:$E$433="Tranche"),--('Repartition stock'!$F$6:$F$433="10 - 100 €"),--('Repartition stock'!$G$6:$G$433="n.d."))&gt;0),"n.d.",SUMPRODUCT(--('Repartition stock'!$A$6:$A$433="2026Q3"),--('Repartition stock'!$B$6:$B$433="RO"),--('Repartition stock'!$E$6:$E$433="Tranche"),--('Repartition stock'!$F$6:$F$433="10 - 100 €"),'Repartition stock'!$G$6:$G$433)))="n.d.",0,IF(OR(SUMPRODUCT(--('Repartition stock'!$A$6:$A$433="2026Q3"),--('Repartition stock'!$B$6:$B$433="RO"),--('Repartition stock'!$E$6:$E$433="Tranche"),--('Repartition stock'!$F$6:$F$433="10 - 100 €"))=0,SUMPRODUCT(--('Repartition stock'!$A$6:$A$433="2026Q3"),--('Repartition stock'!$B$6:$B$433="RO"),--('Repartition stock'!$E$6:$E$433="Tranche"),--('Repartition stock'!$F$6:$F$433="10 - 100 €"),--('Repartition stock'!$G$6:$G$433="n.d."))&gt;0),"n.d.",SUMPRODUCT(--('Repartition stock'!$A$6:$A$433="2026Q3"),--('Repartition stock'!$B$6:$B$433="RO"),--('Repartition stock'!$E$6:$E$433="Tranche"),--('Repartition stock'!$F$6:$F$433="10 - 100 €"),'Repartition stock'!$G$6:$G$433)))</f>
        <v>0</v>
      </c>
      <c r="Y9" s="8"/>
      <c r="Z9" s="8">
        <f>IF((IF(OR(SUMPRODUCT(--('Repartition stock'!$A$6:$A$433="2026Q3"),--('Repartition stock'!$B$6:$B$433="RO"),--('Repartition stock'!$E$6:$E$433="Tranche"),--('Repartition stock'!$F$6:$F$433="10 - 100 €"))=0,SUMPRODUCT(--('Repartition stock'!$A$6:$A$433="2026Q3"),--('Repartition stock'!$B$6:$B$433="RO"),--('Repartition stock'!$E$6:$E$433="Tranche"),--('Repartition stock'!$F$6:$F$433="10 - 100 €"),--('Repartition stock'!$J$6:$J$433="n.d."))&gt;0),"n.d.",SUMPRODUCT(--('Repartition stock'!$A$6:$A$433="2026Q3"),--('Repartition stock'!$B$6:$B$433="RO"),--('Repartition stock'!$E$6:$E$433="Tranche"),--('Repartition stock'!$F$6:$F$433="10 - 100 €"),'Repartition stock'!$J$6:$J$433)))="n.d.",0,IF(OR(SUMPRODUCT(--('Repartition stock'!$A$6:$A$433="2026Q3"),--('Repartition stock'!$B$6:$B$433="RO"),--('Repartition stock'!$E$6:$E$433="Tranche"),--('Repartition stock'!$F$6:$F$433="10 - 100 €"))=0,SUMPRODUCT(--('Repartition stock'!$A$6:$A$433="2026Q3"),--('Repartition stock'!$B$6:$B$433="RO"),--('Repartition stock'!$E$6:$E$433="Tranche"),--('Repartition stock'!$F$6:$F$433="10 - 100 €"),--('Repartition stock'!$J$6:$J$433="n.d."))&gt;0),"n.d.",SUMPRODUCT(--('Repartition stock'!$A$6:$A$433="2026Q3"),--('Repartition stock'!$B$6:$B$433="RO"),--('Repartition stock'!$E$6:$E$433="Tranche"),--('Repartition stock'!$F$6:$F$433="10 - 100 €"),'Repartition stock'!$J$6:$J$433)))</f>
        <v>0.0</v>
      </c>
      <c r="AA9" s="8"/>
      <c r="AB9" s="8"/>
      <c r="AC9" s="7">
        <f>IF((IF(OR(COUNT(X9,X12)&lt;&gt;2,X12=0),"n.d.",X9/X12))="n.d.",0,IF(OR(COUNT(X9,X12)&lt;&gt;2,X12=0),"n.d.",X9/X12))</f>
        <v>0</v>
      </c>
      <c r="AD9" s="7"/>
      <c r="AE9" s="7">
        <f>IF((IF(OR(COUNT(Z9,Z12)&lt;&gt;2,Z12=0),"n.d.",Z9/Z12))="n.d.",0,IF(OR(COUNT(Z9,Z12)&lt;&gt;2,Z12=0),"n.d.",Z9/Z12))</f>
        <v>0</v>
      </c>
      <c r="AF9" s="7"/>
    </row>
    <row r="10" spans="1:32" ht="13.5" customHeight="1">
      <c r="A10" s="1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R10" s="4"/>
      <c r="S10" s="4"/>
      <c r="T10" s="4"/>
      <c r="U10" s="16" t="s">
        <v>69</v>
      </c>
      <c r="V10" s="16"/>
      <c r="W10" s="16"/>
      <c r="X10" s="8">
        <f>IF((IF(OR(SUMPRODUCT(--('Repartition stock'!$A$6:$A$433="2026Q3"),--('Repartition stock'!$B$6:$B$433="RO"),--('Repartition stock'!$E$6:$E$433="Tranche"),--('Repartition stock'!$F$6:$F$433="100 - 1 000 €"))=0,SUMPRODUCT(--('Repartition stock'!$A$6:$A$433="2026Q3"),--('Repartition stock'!$B$6:$B$433="RO"),--('Repartition stock'!$E$6:$E$433="Tranche"),--('Repartition stock'!$F$6:$F$433="100 - 1 000 €"),--('Repartition stock'!$G$6:$G$433="n.d."))&gt;0),"n.d.",SUMPRODUCT(--('Repartition stock'!$A$6:$A$433="2026Q3"),--('Repartition stock'!$B$6:$B$433="RO"),--('Repartition stock'!$E$6:$E$433="Tranche"),--('Repartition stock'!$F$6:$F$433="100 - 1 000 €"),'Repartition stock'!$G$6:$G$433)))="n.d.",0,IF(OR(SUMPRODUCT(--('Repartition stock'!$A$6:$A$433="2026Q3"),--('Repartition stock'!$B$6:$B$433="RO"),--('Repartition stock'!$E$6:$E$433="Tranche"),--('Repartition stock'!$F$6:$F$433="100 - 1 000 €"))=0,SUMPRODUCT(--('Repartition stock'!$A$6:$A$433="2026Q3"),--('Repartition stock'!$B$6:$B$433="RO"),--('Repartition stock'!$E$6:$E$433="Tranche"),--('Repartition stock'!$F$6:$F$433="100 - 1 000 €"),--('Repartition stock'!$G$6:$G$433="n.d."))&gt;0),"n.d.",SUMPRODUCT(--('Repartition stock'!$A$6:$A$433="2026Q3"),--('Repartition stock'!$B$6:$B$433="RO"),--('Repartition stock'!$E$6:$E$433="Tranche"),--('Repartition stock'!$F$6:$F$433="100 - 1 000 €"),'Repartition stock'!$G$6:$G$433)))</f>
        <v>0</v>
      </c>
      <c r="Y10" s="8"/>
      <c r="Z10" s="8">
        <f>IF((IF(OR(SUMPRODUCT(--('Repartition stock'!$A$6:$A$433="2026Q3"),--('Repartition stock'!$B$6:$B$433="RO"),--('Repartition stock'!$E$6:$E$433="Tranche"),--('Repartition stock'!$F$6:$F$433="100 - 1 000 €"))=0,SUMPRODUCT(--('Repartition stock'!$A$6:$A$433="2026Q3"),--('Repartition stock'!$B$6:$B$433="RO"),--('Repartition stock'!$E$6:$E$433="Tranche"),--('Repartition stock'!$F$6:$F$433="100 - 1 000 €"),--('Repartition stock'!$J$6:$J$433="n.d."))&gt;0),"n.d.",SUMPRODUCT(--('Repartition stock'!$A$6:$A$433="2026Q3"),--('Repartition stock'!$B$6:$B$433="RO"),--('Repartition stock'!$E$6:$E$433="Tranche"),--('Repartition stock'!$F$6:$F$433="100 - 1 000 €"),'Repartition stock'!$J$6:$J$433)))="n.d.",0,IF(OR(SUMPRODUCT(--('Repartition stock'!$A$6:$A$433="2026Q3"),--('Repartition stock'!$B$6:$B$433="RO"),--('Repartition stock'!$E$6:$E$433="Tranche"),--('Repartition stock'!$F$6:$F$433="100 - 1 000 €"))=0,SUMPRODUCT(--('Repartition stock'!$A$6:$A$433="2026Q3"),--('Repartition stock'!$B$6:$B$433="RO"),--('Repartition stock'!$E$6:$E$433="Tranche"),--('Repartition stock'!$F$6:$F$433="100 - 1 000 €"),--('Repartition stock'!$J$6:$J$433="n.d."))&gt;0),"n.d.",SUMPRODUCT(--('Repartition stock'!$A$6:$A$433="2026Q3"),--('Repartition stock'!$B$6:$B$433="RO"),--('Repartition stock'!$E$6:$E$433="Tranche"),--('Repartition stock'!$F$6:$F$433="100 - 1 000 €"),'Repartition stock'!$J$6:$J$433)))</f>
        <v>0.0</v>
      </c>
      <c r="AA10" s="8"/>
      <c r="AB10" s="8"/>
      <c r="AC10" s="7">
        <f>IF((IF(OR(COUNT(X10,X12)&lt;&gt;2,X12=0),"n.d.",X10/X12))="n.d.",0,IF(OR(COUNT(X10,X12)&lt;&gt;2,X12=0),"n.d.",X10/X12))</f>
        <v>0</v>
      </c>
      <c r="AD10" s="7"/>
      <c r="AE10" s="7">
        <f>IF((IF(OR(COUNT(Z10,Z12)&lt;&gt;2,Z12=0),"n.d.",Z10/Z12))="n.d.",0,IF(OR(COUNT(Z10,Z12)&lt;&gt;2,Z12=0),"n.d.",Z10/Z12))</f>
        <v>0</v>
      </c>
      <c r="AF10" s="7"/>
    </row>
    <row r="11" spans="1:32" ht="13.5" customHeight="1">
      <c r="A11" s="1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R11" s="4"/>
      <c r="S11" s="4"/>
      <c r="T11" s="4"/>
      <c r="U11" s="16" t="s">
        <v>70</v>
      </c>
      <c r="V11" s="16"/>
      <c r="W11" s="16"/>
      <c r="X11" s="8">
        <f>IF((IF(OR(SUMPRODUCT(--('Repartition stock'!$A$6:$A$433="2026Q3"),--('Repartition stock'!$B$6:$B$433="RO"),--('Repartition stock'!$E$6:$E$433="Tranche"),--('Repartition stock'!$F$6:$F$433="&gt; 1 000 €"))=0,SUMPRODUCT(--('Repartition stock'!$A$6:$A$433="2026Q3"),--('Repartition stock'!$B$6:$B$433="RO"),--('Repartition stock'!$E$6:$E$433="Tranche"),--('Repartition stock'!$F$6:$F$433="&gt; 1 000 €"),--('Repartition stock'!$G$6:$G$433="n.d."))&gt;0),"n.d.",SUMPRODUCT(--('Repartition stock'!$A$6:$A$433="2026Q3"),--('Repartition stock'!$B$6:$B$433="RO"),--('Repartition stock'!$E$6:$E$433="Tranche"),--('Repartition stock'!$F$6:$F$433="&gt; 1 000 €"),'Repartition stock'!$G$6:$G$433)))="n.d.",0,IF(OR(SUMPRODUCT(--('Repartition stock'!$A$6:$A$433="2026Q3"),--('Repartition stock'!$B$6:$B$433="RO"),--('Repartition stock'!$E$6:$E$433="Tranche"),--('Repartition stock'!$F$6:$F$433="&gt; 1 000 €"))=0,SUMPRODUCT(--('Repartition stock'!$A$6:$A$433="2026Q3"),--('Repartition stock'!$B$6:$B$433="RO"),--('Repartition stock'!$E$6:$E$433="Tranche"),--('Repartition stock'!$F$6:$F$433="&gt; 1 000 €"),--('Repartition stock'!$G$6:$G$433="n.d."))&gt;0),"n.d.",SUMPRODUCT(--('Repartition stock'!$A$6:$A$433="2026Q3"),--('Repartition stock'!$B$6:$B$433="RO"),--('Repartition stock'!$E$6:$E$433="Tranche"),--('Repartition stock'!$F$6:$F$433="&gt; 1 000 €"),'Repartition stock'!$G$6:$G$433)))</f>
        <v>0</v>
      </c>
      <c r="Y11" s="8"/>
      <c r="Z11" s="8">
        <f>IF((IF(OR(SUMPRODUCT(--('Repartition stock'!$A$6:$A$433="2026Q3"),--('Repartition stock'!$B$6:$B$433="RO"),--('Repartition stock'!$E$6:$E$433="Tranche"),--('Repartition stock'!$F$6:$F$433="&gt; 1 000 €"))=0,SUMPRODUCT(--('Repartition stock'!$A$6:$A$433="2026Q3"),--('Repartition stock'!$B$6:$B$433="RO"),--('Repartition stock'!$E$6:$E$433="Tranche"),--('Repartition stock'!$F$6:$F$433="&gt; 1 000 €"),--('Repartition stock'!$J$6:$J$433="n.d."))&gt;0),"n.d.",SUMPRODUCT(--('Repartition stock'!$A$6:$A$433="2026Q3"),--('Repartition stock'!$B$6:$B$433="RO"),--('Repartition stock'!$E$6:$E$433="Tranche"),--('Repartition stock'!$F$6:$F$433="&gt; 1 000 €"),'Repartition stock'!$J$6:$J$433)))="n.d.",0,IF(OR(SUMPRODUCT(--('Repartition stock'!$A$6:$A$433="2026Q3"),--('Repartition stock'!$B$6:$B$433="RO"),--('Repartition stock'!$E$6:$E$433="Tranche"),--('Repartition stock'!$F$6:$F$433="&gt; 1 000 €"))=0,SUMPRODUCT(--('Repartition stock'!$A$6:$A$433="2026Q3"),--('Repartition stock'!$B$6:$B$433="RO"),--('Repartition stock'!$E$6:$E$433="Tranche"),--('Repartition stock'!$F$6:$F$433="&gt; 1 000 €"),--('Repartition stock'!$J$6:$J$433="n.d."))&gt;0),"n.d.",SUMPRODUCT(--('Repartition stock'!$A$6:$A$433="2026Q3"),--('Repartition stock'!$B$6:$B$433="RO"),--('Repartition stock'!$E$6:$E$433="Tranche"),--('Repartition stock'!$F$6:$F$433="&gt; 1 000 €"),'Repartition stock'!$J$6:$J$433)))</f>
        <v>0.0</v>
      </c>
      <c r="AA11" s="8"/>
      <c r="AB11" s="8"/>
      <c r="AC11" s="7">
        <f>IF((IF(OR(COUNT(X11,X12)&lt;&gt;2,X12=0),"n.d.",X11/X12))="n.d.",0,IF(OR(COUNT(X11,X12)&lt;&gt;2,X12=0),"n.d.",X11/X12))</f>
        <v>0</v>
      </c>
      <c r="AD11" s="7"/>
      <c r="AE11" s="7">
        <f>IF((IF(OR(COUNT(Z11,Z12)&lt;&gt;2,Z12=0),"n.d.",Z11/Z12))="n.d.",0,IF(OR(COUNT(Z11,Z12)&lt;&gt;2,Z12=0),"n.d.",Z11/Z12))</f>
        <v>0</v>
      </c>
      <c r="AF11" s="7"/>
    </row>
    <row r="12" spans="1:32" ht="13.5" customHeight="1">
      <c r="A12" s="1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R12" s="17" t="s">
        <v>71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0</v>
      </c>
      <c r="Y12" s="17"/>
      <c r="Z12" s="17">
        <f>IF((IF(COUNT(Z7:Z11)=5,SUM(Z7:Z11),"n.d."))="n.d.",0,IF(COUNT(Z7:Z11)=5,SUM(Z7:Z11),"n.d."))</f>
        <v>0.0</v>
      </c>
      <c r="AA12" s="17"/>
      <c r="AB12" s="17"/>
      <c r="AC12" s="10">
        <f>IF((IF(OR(NOT(ISNUMBER(X12)),X12=0),"n.d.",1))="n.d.",0,IF(OR(NOT(ISNUMBER(X12)),X12=0),"n.d.",1))</f>
        <v>0</v>
      </c>
      <c r="AD12" s="10"/>
      <c r="AE12" s="10">
        <f>IF((IF(OR(NOT(ISNUMBER(Z12)),Z12=0),"n.d.",1))="n.d.",0,IF(OR(NOT(ISNUMBER(Z12)),Z12=0),"n.d.",1))</f>
        <v>0</v>
      </c>
      <c r="AF12" s="10"/>
    </row>
    <row r="13" spans="1:32" ht="13.5" customHeight="1">
      <c r="A13" s="1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32" ht="13.5" customHeight="1">
      <c r="A14" s="1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R14" s="4" t="s">
        <v>72</v>
      </c>
      <c r="S14" s="4"/>
      <c r="T14" s="4"/>
      <c r="U14" s="16" t="s">
        <v>78</v>
      </c>
      <c r="V14" s="16"/>
      <c r="W14" s="16"/>
      <c r="X14" s="8">
        <f>IF((IF(OR(SUMPRODUCT(--('Repartition stock'!$A$6:$A$433="2026Q3"),--('Repartition stock'!$B$6:$B$433="RO"),--('Repartition stock'!$E$6:$E$433="Millésime"),--('Repartition stock'!$F$6:$F$433="2022"))=0,SUMPRODUCT(--('Repartition stock'!$A$6:$A$433="2026Q3"),--('Repartition stock'!$B$6:$B$433="RO"),--('Repartition stock'!$E$6:$E$433="Millésime"),--('Repartition stock'!$F$6:$F$433="2022"),--('Repartition stock'!$G$6:$G$433="n.d."))&gt;0),"n.d.",SUMPRODUCT(--('Repartition stock'!$A$6:$A$433="2026Q3"),--('Repartition stock'!$B$6:$B$433="RO"),--('Repartition stock'!$E$6:$E$433="Millésime"),--('Repartition stock'!$F$6:$F$433="2022"),'Repartition stock'!$G$6:$G$433)))="n.d.",0,IF(OR(SUMPRODUCT(--('Repartition stock'!$A$6:$A$433="2026Q3"),--('Repartition stock'!$B$6:$B$433="RO"),--('Repartition stock'!$E$6:$E$433="Millésime"),--('Repartition stock'!$F$6:$F$433="2022"))=0,SUMPRODUCT(--('Repartition stock'!$A$6:$A$433="2026Q3"),--('Repartition stock'!$B$6:$B$433="RO"),--('Repartition stock'!$E$6:$E$433="Millésime"),--('Repartition stock'!$F$6:$F$433="2022"),--('Repartition stock'!$G$6:$G$433="n.d."))&gt;0),"n.d.",SUMPRODUCT(--('Repartition stock'!$A$6:$A$433="2026Q3"),--('Repartition stock'!$B$6:$B$433="RO"),--('Repartition stock'!$E$6:$E$433="Millésime"),--('Repartition stock'!$F$6:$F$433="2022"),'Repartition stock'!$G$6:$G$433)))</f>
        <v>0</v>
      </c>
      <c r="Y14" s="8"/>
      <c r="Z14" s="8">
        <f>IF((IF(OR(SUMPRODUCT(--('Repartition stock'!$A$6:$A$433="2026Q3"),--('Repartition stock'!$B$6:$B$433="RO"),--('Repartition stock'!$E$6:$E$433="Millésime"),--('Repartition stock'!$F$6:$F$433="2022"))=0,SUMPRODUCT(--('Repartition stock'!$A$6:$A$433="2026Q3"),--('Repartition stock'!$B$6:$B$433="RO"),--('Repartition stock'!$E$6:$E$433="Millésime"),--('Repartition stock'!$F$6:$F$433="2022"),--('Repartition stock'!$J$6:$J$433="n.d."))&gt;0),"n.d.",SUMPRODUCT(--('Repartition stock'!$A$6:$A$433="2026Q3"),--('Repartition stock'!$B$6:$B$433="RO"),--('Repartition stock'!$E$6:$E$433="Millésime"),--('Repartition stock'!$F$6:$F$433="2022"),'Repartition stock'!$J$6:$J$433)))="n.d.",0,IF(OR(SUMPRODUCT(--('Repartition stock'!$A$6:$A$433="2026Q3"),--('Repartition stock'!$B$6:$B$433="RO"),--('Repartition stock'!$E$6:$E$433="Millésime"),--('Repartition stock'!$F$6:$F$433="2022"))=0,SUMPRODUCT(--('Repartition stock'!$A$6:$A$433="2026Q3"),--('Repartition stock'!$B$6:$B$433="RO"),--('Repartition stock'!$E$6:$E$433="Millésime"),--('Repartition stock'!$F$6:$F$433="2022"),--('Repartition stock'!$J$6:$J$433="n.d."))&gt;0),"n.d.",SUMPRODUCT(--('Repartition stock'!$A$6:$A$433="2026Q3"),--('Repartition stock'!$B$6:$B$433="RO"),--('Repartition stock'!$E$6:$E$433="Millésime"),--('Repartition stock'!$F$6:$F$433="2022"),'Repartition stock'!$J$6:$J$433)))</f>
        <v>0.0</v>
      </c>
      <c r="AA14" s="8"/>
      <c r="AB14" s="8"/>
      <c r="AC14" s="7">
        <f>IF((IF(OR(COUNT(X14,X19)&lt;&gt;2,X19=0),"n.d.",X14/X19))="n.d.",0,IF(OR(COUNT(X14,X19)&lt;&gt;2,X19=0),"n.d.",X14/X19))</f>
        <v>0</v>
      </c>
      <c r="AD14" s="7"/>
      <c r="AE14" s="7">
        <f>IF((IF(OR(COUNT(Z14,Z19)&lt;&gt;2,Z19=0),"n.d.",Z14/Z19))="n.d.",0,IF(OR(COUNT(Z14,Z19)&lt;&gt;2,Z19=0),"n.d.",Z14/Z19))</f>
        <v>0</v>
      </c>
      <c r="AF14" s="7"/>
    </row>
    <row r="15" spans="1:32" ht="13.5" customHeight="1">
      <c r="A15" s="1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R15" s="4"/>
      <c r="S15" s="4"/>
      <c r="T15" s="4"/>
      <c r="U15" s="16" t="s">
        <v>79</v>
      </c>
      <c r="V15" s="16"/>
      <c r="W15" s="16"/>
      <c r="X15" s="8">
        <f>IF((IF(OR(SUMPRODUCT(--('Repartition stock'!$A$6:$A$433="2026Q3"),--('Repartition stock'!$B$6:$B$433="RO"),--('Repartition stock'!$E$6:$E$433="Millésime"),--('Repartition stock'!$F$6:$F$433="2023"))=0,SUMPRODUCT(--('Repartition stock'!$A$6:$A$433="2026Q3"),--('Repartition stock'!$B$6:$B$433="RO"),--('Repartition stock'!$E$6:$E$433="Millésime"),--('Repartition stock'!$F$6:$F$433="2023"),--('Repartition stock'!$G$6:$G$433="n.d."))&gt;0),"n.d.",SUMPRODUCT(--('Repartition stock'!$A$6:$A$433="2026Q3"),--('Repartition stock'!$B$6:$B$433="RO"),--('Repartition stock'!$E$6:$E$433="Millésime"),--('Repartition stock'!$F$6:$F$433="2023"),'Repartition stock'!$G$6:$G$433)))="n.d.",0,IF(OR(SUMPRODUCT(--('Repartition stock'!$A$6:$A$433="2026Q3"),--('Repartition stock'!$B$6:$B$433="RO"),--('Repartition stock'!$E$6:$E$433="Millésime"),--('Repartition stock'!$F$6:$F$433="2023"))=0,SUMPRODUCT(--('Repartition stock'!$A$6:$A$433="2026Q3"),--('Repartition stock'!$B$6:$B$433="RO"),--('Repartition stock'!$E$6:$E$433="Millésime"),--('Repartition stock'!$F$6:$F$433="2023"),--('Repartition stock'!$G$6:$G$433="n.d."))&gt;0),"n.d.",SUMPRODUCT(--('Repartition stock'!$A$6:$A$433="2026Q3"),--('Repartition stock'!$B$6:$B$433="RO"),--('Repartition stock'!$E$6:$E$433="Millésime"),--('Repartition stock'!$F$6:$F$433="2023"),'Repartition stock'!$G$6:$G$433)))</f>
        <v>0</v>
      </c>
      <c r="Y15" s="8"/>
      <c r="Z15" s="8">
        <f>IF((IF(OR(SUMPRODUCT(--('Repartition stock'!$A$6:$A$433="2026Q3"),--('Repartition stock'!$B$6:$B$433="RO"),--('Repartition stock'!$E$6:$E$433="Millésime"),--('Repartition stock'!$F$6:$F$433="2023"))=0,SUMPRODUCT(--('Repartition stock'!$A$6:$A$433="2026Q3"),--('Repartition stock'!$B$6:$B$433="RO"),--('Repartition stock'!$E$6:$E$433="Millésime"),--('Repartition stock'!$F$6:$F$433="2023"),--('Repartition stock'!$J$6:$J$433="n.d."))&gt;0),"n.d.",SUMPRODUCT(--('Repartition stock'!$A$6:$A$433="2026Q3"),--('Repartition stock'!$B$6:$B$433="RO"),--('Repartition stock'!$E$6:$E$433="Millésime"),--('Repartition stock'!$F$6:$F$433="2023"),'Repartition stock'!$J$6:$J$433)))="n.d.",0,IF(OR(SUMPRODUCT(--('Repartition stock'!$A$6:$A$433="2026Q3"),--('Repartition stock'!$B$6:$B$433="RO"),--('Repartition stock'!$E$6:$E$433="Millésime"),--('Repartition stock'!$F$6:$F$433="2023"))=0,SUMPRODUCT(--('Repartition stock'!$A$6:$A$433="2026Q3"),--('Repartition stock'!$B$6:$B$433="RO"),--('Repartition stock'!$E$6:$E$433="Millésime"),--('Repartition stock'!$F$6:$F$433="2023"),--('Repartition stock'!$J$6:$J$433="n.d."))&gt;0),"n.d.",SUMPRODUCT(--('Repartition stock'!$A$6:$A$433="2026Q3"),--('Repartition stock'!$B$6:$B$433="RO"),--('Repartition stock'!$E$6:$E$433="Millésime"),--('Repartition stock'!$F$6:$F$433="2023"),'Repartition stock'!$J$6:$J$433)))</f>
        <v>0.0</v>
      </c>
      <c r="AA15" s="8"/>
      <c r="AB15" s="8"/>
      <c r="AC15" s="7">
        <f>IF((IF(OR(COUNT(X15,X19)&lt;&gt;2,X19=0),"n.d.",X15/X19))="n.d.",0,IF(OR(COUNT(X15,X19)&lt;&gt;2,X19=0),"n.d.",X15/X19))</f>
        <v>0</v>
      </c>
      <c r="AD15" s="7"/>
      <c r="AE15" s="7">
        <f>IF((IF(OR(COUNT(Z15,Z19)&lt;&gt;2,Z19=0),"n.d.",Z15/Z19))="n.d.",0,IF(OR(COUNT(Z15,Z19)&lt;&gt;2,Z19=0),"n.d.",Z15/Z19))</f>
        <v>0</v>
      </c>
      <c r="AF15" s="7"/>
    </row>
    <row r="16" spans="1:32" ht="13.5" customHeight="1">
      <c r="A16" s="1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R16" s="4"/>
      <c r="S16" s="4"/>
      <c r="T16" s="4"/>
      <c r="U16" s="16" t="s">
        <v>80</v>
      </c>
      <c r="V16" s="16"/>
      <c r="W16" s="16"/>
      <c r="X16" s="8">
        <f>IF((IF(OR(SUMPRODUCT(--('Repartition stock'!$A$6:$A$433="2026Q3"),--('Repartition stock'!$B$6:$B$433="RO"),--('Repartition stock'!$E$6:$E$433="Millésime"),--('Repartition stock'!$F$6:$F$433="2024"))=0,SUMPRODUCT(--('Repartition stock'!$A$6:$A$433="2026Q3"),--('Repartition stock'!$B$6:$B$433="RO"),--('Repartition stock'!$E$6:$E$433="Millésime"),--('Repartition stock'!$F$6:$F$433="2024"),--('Repartition stock'!$G$6:$G$433="n.d."))&gt;0),"n.d.",SUMPRODUCT(--('Repartition stock'!$A$6:$A$433="2026Q3"),--('Repartition stock'!$B$6:$B$433="RO"),--('Repartition stock'!$E$6:$E$433="Millésime"),--('Repartition stock'!$F$6:$F$433="2024"),'Repartition stock'!$G$6:$G$433)))="n.d.",0,IF(OR(SUMPRODUCT(--('Repartition stock'!$A$6:$A$433="2026Q3"),--('Repartition stock'!$B$6:$B$433="RO"),--('Repartition stock'!$E$6:$E$433="Millésime"),--('Repartition stock'!$F$6:$F$433="2024"))=0,SUMPRODUCT(--('Repartition stock'!$A$6:$A$433="2026Q3"),--('Repartition stock'!$B$6:$B$433="RO"),--('Repartition stock'!$E$6:$E$433="Millésime"),--('Repartition stock'!$F$6:$F$433="2024"),--('Repartition stock'!$G$6:$G$433="n.d."))&gt;0),"n.d.",SUMPRODUCT(--('Repartition stock'!$A$6:$A$433="2026Q3"),--('Repartition stock'!$B$6:$B$433="RO"),--('Repartition stock'!$E$6:$E$433="Millésime"),--('Repartition stock'!$F$6:$F$433="2024"),'Repartition stock'!$G$6:$G$433)))</f>
        <v>0</v>
      </c>
      <c r="Y16" s="8"/>
      <c r="Z16" s="8">
        <f>IF((IF(OR(SUMPRODUCT(--('Repartition stock'!$A$6:$A$433="2026Q3"),--('Repartition stock'!$B$6:$B$433="RO"),--('Repartition stock'!$E$6:$E$433="Millésime"),--('Repartition stock'!$F$6:$F$433="2024"))=0,SUMPRODUCT(--('Repartition stock'!$A$6:$A$433="2026Q3"),--('Repartition stock'!$B$6:$B$433="RO"),--('Repartition stock'!$E$6:$E$433="Millésime"),--('Repartition stock'!$F$6:$F$433="2024"),--('Repartition stock'!$J$6:$J$433="n.d."))&gt;0),"n.d.",SUMPRODUCT(--('Repartition stock'!$A$6:$A$433="2026Q3"),--('Repartition stock'!$B$6:$B$433="RO"),--('Repartition stock'!$E$6:$E$433="Millésime"),--('Repartition stock'!$F$6:$F$433="2024"),'Repartition stock'!$J$6:$J$433)))="n.d.",0,IF(OR(SUMPRODUCT(--('Repartition stock'!$A$6:$A$433="2026Q3"),--('Repartition stock'!$B$6:$B$433="RO"),--('Repartition stock'!$E$6:$E$433="Millésime"),--('Repartition stock'!$F$6:$F$433="2024"))=0,SUMPRODUCT(--('Repartition stock'!$A$6:$A$433="2026Q3"),--('Repartition stock'!$B$6:$B$433="RO"),--('Repartition stock'!$E$6:$E$433="Millésime"),--('Repartition stock'!$F$6:$F$433="2024"),--('Repartition stock'!$J$6:$J$433="n.d."))&gt;0),"n.d.",SUMPRODUCT(--('Repartition stock'!$A$6:$A$433="2026Q3"),--('Repartition stock'!$B$6:$B$433="RO"),--('Repartition stock'!$E$6:$E$433="Millésime"),--('Repartition stock'!$F$6:$F$433="2024"),'Repartition stock'!$J$6:$J$433)))</f>
        <v>0.0</v>
      </c>
      <c r="AA16" s="8"/>
      <c r="AB16" s="8"/>
      <c r="AC16" s="7">
        <f>IF((IF(OR(COUNT(X16,X19)&lt;&gt;2,X19=0),"n.d.",X16/X19))="n.d.",0,IF(OR(COUNT(X16,X19)&lt;&gt;2,X19=0),"n.d.",X16/X19))</f>
        <v>0</v>
      </c>
      <c r="AD16" s="7"/>
      <c r="AE16" s="7">
        <f>IF((IF(OR(COUNT(Z16,Z19)&lt;&gt;2,Z19=0),"n.d.",Z16/Z19))="n.d.",0,IF(OR(COUNT(Z16,Z19)&lt;&gt;2,Z19=0),"n.d.",Z16/Z19))</f>
        <v>0</v>
      </c>
      <c r="AF16" s="7"/>
    </row>
    <row r="17" spans="1:32" ht="13.5" customHeight="1">
      <c r="A17" s="1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4"/>
      <c r="S17" s="4"/>
      <c r="T17" s="4"/>
      <c r="U17" s="16" t="s">
        <v>50</v>
      </c>
      <c r="V17" s="16"/>
      <c r="W17" s="16"/>
      <c r="X17" s="8">
        <f>IF((IF(OR(SUMPRODUCT(--('Repartition stock'!$A$6:$A$433="2026Q3"),--('Repartition stock'!$B$6:$B$433="RO"),--('Repartition stock'!$E$6:$E$433="Millésime"),--('Repartition stock'!$F$6:$F$433="2025"))=0,SUMPRODUCT(--('Repartition stock'!$A$6:$A$433="2026Q3"),--('Repartition stock'!$B$6:$B$433="RO"),--('Repartition stock'!$E$6:$E$433="Millésime"),--('Repartition stock'!$F$6:$F$433="2025"),--('Repartition stock'!$G$6:$G$433="n.d."))&gt;0),"n.d.",SUMPRODUCT(--('Repartition stock'!$A$6:$A$433="2026Q3"),--('Repartition stock'!$B$6:$B$433="RO"),--('Repartition stock'!$E$6:$E$433="Millésime"),--('Repartition stock'!$F$6:$F$433="2025"),'Repartition stock'!$G$6:$G$433)))="n.d.",0,IF(OR(SUMPRODUCT(--('Repartition stock'!$A$6:$A$433="2026Q3"),--('Repartition stock'!$B$6:$B$433="RO"),--('Repartition stock'!$E$6:$E$433="Millésime"),--('Repartition stock'!$F$6:$F$433="2025"))=0,SUMPRODUCT(--('Repartition stock'!$A$6:$A$433="2026Q3"),--('Repartition stock'!$B$6:$B$433="RO"),--('Repartition stock'!$E$6:$E$433="Millésime"),--('Repartition stock'!$F$6:$F$433="2025"),--('Repartition stock'!$G$6:$G$433="n.d."))&gt;0),"n.d.",SUMPRODUCT(--('Repartition stock'!$A$6:$A$433="2026Q3"),--('Repartition stock'!$B$6:$B$433="RO"),--('Repartition stock'!$E$6:$E$433="Millésime"),--('Repartition stock'!$F$6:$F$433="2025"),'Repartition stock'!$G$6:$G$433)))</f>
        <v>0</v>
      </c>
      <c r="Y17" s="8"/>
      <c r="Z17" s="8">
        <f>IF((IF(OR(SUMPRODUCT(--('Repartition stock'!$A$6:$A$433="2026Q3"),--('Repartition stock'!$B$6:$B$433="RO"),--('Repartition stock'!$E$6:$E$433="Millésime"),--('Repartition stock'!$F$6:$F$433="2025"))=0,SUMPRODUCT(--('Repartition stock'!$A$6:$A$433="2026Q3"),--('Repartition stock'!$B$6:$B$433="RO"),--('Repartition stock'!$E$6:$E$433="Millésime"),--('Repartition stock'!$F$6:$F$433="2025"),--('Repartition stock'!$J$6:$J$433="n.d."))&gt;0),"n.d.",SUMPRODUCT(--('Repartition stock'!$A$6:$A$433="2026Q3"),--('Repartition stock'!$B$6:$B$433="RO"),--('Repartition stock'!$E$6:$E$433="Millésime"),--('Repartition stock'!$F$6:$F$433="2025"),'Repartition stock'!$J$6:$J$433)))="n.d.",0,IF(OR(SUMPRODUCT(--('Repartition stock'!$A$6:$A$433="2026Q3"),--('Repartition stock'!$B$6:$B$433="RO"),--('Repartition stock'!$E$6:$E$433="Millésime"),--('Repartition stock'!$F$6:$F$433="2025"))=0,SUMPRODUCT(--('Repartition stock'!$A$6:$A$433="2026Q3"),--('Repartition stock'!$B$6:$B$433="RO"),--('Repartition stock'!$E$6:$E$433="Millésime"),--('Repartition stock'!$F$6:$F$433="2025"),--('Repartition stock'!$J$6:$J$433="n.d."))&gt;0),"n.d.",SUMPRODUCT(--('Repartition stock'!$A$6:$A$433="2026Q3"),--('Repartition stock'!$B$6:$B$433="RO"),--('Repartition stock'!$E$6:$E$433="Millésime"),--('Repartition stock'!$F$6:$F$433="2025"),'Repartition stock'!$J$6:$J$433)))</f>
        <v>0.0</v>
      </c>
      <c r="AA17" s="8"/>
      <c r="AB17" s="8"/>
      <c r="AC17" s="7">
        <f>IF((IF(OR(COUNT(X17,X19)&lt;&gt;2,X19=0),"n.d.",X17/X19))="n.d.",0,IF(OR(COUNT(X17,X19)&lt;&gt;2,X19=0),"n.d.",X17/X19))</f>
        <v>0</v>
      </c>
      <c r="AD17" s="7"/>
      <c r="AE17" s="7">
        <f>IF((IF(OR(COUNT(Z17,Z19)&lt;&gt;2,Z19=0),"n.d.",Z17/Z19))="n.d.",0,IF(OR(COUNT(Z17,Z19)&lt;&gt;2,Z19=0),"n.d.",Z17/Z19))</f>
        <v>0</v>
      </c>
      <c r="AF17" s="7"/>
    </row>
    <row r="18" spans="1:32" ht="13.5" customHeight="1">
      <c r="A18" s="1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R18" s="4"/>
      <c r="S18" s="4"/>
      <c r="T18" s="4"/>
      <c r="U18" s="16" t="s">
        <v>51</v>
      </c>
      <c r="V18" s="16"/>
      <c r="W18" s="16"/>
      <c r="X18" s="8">
        <f>IF((IF(OR(SUMPRODUCT(--('Repartition stock'!$A$6:$A$433="2026Q3"),--('Repartition stock'!$B$6:$B$433="RO"),--('Repartition stock'!$E$6:$E$433="Millésime"),--('Repartition stock'!$F$6:$F$433="2026"))=0,SUMPRODUCT(--('Repartition stock'!$A$6:$A$433="2026Q3"),--('Repartition stock'!$B$6:$B$433="RO"),--('Repartition stock'!$E$6:$E$433="Millésime"),--('Repartition stock'!$F$6:$F$433="2026"),--('Repartition stock'!$G$6:$G$433="n.d."))&gt;0),"n.d.",SUMPRODUCT(--('Repartition stock'!$A$6:$A$433="2026Q3"),--('Repartition stock'!$B$6:$B$433="RO"),--('Repartition stock'!$E$6:$E$433="Millésime"),--('Repartition stock'!$F$6:$F$433="2026"),'Repartition stock'!$G$6:$G$433)))="n.d.",0,IF(OR(SUMPRODUCT(--('Repartition stock'!$A$6:$A$433="2026Q3"),--('Repartition stock'!$B$6:$B$433="RO"),--('Repartition stock'!$E$6:$E$433="Millésime"),--('Repartition stock'!$F$6:$F$433="2026"))=0,SUMPRODUCT(--('Repartition stock'!$A$6:$A$433="2026Q3"),--('Repartition stock'!$B$6:$B$433="RO"),--('Repartition stock'!$E$6:$E$433="Millésime"),--('Repartition stock'!$F$6:$F$433="2026"),--('Repartition stock'!$G$6:$G$433="n.d."))&gt;0),"n.d.",SUMPRODUCT(--('Repartition stock'!$A$6:$A$433="2026Q3"),--('Repartition stock'!$B$6:$B$433="RO"),--('Repartition stock'!$E$6:$E$433="Millésime"),--('Repartition stock'!$F$6:$F$433="2026"),'Repartition stock'!$G$6:$G$433)))</f>
        <v>0</v>
      </c>
      <c r="Y18" s="8"/>
      <c r="Z18" s="8">
        <f>IF((IF(OR(SUMPRODUCT(--('Repartition stock'!$A$6:$A$433="2026Q3"),--('Repartition stock'!$B$6:$B$433="RO"),--('Repartition stock'!$E$6:$E$433="Millésime"),--('Repartition stock'!$F$6:$F$433="2026"))=0,SUMPRODUCT(--('Repartition stock'!$A$6:$A$433="2026Q3"),--('Repartition stock'!$B$6:$B$433="RO"),--('Repartition stock'!$E$6:$E$433="Millésime"),--('Repartition stock'!$F$6:$F$433="2026"),--('Repartition stock'!$J$6:$J$433="n.d."))&gt;0),"n.d.",SUMPRODUCT(--('Repartition stock'!$A$6:$A$433="2026Q3"),--('Repartition stock'!$B$6:$B$433="RO"),--('Repartition stock'!$E$6:$E$433="Millésime"),--('Repartition stock'!$F$6:$F$433="2026"),'Repartition stock'!$J$6:$J$433)))="n.d.",0,IF(OR(SUMPRODUCT(--('Repartition stock'!$A$6:$A$433="2026Q3"),--('Repartition stock'!$B$6:$B$433="RO"),--('Repartition stock'!$E$6:$E$433="Millésime"),--('Repartition stock'!$F$6:$F$433="2026"))=0,SUMPRODUCT(--('Repartition stock'!$A$6:$A$433="2026Q3"),--('Repartition stock'!$B$6:$B$433="RO"),--('Repartition stock'!$E$6:$E$433="Millésime"),--('Repartition stock'!$F$6:$F$433="2026"),--('Repartition stock'!$J$6:$J$433="n.d."))&gt;0),"n.d.",SUMPRODUCT(--('Repartition stock'!$A$6:$A$433="2026Q3"),--('Repartition stock'!$B$6:$B$433="RO"),--('Repartition stock'!$E$6:$E$433="Millésime"),--('Repartition stock'!$F$6:$F$433="2026"),'Repartition stock'!$J$6:$J$433)))</f>
        <v>0.0</v>
      </c>
      <c r="AA18" s="8"/>
      <c r="AB18" s="8"/>
      <c r="AC18" s="7">
        <f>IF((IF(OR(COUNT(X18,X19)&lt;&gt;2,X19=0),"n.d.",X18/X19))="n.d.",0,IF(OR(COUNT(X18,X19)&lt;&gt;2,X19=0),"n.d.",X18/X19))</f>
        <v>0</v>
      </c>
      <c r="AD18" s="7"/>
      <c r="AE18" s="7">
        <f>IF((IF(OR(COUNT(Z18,Z19)&lt;&gt;2,Z19=0),"n.d.",Z18/Z19))="n.d.",0,IF(OR(COUNT(Z18,Z19)&lt;&gt;2,Z19=0),"n.d.",Z18/Z19))</f>
        <v>0</v>
      </c>
      <c r="AF18" s="7"/>
    </row>
    <row r="19" spans="1:32" ht="13.5" customHeight="1">
      <c r="A19" s="1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R19" s="17" t="s">
        <v>71</v>
      </c>
      <c r="S19" s="17"/>
      <c r="T19" s="17"/>
      <c r="U19" s="17"/>
      <c r="V19" s="17"/>
      <c r="W19" s="17"/>
      <c r="X19" s="17">
        <f>IF((IF(COUNT(X14:X18)=5,SUM(X14:X18),"n.d."))="n.d.",0,IF(COUNT(X14:X18)=5,SUM(X14:X18),"n.d."))</f>
        <v>0</v>
      </c>
      <c r="Y19" s="17"/>
      <c r="Z19" s="17">
        <f>IF((IF(COUNT(Z14:Z18)=5,SUM(Z14:Z18),"n.d."))="n.d.",0,IF(COUNT(Z14:Z18)=5,SUM(Z14:Z18),"n.d."))</f>
        <v>0.0</v>
      </c>
      <c r="AA19" s="17"/>
      <c r="AB19" s="17"/>
      <c r="AC19" s="10">
        <f>IF((IF(OR(NOT(ISNUMBER(X19)),X19=0),"n.d.",1))="n.d.",0,IF(OR(NOT(ISNUMBER(X19)),X19=0),"n.d.",1))</f>
        <v>0</v>
      </c>
      <c r="AD19" s="10"/>
      <c r="AE19" s="10">
        <f>IF((IF(OR(NOT(ISNUMBER(Z19)),Z19=0),"n.d.",1))="n.d.",0,IF(OR(NOT(ISNUMBER(Z19)),Z19=0),"n.d.",1))</f>
        <v>0</v>
      </c>
      <c r="AF19" s="10"/>
    </row>
    <row r="20" spans="1:32" ht="13.5" customHeight="1">
      <c r="A20" s="13"/>
    </row>
    <row r="21" spans="1:32" ht="13.5" customHeight="1">
      <c r="A21" s="13"/>
    </row>
    <row r="22" spans="1:32" ht="13.5" customHeight="1">
      <c r="A22" s="13"/>
    </row>
    <row r="23" spans="1:32" ht="13.5" customHeight="1">
      <c r="A23" s="13"/>
    </row>
    <row r="24" spans="1:32" ht="13.5" customHeight="1">
      <c r="A24" s="13"/>
    </row>
    <row r="25" spans="1:32" ht="13.5" customHeight="1">
      <c r="A25" s="13"/>
    </row>
    <row r="26" spans="1:32" ht="13.5" customHeight="1">
      <c r="A26" s="13"/>
    </row>
    <row r="27" spans="1:32" ht="13.5" customHeight="1">
      <c r="A27" s="13"/>
    </row>
    <row r="28" spans="1:32" ht="13.5" customHeight="1">
      <c r="A28" s="13"/>
    </row>
    <row r="29" spans="1:32" ht="13.5" customHeight="1">
      <c r="A29" s="13"/>
    </row>
    <row r="30" spans="1:32" ht="13.5" customHeight="1">
      <c r="A30" s="13"/>
      <c r="B30" s="11" t="s">
        <v>106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">
        <v>107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">
        <v>108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</row>
    <row r="37" spans="1:32" ht="13.5" customHeight="1">
      <c r="A37" s="13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75">
    <mergeCell ref="B2:M4"/>
    <mergeCell ref="B42:AF42"/>
    <mergeCell ref="B5:P6"/>
    <mergeCell ref="B8:P19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18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R19:W19"/>
    <mergeCell ref="X19:Y19"/>
    <mergeCell ref="Z19:AB19"/>
    <mergeCell ref="AC19:AD19"/>
    <mergeCell ref="AE19:AF19"/>
    <mergeCell ref="B30:AF31"/>
    <mergeCell ref="B32:AF33"/>
    <mergeCell ref="B34:AF35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109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110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111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72</v>
      </c>
      <c r="S7" s="4"/>
      <c r="T7" s="4"/>
      <c r="U7" s="16" t="s">
        <v>73</v>
      </c>
      <c r="V7" s="16"/>
      <c r="W7" s="16"/>
      <c r="X7" s="8">
        <f>IF((IF(OR(SUMPRODUCT(--('Repartition stock'!$A$6:$A$433="2026Q3"),--('Repartition stock'!$B$6:$B$433="BR"),--('Repartition stock'!$E$6:$E$433="Millésime"),--('Repartition stock'!$F$6:$F$433="&lt;2018"))=0,SUMPRODUCT(--('Repartition stock'!$A$6:$A$433="2026Q3"),--('Repartition stock'!$B$6:$B$433="BR"),--('Repartition stock'!$E$6:$E$433="Millésime"),--('Repartition stock'!$F$6:$F$433="&lt;2018"),--('Repartition stock'!$G$6:$G$433="n.d."))&gt;0),"n.d.",SUMPRODUCT(--('Repartition stock'!$A$6:$A$433="2026Q3"),--('Repartition stock'!$B$6:$B$433="BR"),--('Repartition stock'!$E$6:$E$433="Millésime"),--('Repartition stock'!$F$6:$F$433="&lt;2018"),'Repartition stock'!$G$6:$G$433)))="n.d.",0,IF(OR(SUMPRODUCT(--('Repartition stock'!$A$6:$A$433="2026Q3"),--('Repartition stock'!$B$6:$B$433="BR"),--('Repartition stock'!$E$6:$E$433="Millésime"),--('Repartition stock'!$F$6:$F$433="&lt;2018"))=0,SUMPRODUCT(--('Repartition stock'!$A$6:$A$433="2026Q3"),--('Repartition stock'!$B$6:$B$433="BR"),--('Repartition stock'!$E$6:$E$433="Millésime"),--('Repartition stock'!$F$6:$F$433="&lt;2018"),--('Repartition stock'!$G$6:$G$433="n.d."))&gt;0),"n.d.",SUMPRODUCT(--('Repartition stock'!$A$6:$A$433="2026Q3"),--('Repartition stock'!$B$6:$B$433="BR"),--('Repartition stock'!$E$6:$E$433="Millésime"),--('Repartition stock'!$F$6:$F$433="&lt;2018"),'Repartition stock'!$G$6:$G$433)))</f>
        <v>200151.0</v>
      </c>
      <c r="Y7" s="8"/>
      <c r="Z7" s="8">
        <f>IF((IF(OR(SUMPRODUCT(--('Repartition stock'!$A$6:$A$433="2026Q3"),--('Repartition stock'!$B$6:$B$433="BR"),--('Repartition stock'!$E$6:$E$433="Millésime"),--('Repartition stock'!$F$6:$F$433="&lt;2018"))=0,SUMPRODUCT(--('Repartition stock'!$A$6:$A$433="2026Q3"),--('Repartition stock'!$B$6:$B$433="BR"),--('Repartition stock'!$E$6:$E$433="Millésime"),--('Repartition stock'!$F$6:$F$433="&lt;2018"),--('Repartition stock'!$H$6:$H$433="n.d."))&gt;0),"n.d.",SUMPRODUCT(--('Repartition stock'!$A$6:$A$433="2026Q3"),--('Repartition stock'!$B$6:$B$433="BR"),--('Repartition stock'!$E$6:$E$433="Millésime"),--('Repartition stock'!$F$6:$F$433="&lt;2018"),'Repartition stock'!$H$6:$H$433)))="n.d.",0,IF(OR(SUMPRODUCT(--('Repartition stock'!$A$6:$A$433="2026Q3"),--('Repartition stock'!$B$6:$B$433="BR"),--('Repartition stock'!$E$6:$E$433="Millésime"),--('Repartition stock'!$F$6:$F$433="&lt;2018"))=0,SUMPRODUCT(--('Repartition stock'!$A$6:$A$433="2026Q3"),--('Repartition stock'!$B$6:$B$433="BR"),--('Repartition stock'!$E$6:$E$433="Millésime"),--('Repartition stock'!$F$6:$F$433="&lt;2018"),--('Repartition stock'!$H$6:$H$433="n.d."))&gt;0),"n.d.",SUMPRODUCT(--('Repartition stock'!$A$6:$A$433="2026Q3"),--('Repartition stock'!$B$6:$B$433="BR"),--('Repartition stock'!$E$6:$E$433="Millésime"),--('Repartition stock'!$F$6:$F$433="&lt;2018"),'Repartition stock'!$H$6:$H$433)))</f>
        <v>10286587.019999892</v>
      </c>
      <c r="AA7" s="8"/>
      <c r="AB7" s="8"/>
      <c r="AC7" s="7">
        <f>IF((IF(OR(COUNT(X7,X17)&lt;&gt;2,X17=0),"n.d.",X7/X17))="n.d.",0,IF(OR(COUNT(X7,X17)&lt;&gt;2,X17=0),"n.d.",X7/X17))</f>
        <v>0.6055712885306611</v>
      </c>
      <c r="AD7" s="7"/>
      <c r="AE7" s="7">
        <f>IF((IF(OR(COUNT(Z7,Z17)&lt;&gt;2,Z17=0),"n.d.",Z7/Z17))="n.d.",0,IF(OR(COUNT(Z7,Z17)&lt;&gt;2,Z17=0),"n.d.",Z7/Z17))</f>
        <v>0.4653093026014176</v>
      </c>
      <c r="AF7" s="7"/>
    </row>
    <row r="8" spans="1:32" ht="13.5" customHeight="1">
      <c r="A8" s="13"/>
      <c r="R8" s="4"/>
      <c r="S8" s="4"/>
      <c r="T8" s="4"/>
      <c r="U8" s="16" t="s">
        <v>74</v>
      </c>
      <c r="V8" s="16"/>
      <c r="W8" s="16"/>
      <c r="X8" s="8">
        <f>IF((IF(OR(SUMPRODUCT(--('Repartition stock'!$A$6:$A$433="2026Q3"),--('Repartition stock'!$B$6:$B$433="BR"),--('Repartition stock'!$E$6:$E$433="Millésime"),--('Repartition stock'!$F$6:$F$433="2018"))=0,SUMPRODUCT(--('Repartition stock'!$A$6:$A$433="2026Q3"),--('Repartition stock'!$B$6:$B$433="BR"),--('Repartition stock'!$E$6:$E$433="Millésime"),--('Repartition stock'!$F$6:$F$433="2018"),--('Repartition stock'!$G$6:$G$433="n.d."))&gt;0),"n.d.",SUMPRODUCT(--('Repartition stock'!$A$6:$A$433="2026Q3"),--('Repartition stock'!$B$6:$B$433="BR"),--('Repartition stock'!$E$6:$E$433="Millésime"),--('Repartition stock'!$F$6:$F$433="2018"),'Repartition stock'!$G$6:$G$433)))="n.d.",0,IF(OR(SUMPRODUCT(--('Repartition stock'!$A$6:$A$433="2026Q3"),--('Repartition stock'!$B$6:$B$433="BR"),--('Repartition stock'!$E$6:$E$433="Millésime"),--('Repartition stock'!$F$6:$F$433="2018"))=0,SUMPRODUCT(--('Repartition stock'!$A$6:$A$433="2026Q3"),--('Repartition stock'!$B$6:$B$433="BR"),--('Repartition stock'!$E$6:$E$433="Millésime"),--('Repartition stock'!$F$6:$F$433="2018"),--('Repartition stock'!$G$6:$G$433="n.d."))&gt;0),"n.d.",SUMPRODUCT(--('Repartition stock'!$A$6:$A$433="2026Q3"),--('Repartition stock'!$B$6:$B$433="BR"),--('Repartition stock'!$E$6:$E$433="Millésime"),--('Repartition stock'!$F$6:$F$433="2018"),'Repartition stock'!$G$6:$G$433)))</f>
        <v>7776.0</v>
      </c>
      <c r="Y8" s="8"/>
      <c r="Z8" s="8">
        <f>IF((IF(OR(SUMPRODUCT(--('Repartition stock'!$A$6:$A$433="2026Q3"),--('Repartition stock'!$B$6:$B$433="BR"),--('Repartition stock'!$E$6:$E$433="Millésime"),--('Repartition stock'!$F$6:$F$433="2018"))=0,SUMPRODUCT(--('Repartition stock'!$A$6:$A$433="2026Q3"),--('Repartition stock'!$B$6:$B$433="BR"),--('Repartition stock'!$E$6:$E$433="Millésime"),--('Repartition stock'!$F$6:$F$433="2018"),--('Repartition stock'!$H$6:$H$433="n.d."))&gt;0),"n.d.",SUMPRODUCT(--('Repartition stock'!$A$6:$A$433="2026Q3"),--('Repartition stock'!$B$6:$B$433="BR"),--('Repartition stock'!$E$6:$E$433="Millésime"),--('Repartition stock'!$F$6:$F$433="2018"),'Repartition stock'!$H$6:$H$433)))="n.d.",0,IF(OR(SUMPRODUCT(--('Repartition stock'!$A$6:$A$433="2026Q3"),--('Repartition stock'!$B$6:$B$433="BR"),--('Repartition stock'!$E$6:$E$433="Millésime"),--('Repartition stock'!$F$6:$F$433="2018"))=0,SUMPRODUCT(--('Repartition stock'!$A$6:$A$433="2026Q3"),--('Repartition stock'!$B$6:$B$433="BR"),--('Repartition stock'!$E$6:$E$433="Millésime"),--('Repartition stock'!$F$6:$F$433="2018"),--('Repartition stock'!$H$6:$H$433="n.d."))&gt;0),"n.d.",SUMPRODUCT(--('Repartition stock'!$A$6:$A$433="2026Q3"),--('Repartition stock'!$B$6:$B$433="BR"),--('Repartition stock'!$E$6:$E$433="Millésime"),--('Repartition stock'!$F$6:$F$433="2018"),'Repartition stock'!$H$6:$H$433)))</f>
        <v>1205925.6000000043</v>
      </c>
      <c r="AA8" s="8"/>
      <c r="AB8" s="8"/>
      <c r="AC8" s="7">
        <f>IF((IF(OR(COUNT(X8,X17)&lt;&gt;2,X17=0),"n.d.",X8/X17))="n.d.",0,IF(OR(COUNT(X8,X17)&lt;&gt;2,X17=0),"n.d.",X8/X17))</f>
        <v>0.02352684892713212</v>
      </c>
      <c r="AD8" s="7"/>
      <c r="AE8" s="7">
        <f>IF((IF(OR(COUNT(Z8,Z17)&lt;&gt;2,Z17=0),"n.d.",Z8/Z17))="n.d.",0,IF(OR(COUNT(Z8,Z17)&lt;&gt;2,Z17=0),"n.d.",Z8/Z17))</f>
        <v>0.05454952151128587</v>
      </c>
      <c r="AF8" s="7"/>
    </row>
    <row r="9" spans="1:32" ht="13.5" customHeight="1">
      <c r="A9" s="13"/>
      <c r="R9" s="4"/>
      <c r="S9" s="4"/>
      <c r="T9" s="4"/>
      <c r="U9" s="16" t="s">
        <v>75</v>
      </c>
      <c r="V9" s="16"/>
      <c r="W9" s="16"/>
      <c r="X9" s="8">
        <f>IF((IF(OR(SUMPRODUCT(--('Repartition stock'!$A$6:$A$433="2026Q3"),--('Repartition stock'!$B$6:$B$433="BR"),--('Repartition stock'!$E$6:$E$433="Millésime"),--('Repartition stock'!$F$6:$F$433="2019"))=0,SUMPRODUCT(--('Repartition stock'!$A$6:$A$433="2026Q3"),--('Repartition stock'!$B$6:$B$433="BR"),--('Repartition stock'!$E$6:$E$433="Millésime"),--('Repartition stock'!$F$6:$F$433="2019"),--('Repartition stock'!$G$6:$G$433="n.d."))&gt;0),"n.d.",SUMPRODUCT(--('Repartition stock'!$A$6:$A$433="2026Q3"),--('Repartition stock'!$B$6:$B$433="BR"),--('Repartition stock'!$E$6:$E$433="Millésime"),--('Repartition stock'!$F$6:$F$433="2019"),'Repartition stock'!$G$6:$G$433)))="n.d.",0,IF(OR(SUMPRODUCT(--('Repartition stock'!$A$6:$A$433="2026Q3"),--('Repartition stock'!$B$6:$B$433="BR"),--('Repartition stock'!$E$6:$E$433="Millésime"),--('Repartition stock'!$F$6:$F$433="2019"))=0,SUMPRODUCT(--('Repartition stock'!$A$6:$A$433="2026Q3"),--('Repartition stock'!$B$6:$B$433="BR"),--('Repartition stock'!$E$6:$E$433="Millésime"),--('Repartition stock'!$F$6:$F$433="2019"),--('Repartition stock'!$G$6:$G$433="n.d."))&gt;0),"n.d.",SUMPRODUCT(--('Repartition stock'!$A$6:$A$433="2026Q3"),--('Repartition stock'!$B$6:$B$433="BR"),--('Repartition stock'!$E$6:$E$433="Millésime"),--('Repartition stock'!$F$6:$F$433="2019"),'Repartition stock'!$G$6:$G$433)))</f>
        <v>5035.0</v>
      </c>
      <c r="Y9" s="8"/>
      <c r="Z9" s="8">
        <f>IF((IF(OR(SUMPRODUCT(--('Repartition stock'!$A$6:$A$433="2026Q3"),--('Repartition stock'!$B$6:$B$433="BR"),--('Repartition stock'!$E$6:$E$433="Millésime"),--('Repartition stock'!$F$6:$F$433="2019"))=0,SUMPRODUCT(--('Repartition stock'!$A$6:$A$433="2026Q3"),--('Repartition stock'!$B$6:$B$433="BR"),--('Repartition stock'!$E$6:$E$433="Millésime"),--('Repartition stock'!$F$6:$F$433="2019"),--('Repartition stock'!$H$6:$H$433="n.d."))&gt;0),"n.d.",SUMPRODUCT(--('Repartition stock'!$A$6:$A$433="2026Q3"),--('Repartition stock'!$B$6:$B$433="BR"),--('Repartition stock'!$E$6:$E$433="Millésime"),--('Repartition stock'!$F$6:$F$433="2019"),'Repartition stock'!$H$6:$H$433)))="n.d.",0,IF(OR(SUMPRODUCT(--('Repartition stock'!$A$6:$A$433="2026Q3"),--('Repartition stock'!$B$6:$B$433="BR"),--('Repartition stock'!$E$6:$E$433="Millésime"),--('Repartition stock'!$F$6:$F$433="2019"))=0,SUMPRODUCT(--('Repartition stock'!$A$6:$A$433="2026Q3"),--('Repartition stock'!$B$6:$B$433="BR"),--('Repartition stock'!$E$6:$E$433="Millésime"),--('Repartition stock'!$F$6:$F$433="2019"),--('Repartition stock'!$H$6:$H$433="n.d."))&gt;0),"n.d.",SUMPRODUCT(--('Repartition stock'!$A$6:$A$433="2026Q3"),--('Repartition stock'!$B$6:$B$433="BR"),--('Repartition stock'!$E$6:$E$433="Millésime"),--('Repartition stock'!$F$6:$F$433="2019"),'Repartition stock'!$H$6:$H$433)))</f>
        <v>1171305.1600000102</v>
      </c>
      <c r="AA9" s="8"/>
      <c r="AB9" s="8"/>
      <c r="AC9" s="7">
        <f>IF((IF(OR(COUNT(X9,X17)&lt;&gt;2,X17=0),"n.d.",X9/X17))="n.d.",0,IF(OR(COUNT(X9,X17)&lt;&gt;2,X17=0),"n.d.",X9/X17))</f>
        <v>0.015233755703203476</v>
      </c>
      <c r="AD9" s="7"/>
      <c r="AE9" s="7">
        <f>IF((IF(OR(COUNT(Z9,Z17)&lt;&gt;2,Z17=0),"n.d.",Z9/Z17))="n.d.",0,IF(OR(COUNT(Z9,Z17)&lt;&gt;2,Z17=0),"n.d.",Z9/Z17))</f>
        <v>0.05298348092262115</v>
      </c>
      <c r="AF9" s="7"/>
    </row>
    <row r="10" spans="1:32" ht="13.5" customHeight="1">
      <c r="A10" s="13"/>
      <c r="R10" s="4"/>
      <c r="S10" s="4"/>
      <c r="T10" s="4"/>
      <c r="U10" s="16" t="s">
        <v>76</v>
      </c>
      <c r="V10" s="16"/>
      <c r="W10" s="16"/>
      <c r="X10" s="8">
        <f>IF((IF(OR(SUMPRODUCT(--('Repartition stock'!$A$6:$A$433="2026Q3"),--('Repartition stock'!$B$6:$B$433="BR"),--('Repartition stock'!$E$6:$E$433="Millésime"),--('Repartition stock'!$F$6:$F$433="2020"))=0,SUMPRODUCT(--('Repartition stock'!$A$6:$A$433="2026Q3"),--('Repartition stock'!$B$6:$B$433="BR"),--('Repartition stock'!$E$6:$E$433="Millésime"),--('Repartition stock'!$F$6:$F$433="2020"),--('Repartition stock'!$G$6:$G$433="n.d."))&gt;0),"n.d.",SUMPRODUCT(--('Repartition stock'!$A$6:$A$433="2026Q3"),--('Repartition stock'!$B$6:$B$433="BR"),--('Repartition stock'!$E$6:$E$433="Millésime"),--('Repartition stock'!$F$6:$F$433="2020"),'Repartition stock'!$G$6:$G$433)))="n.d.",0,IF(OR(SUMPRODUCT(--('Repartition stock'!$A$6:$A$433="2026Q3"),--('Repartition stock'!$B$6:$B$433="BR"),--('Repartition stock'!$E$6:$E$433="Millésime"),--('Repartition stock'!$F$6:$F$433="2020"))=0,SUMPRODUCT(--('Repartition stock'!$A$6:$A$433="2026Q3"),--('Repartition stock'!$B$6:$B$433="BR"),--('Repartition stock'!$E$6:$E$433="Millésime"),--('Repartition stock'!$F$6:$F$433="2020"),--('Repartition stock'!$G$6:$G$433="n.d."))&gt;0),"n.d.",SUMPRODUCT(--('Repartition stock'!$A$6:$A$433="2026Q3"),--('Repartition stock'!$B$6:$B$433="BR"),--('Repartition stock'!$E$6:$E$433="Millésime"),--('Repartition stock'!$F$6:$F$433="2020"),'Repartition stock'!$G$6:$G$433)))</f>
        <v>47428.0</v>
      </c>
      <c r="Y10" s="8"/>
      <c r="Z10" s="8">
        <f>IF((IF(OR(SUMPRODUCT(--('Repartition stock'!$A$6:$A$433="2026Q3"),--('Repartition stock'!$B$6:$B$433="BR"),--('Repartition stock'!$E$6:$E$433="Millésime"),--('Repartition stock'!$F$6:$F$433="2020"))=0,SUMPRODUCT(--('Repartition stock'!$A$6:$A$433="2026Q3"),--('Repartition stock'!$B$6:$B$433="BR"),--('Repartition stock'!$E$6:$E$433="Millésime"),--('Repartition stock'!$F$6:$F$433="2020"),--('Repartition stock'!$H$6:$H$433="n.d."))&gt;0),"n.d.",SUMPRODUCT(--('Repartition stock'!$A$6:$A$433="2026Q3"),--('Repartition stock'!$B$6:$B$433="BR"),--('Repartition stock'!$E$6:$E$433="Millésime"),--('Repartition stock'!$F$6:$F$433="2020"),'Repartition stock'!$H$6:$H$433)))="n.d.",0,IF(OR(SUMPRODUCT(--('Repartition stock'!$A$6:$A$433="2026Q3"),--('Repartition stock'!$B$6:$B$433="BR"),--('Repartition stock'!$E$6:$E$433="Millésime"),--('Repartition stock'!$F$6:$F$433="2020"))=0,SUMPRODUCT(--('Repartition stock'!$A$6:$A$433="2026Q3"),--('Repartition stock'!$B$6:$B$433="BR"),--('Repartition stock'!$E$6:$E$433="Millésime"),--('Repartition stock'!$F$6:$F$433="2020"),--('Repartition stock'!$H$6:$H$433="n.d."))&gt;0),"n.d.",SUMPRODUCT(--('Repartition stock'!$A$6:$A$433="2026Q3"),--('Repartition stock'!$B$6:$B$433="BR"),--('Repartition stock'!$E$6:$E$433="Millésime"),--('Repartition stock'!$F$6:$F$433="2020"),'Repartition stock'!$H$6:$H$433)))</f>
        <v>1814453.9399993117</v>
      </c>
      <c r="AA10" s="8"/>
      <c r="AB10" s="8"/>
      <c r="AC10" s="7">
        <f>IF((IF(OR(COUNT(X10,X17)&lt;&gt;2,X17=0),"n.d.",X10/X17))="n.d.",0,IF(OR(COUNT(X10,X17)&lt;&gt;2,X17=0),"n.d.",X10/X17))</f>
        <v>0.14349683525154608</v>
      </c>
      <c r="AD10" s="7"/>
      <c r="AE10" s="7">
        <f>IF((IF(OR(COUNT(Z10,Z17)&lt;&gt;2,Z17=0),"n.d.",Z10/Z17))="n.d.",0,IF(OR(COUNT(Z10,Z17)&lt;&gt;2,Z17=0),"n.d.",Z10/Z17))</f>
        <v>0.08207603705504676</v>
      </c>
      <c r="AF10" s="7"/>
    </row>
    <row r="11" spans="1:32" ht="13.5" customHeight="1">
      <c r="A11" s="13"/>
      <c r="R11" s="4"/>
      <c r="S11" s="4"/>
      <c r="T11" s="4"/>
      <c r="U11" s="16" t="s">
        <v>77</v>
      </c>
      <c r="V11" s="16"/>
      <c r="W11" s="16"/>
      <c r="X11" s="8">
        <f>IF((IF(OR(SUMPRODUCT(--('Repartition stock'!$A$6:$A$433="2026Q3"),--('Repartition stock'!$B$6:$B$433="BR"),--('Repartition stock'!$E$6:$E$433="Millésime"),--('Repartition stock'!$F$6:$F$433="2021"))=0,SUMPRODUCT(--('Repartition stock'!$A$6:$A$433="2026Q3"),--('Repartition stock'!$B$6:$B$433="BR"),--('Repartition stock'!$E$6:$E$433="Millésime"),--('Repartition stock'!$F$6:$F$433="2021"),--('Repartition stock'!$G$6:$G$433="n.d."))&gt;0),"n.d.",SUMPRODUCT(--('Repartition stock'!$A$6:$A$433="2026Q3"),--('Repartition stock'!$B$6:$B$433="BR"),--('Repartition stock'!$E$6:$E$433="Millésime"),--('Repartition stock'!$F$6:$F$433="2021"),'Repartition stock'!$G$6:$G$433)))="n.d.",0,IF(OR(SUMPRODUCT(--('Repartition stock'!$A$6:$A$433="2026Q3"),--('Repartition stock'!$B$6:$B$433="BR"),--('Repartition stock'!$E$6:$E$433="Millésime"),--('Repartition stock'!$F$6:$F$433="2021"))=0,SUMPRODUCT(--('Repartition stock'!$A$6:$A$433="2026Q3"),--('Repartition stock'!$B$6:$B$433="BR"),--('Repartition stock'!$E$6:$E$433="Millésime"),--('Repartition stock'!$F$6:$F$433="2021"),--('Repartition stock'!$G$6:$G$433="n.d."))&gt;0),"n.d.",SUMPRODUCT(--('Repartition stock'!$A$6:$A$433="2026Q3"),--('Repartition stock'!$B$6:$B$433="BR"),--('Repartition stock'!$E$6:$E$433="Millésime"),--('Repartition stock'!$F$6:$F$433="2021"),'Repartition stock'!$G$6:$G$433)))</f>
        <v>21231.0</v>
      </c>
      <c r="Y11" s="8"/>
      <c r="Z11" s="8">
        <f>IF((IF(OR(SUMPRODUCT(--('Repartition stock'!$A$6:$A$433="2026Q3"),--('Repartition stock'!$B$6:$B$433="BR"),--('Repartition stock'!$E$6:$E$433="Millésime"),--('Repartition stock'!$F$6:$F$433="2021"))=0,SUMPRODUCT(--('Repartition stock'!$A$6:$A$433="2026Q3"),--('Repartition stock'!$B$6:$B$433="BR"),--('Repartition stock'!$E$6:$E$433="Millésime"),--('Repartition stock'!$F$6:$F$433="2021"),--('Repartition stock'!$H$6:$H$433="n.d."))&gt;0),"n.d.",SUMPRODUCT(--('Repartition stock'!$A$6:$A$433="2026Q3"),--('Repartition stock'!$B$6:$B$433="BR"),--('Repartition stock'!$E$6:$E$433="Millésime"),--('Repartition stock'!$F$6:$F$433="2021"),'Repartition stock'!$H$6:$H$433)))="n.d.",0,IF(OR(SUMPRODUCT(--('Repartition stock'!$A$6:$A$433="2026Q3"),--('Repartition stock'!$B$6:$B$433="BR"),--('Repartition stock'!$E$6:$E$433="Millésime"),--('Repartition stock'!$F$6:$F$433="2021"))=0,SUMPRODUCT(--('Repartition stock'!$A$6:$A$433="2026Q3"),--('Repartition stock'!$B$6:$B$433="BR"),--('Repartition stock'!$E$6:$E$433="Millésime"),--('Repartition stock'!$F$6:$F$433="2021"),--('Repartition stock'!$H$6:$H$433="n.d."))&gt;0),"n.d.",SUMPRODUCT(--('Repartition stock'!$A$6:$A$433="2026Q3"),--('Repartition stock'!$B$6:$B$433="BR"),--('Repartition stock'!$E$6:$E$433="Millésime"),--('Repartition stock'!$F$6:$F$433="2021"),'Repartition stock'!$H$6:$H$433)))</f>
        <v>2252780.3700001785</v>
      </c>
      <c r="AA11" s="8"/>
      <c r="AB11" s="8"/>
      <c r="AC11" s="7">
        <f>IF((IF(OR(COUNT(X11,X17)&lt;&gt;2,X17=0),"n.d.",X11/X17))="n.d.",0,IF(OR(COUNT(X11,X17)&lt;&gt;2,X17=0),"n.d.",X11/X17))</f>
        <v>0.06423592201285264</v>
      </c>
      <c r="AD11" s="7"/>
      <c r="AE11" s="7">
        <f>IF((IF(OR(COUNT(Z11,Z17)&lt;&gt;2,Z17=0),"n.d.",Z11/Z17))="n.d.",0,IF(OR(COUNT(Z11,Z17)&lt;&gt;2,Z17=0),"n.d.",Z11/Z17))</f>
        <v>0.10190354301586005</v>
      </c>
      <c r="AF11" s="7"/>
    </row>
    <row r="12" spans="1:32" ht="13.5" customHeight="1">
      <c r="A12" s="13"/>
      <c r="R12" s="4"/>
      <c r="S12" s="4"/>
      <c r="T12" s="4"/>
      <c r="U12" s="16" t="s">
        <v>78</v>
      </c>
      <c r="V12" s="16"/>
      <c r="W12" s="16"/>
      <c r="X12" s="8">
        <f>IF((IF(OR(SUMPRODUCT(--('Repartition stock'!$A$6:$A$433="2026Q3"),--('Repartition stock'!$B$6:$B$433="BR"),--('Repartition stock'!$E$6:$E$433="Millésime"),--('Repartition stock'!$F$6:$F$433="2022"))=0,SUMPRODUCT(--('Repartition stock'!$A$6:$A$433="2026Q3"),--('Repartition stock'!$B$6:$B$433="BR"),--('Repartition stock'!$E$6:$E$433="Millésime"),--('Repartition stock'!$F$6:$F$433="2022"),--('Repartition stock'!$G$6:$G$433="n.d."))&gt;0),"n.d.",SUMPRODUCT(--('Repartition stock'!$A$6:$A$433="2026Q3"),--('Repartition stock'!$B$6:$B$433="BR"),--('Repartition stock'!$E$6:$E$433="Millésime"),--('Repartition stock'!$F$6:$F$433="2022"),'Repartition stock'!$G$6:$G$433)))="n.d.",0,IF(OR(SUMPRODUCT(--('Repartition stock'!$A$6:$A$433="2026Q3"),--('Repartition stock'!$B$6:$B$433="BR"),--('Repartition stock'!$E$6:$E$433="Millésime"),--('Repartition stock'!$F$6:$F$433="2022"))=0,SUMPRODUCT(--('Repartition stock'!$A$6:$A$433="2026Q3"),--('Repartition stock'!$B$6:$B$433="BR"),--('Repartition stock'!$E$6:$E$433="Millésime"),--('Repartition stock'!$F$6:$F$433="2022"),--('Repartition stock'!$G$6:$G$433="n.d."))&gt;0),"n.d.",SUMPRODUCT(--('Repartition stock'!$A$6:$A$433="2026Q3"),--('Repartition stock'!$B$6:$B$433="BR"),--('Repartition stock'!$E$6:$E$433="Millésime"),--('Repartition stock'!$F$6:$F$433="2022"),'Repartition stock'!$G$6:$G$433)))</f>
        <v>5370.0</v>
      </c>
      <c r="Y12" s="8"/>
      <c r="Z12" s="8">
        <f>IF((IF(OR(SUMPRODUCT(--('Repartition stock'!$A$6:$A$433="2026Q3"),--('Repartition stock'!$B$6:$B$433="BR"),--('Repartition stock'!$E$6:$E$433="Millésime"),--('Repartition stock'!$F$6:$F$433="2022"))=0,SUMPRODUCT(--('Repartition stock'!$A$6:$A$433="2026Q3"),--('Repartition stock'!$B$6:$B$433="BR"),--('Repartition stock'!$E$6:$E$433="Millésime"),--('Repartition stock'!$F$6:$F$433="2022"),--('Repartition stock'!$H$6:$H$433="n.d."))&gt;0),"n.d.",SUMPRODUCT(--('Repartition stock'!$A$6:$A$433="2026Q3"),--('Repartition stock'!$B$6:$B$433="BR"),--('Repartition stock'!$E$6:$E$433="Millésime"),--('Repartition stock'!$F$6:$F$433="2022"),'Repartition stock'!$H$6:$H$433)))="n.d.",0,IF(OR(SUMPRODUCT(--('Repartition stock'!$A$6:$A$433="2026Q3"),--('Repartition stock'!$B$6:$B$433="BR"),--('Repartition stock'!$E$6:$E$433="Millésime"),--('Repartition stock'!$F$6:$F$433="2022"))=0,SUMPRODUCT(--('Repartition stock'!$A$6:$A$433="2026Q3"),--('Repartition stock'!$B$6:$B$433="BR"),--('Repartition stock'!$E$6:$E$433="Millésime"),--('Repartition stock'!$F$6:$F$433="2022"),--('Repartition stock'!$H$6:$H$433="n.d."))&gt;0),"n.d.",SUMPRODUCT(--('Repartition stock'!$A$6:$A$433="2026Q3"),--('Repartition stock'!$B$6:$B$433="BR"),--('Repartition stock'!$E$6:$E$433="Millésime"),--('Repartition stock'!$F$6:$F$433="2022"),'Repartition stock'!$H$6:$H$433)))</f>
        <v>1014366.4300000685</v>
      </c>
      <c r="AA12" s="8"/>
      <c r="AB12" s="8"/>
      <c r="AC12" s="7">
        <f>IF((IF(OR(COUNT(X12,X17)&lt;&gt;2,X17=0),"n.d.",X12/X17))="n.d.",0,IF(OR(COUNT(X12,X17)&lt;&gt;2,X17=0),"n.d.",X12/X17))</f>
        <v>0.016247322368659913</v>
      </c>
      <c r="AD12" s="7"/>
      <c r="AE12" s="7">
        <f>IF((IF(OR(COUNT(Z12,Z17)&lt;&gt;2,Z17=0),"n.d.",Z12/Z17))="n.d.",0,IF(OR(COUNT(Z12,Z17)&lt;&gt;2,Z17=0),"n.d.",Z12/Z17))</f>
        <v>0.04588442553472187</v>
      </c>
      <c r="AF12" s="7"/>
    </row>
    <row r="13" spans="1:32" ht="13.5" customHeight="1">
      <c r="A13" s="13"/>
      <c r="R13" s="4"/>
      <c r="S13" s="4"/>
      <c r="T13" s="4"/>
      <c r="U13" s="16" t="s">
        <v>79</v>
      </c>
      <c r="V13" s="16"/>
      <c r="W13" s="16"/>
      <c r="X13" s="8">
        <f>IF((IF(OR(SUMPRODUCT(--('Repartition stock'!$A$6:$A$433="2026Q3"),--('Repartition stock'!$B$6:$B$433="BR"),--('Repartition stock'!$E$6:$E$433="Millésime"),--('Repartition stock'!$F$6:$F$433="2023"))=0,SUMPRODUCT(--('Repartition stock'!$A$6:$A$433="2026Q3"),--('Repartition stock'!$B$6:$B$433="BR"),--('Repartition stock'!$E$6:$E$433="Millésime"),--('Repartition stock'!$F$6:$F$433="2023"),--('Repartition stock'!$G$6:$G$433="n.d."))&gt;0),"n.d.",SUMPRODUCT(--('Repartition stock'!$A$6:$A$433="2026Q3"),--('Repartition stock'!$B$6:$B$433="BR"),--('Repartition stock'!$E$6:$E$433="Millésime"),--('Repartition stock'!$F$6:$F$433="2023"),'Repartition stock'!$G$6:$G$433)))="n.d.",0,IF(OR(SUMPRODUCT(--('Repartition stock'!$A$6:$A$433="2026Q3"),--('Repartition stock'!$B$6:$B$433="BR"),--('Repartition stock'!$E$6:$E$433="Millésime"),--('Repartition stock'!$F$6:$F$433="2023"))=0,SUMPRODUCT(--('Repartition stock'!$A$6:$A$433="2026Q3"),--('Repartition stock'!$B$6:$B$433="BR"),--('Repartition stock'!$E$6:$E$433="Millésime"),--('Repartition stock'!$F$6:$F$433="2023"),--('Repartition stock'!$G$6:$G$433="n.d."))&gt;0),"n.d.",SUMPRODUCT(--('Repartition stock'!$A$6:$A$433="2026Q3"),--('Repartition stock'!$B$6:$B$433="BR"),--('Repartition stock'!$E$6:$E$433="Millésime"),--('Repartition stock'!$F$6:$F$433="2023"),'Repartition stock'!$G$6:$G$433)))</f>
        <v>23478.0</v>
      </c>
      <c r="Y13" s="8"/>
      <c r="Z13" s="8">
        <f>IF((IF(OR(SUMPRODUCT(--('Repartition stock'!$A$6:$A$433="2026Q3"),--('Repartition stock'!$B$6:$B$433="BR"),--('Repartition stock'!$E$6:$E$433="Millésime"),--('Repartition stock'!$F$6:$F$433="2023"))=0,SUMPRODUCT(--('Repartition stock'!$A$6:$A$433="2026Q3"),--('Repartition stock'!$B$6:$B$433="BR"),--('Repartition stock'!$E$6:$E$433="Millésime"),--('Repartition stock'!$F$6:$F$433="2023"),--('Repartition stock'!$H$6:$H$433="n.d."))&gt;0),"n.d.",SUMPRODUCT(--('Repartition stock'!$A$6:$A$433="2026Q3"),--('Repartition stock'!$B$6:$B$433="BR"),--('Repartition stock'!$E$6:$E$433="Millésime"),--('Repartition stock'!$F$6:$F$433="2023"),'Repartition stock'!$H$6:$H$433)))="n.d.",0,IF(OR(SUMPRODUCT(--('Repartition stock'!$A$6:$A$433="2026Q3"),--('Repartition stock'!$B$6:$B$433="BR"),--('Repartition stock'!$E$6:$E$433="Millésime"),--('Repartition stock'!$F$6:$F$433="2023"))=0,SUMPRODUCT(--('Repartition stock'!$A$6:$A$433="2026Q3"),--('Repartition stock'!$B$6:$B$433="BR"),--('Repartition stock'!$E$6:$E$433="Millésime"),--('Repartition stock'!$F$6:$F$433="2023"),--('Repartition stock'!$H$6:$H$433="n.d."))&gt;0),"n.d.",SUMPRODUCT(--('Repartition stock'!$A$6:$A$433="2026Q3"),--('Repartition stock'!$B$6:$B$433="BR"),--('Repartition stock'!$E$6:$E$433="Millésime"),--('Repartition stock'!$F$6:$F$433="2023"),'Repartition stock'!$H$6:$H$433)))</f>
        <v>1548755.7500019053</v>
      </c>
      <c r="AA13" s="8"/>
      <c r="AB13" s="8"/>
      <c r="AC13" s="7">
        <f>IF((IF(OR(COUNT(X13,X17)&lt;&gt;2,X17=0),"n.d.",X13/X17))="n.d.",0,IF(OR(COUNT(X13,X17)&lt;&gt;2,X17=0),"n.d.",X13/X17))</f>
        <v>0.07103438260174999</v>
      </c>
      <c r="AD13" s="7"/>
      <c r="AE13" s="7">
        <f>IF((IF(OR(COUNT(Z13,Z17)&lt;&gt;2,Z17=0),"n.d.",Z13/Z17))="n.d.",0,IF(OR(COUNT(Z13,Z17)&lt;&gt;2,Z17=0),"n.d.",Z13/Z17))</f>
        <v>0.07005729466266933</v>
      </c>
      <c r="AF13" s="7"/>
    </row>
    <row r="14" spans="1:32" ht="13.5" customHeight="1">
      <c r="A14" s="13"/>
      <c r="R14" s="4"/>
      <c r="S14" s="4"/>
      <c r="T14" s="4"/>
      <c r="U14" s="16" t="s">
        <v>80</v>
      </c>
      <c r="V14" s="16"/>
      <c r="W14" s="16"/>
      <c r="X14" s="8">
        <f>IF((IF(OR(SUMPRODUCT(--('Repartition stock'!$A$6:$A$433="2026Q3"),--('Repartition stock'!$B$6:$B$433="BR"),--('Repartition stock'!$E$6:$E$433="Millésime"),--('Repartition stock'!$F$6:$F$433="2024"))=0,SUMPRODUCT(--('Repartition stock'!$A$6:$A$433="2026Q3"),--('Repartition stock'!$B$6:$B$433="BR"),--('Repartition stock'!$E$6:$E$433="Millésime"),--('Repartition stock'!$F$6:$F$433="2024"),--('Repartition stock'!$G$6:$G$433="n.d."))&gt;0),"n.d.",SUMPRODUCT(--('Repartition stock'!$A$6:$A$433="2026Q3"),--('Repartition stock'!$B$6:$B$433="BR"),--('Repartition stock'!$E$6:$E$433="Millésime"),--('Repartition stock'!$F$6:$F$433="2024"),'Repartition stock'!$G$6:$G$433)))="n.d.",0,IF(OR(SUMPRODUCT(--('Repartition stock'!$A$6:$A$433="2026Q3"),--('Repartition stock'!$B$6:$B$433="BR"),--('Repartition stock'!$E$6:$E$433="Millésime"),--('Repartition stock'!$F$6:$F$433="2024"))=0,SUMPRODUCT(--('Repartition stock'!$A$6:$A$433="2026Q3"),--('Repartition stock'!$B$6:$B$433="BR"),--('Repartition stock'!$E$6:$E$433="Millésime"),--('Repartition stock'!$F$6:$F$433="2024"),--('Repartition stock'!$G$6:$G$433="n.d."))&gt;0),"n.d.",SUMPRODUCT(--('Repartition stock'!$A$6:$A$433="2026Q3"),--('Repartition stock'!$B$6:$B$433="BR"),--('Repartition stock'!$E$6:$E$433="Millésime"),--('Repartition stock'!$F$6:$F$433="2024"),'Repartition stock'!$G$6:$G$433)))</f>
        <v>10987.0</v>
      </c>
      <c r="Y14" s="8"/>
      <c r="Z14" s="8">
        <f>IF((IF(OR(SUMPRODUCT(--('Repartition stock'!$A$6:$A$433="2026Q3"),--('Repartition stock'!$B$6:$B$433="BR"),--('Repartition stock'!$E$6:$E$433="Millésime"),--('Repartition stock'!$F$6:$F$433="2024"))=0,SUMPRODUCT(--('Repartition stock'!$A$6:$A$433="2026Q3"),--('Repartition stock'!$B$6:$B$433="BR"),--('Repartition stock'!$E$6:$E$433="Millésime"),--('Repartition stock'!$F$6:$F$433="2024"),--('Repartition stock'!$H$6:$H$433="n.d."))&gt;0),"n.d.",SUMPRODUCT(--('Repartition stock'!$A$6:$A$433="2026Q3"),--('Repartition stock'!$B$6:$B$433="BR"),--('Repartition stock'!$E$6:$E$433="Millésime"),--('Repartition stock'!$F$6:$F$433="2024"),'Repartition stock'!$H$6:$H$433)))="n.d.",0,IF(OR(SUMPRODUCT(--('Repartition stock'!$A$6:$A$433="2026Q3"),--('Repartition stock'!$B$6:$B$433="BR"),--('Repartition stock'!$E$6:$E$433="Millésime"),--('Repartition stock'!$F$6:$F$433="2024"))=0,SUMPRODUCT(--('Repartition stock'!$A$6:$A$433="2026Q3"),--('Repartition stock'!$B$6:$B$433="BR"),--('Repartition stock'!$E$6:$E$433="Millésime"),--('Repartition stock'!$F$6:$F$433="2024"),--('Repartition stock'!$H$6:$H$433="n.d."))&gt;0),"n.d.",SUMPRODUCT(--('Repartition stock'!$A$6:$A$433="2026Q3"),--('Repartition stock'!$B$6:$B$433="BR"),--('Repartition stock'!$E$6:$E$433="Millésime"),--('Repartition stock'!$F$6:$F$433="2024"),'Repartition stock'!$H$6:$H$433)))</f>
        <v>2051330.7000006922</v>
      </c>
      <c r="AA14" s="8"/>
      <c r="AB14" s="8"/>
      <c r="AC14" s="7">
        <f>IF((IF(OR(COUNT(X14,X17)&lt;&gt;2,X17=0),"n.d.",X14/X17))="n.d.",0,IF(OR(COUNT(X14,X17)&lt;&gt;2,X17=0),"n.d.",X14/X17))</f>
        <v>0.03324196105483547</v>
      </c>
      <c r="AD14" s="7"/>
      <c r="AE14" s="7">
        <f>IF((IF(OR(COUNT(Z14,Z17)&lt;&gt;2,Z17=0),"n.d.",Z14/Z17))="n.d.",0,IF(OR(COUNT(Z14,Z17)&lt;&gt;2,Z17=0),"n.d.",Z14/Z17))</f>
        <v>0.09279105456128343</v>
      </c>
      <c r="AF14" s="7"/>
    </row>
    <row r="15" spans="1:32" ht="13.5" customHeight="1">
      <c r="A15" s="13"/>
      <c r="R15" s="4"/>
      <c r="S15" s="4"/>
      <c r="T15" s="4"/>
      <c r="U15" s="16" t="s">
        <v>50</v>
      </c>
      <c r="V15" s="16"/>
      <c r="W15" s="16"/>
      <c r="X15" s="8">
        <f>IF((IF(OR(SUMPRODUCT(--('Repartition stock'!$A$6:$A$433="2026Q3"),--('Repartition stock'!$B$6:$B$433="BR"),--('Repartition stock'!$E$6:$E$433="Millésime"),--('Repartition stock'!$F$6:$F$433="2025"))=0,SUMPRODUCT(--('Repartition stock'!$A$6:$A$433="2026Q3"),--('Repartition stock'!$B$6:$B$433="BR"),--('Repartition stock'!$E$6:$E$433="Millésime"),--('Repartition stock'!$F$6:$F$433="2025"),--('Repartition stock'!$G$6:$G$433="n.d."))&gt;0),"n.d.",SUMPRODUCT(--('Repartition stock'!$A$6:$A$433="2026Q3"),--('Repartition stock'!$B$6:$B$433="BR"),--('Repartition stock'!$E$6:$E$433="Millésime"),--('Repartition stock'!$F$6:$F$433="2025"),'Repartition stock'!$G$6:$G$433)))="n.d.",0,IF(OR(SUMPRODUCT(--('Repartition stock'!$A$6:$A$433="2026Q3"),--('Repartition stock'!$B$6:$B$433="BR"),--('Repartition stock'!$E$6:$E$433="Millésime"),--('Repartition stock'!$F$6:$F$433="2025"))=0,SUMPRODUCT(--('Repartition stock'!$A$6:$A$433="2026Q3"),--('Repartition stock'!$B$6:$B$433="BR"),--('Repartition stock'!$E$6:$E$433="Millésime"),--('Repartition stock'!$F$6:$F$433="2025"),--('Repartition stock'!$G$6:$G$433="n.d."))&gt;0),"n.d.",SUMPRODUCT(--('Repartition stock'!$A$6:$A$433="2026Q3"),--('Repartition stock'!$B$6:$B$433="BR"),--('Repartition stock'!$E$6:$E$433="Millésime"),--('Repartition stock'!$F$6:$F$433="2025"),'Repartition stock'!$G$6:$G$433)))</f>
        <v>8100.0</v>
      </c>
      <c r="Y15" s="8"/>
      <c r="Z15" s="8">
        <f>IF((IF(OR(SUMPRODUCT(--('Repartition stock'!$A$6:$A$433="2026Q3"),--('Repartition stock'!$B$6:$B$433="BR"),--('Repartition stock'!$E$6:$E$433="Millésime"),--('Repartition stock'!$F$6:$F$433="2025"))=0,SUMPRODUCT(--('Repartition stock'!$A$6:$A$433="2026Q3"),--('Repartition stock'!$B$6:$B$433="BR"),--('Repartition stock'!$E$6:$E$433="Millésime"),--('Repartition stock'!$F$6:$F$433="2025"),--('Repartition stock'!$H$6:$H$433="n.d."))&gt;0),"n.d.",SUMPRODUCT(--('Repartition stock'!$A$6:$A$433="2026Q3"),--('Repartition stock'!$B$6:$B$433="BR"),--('Repartition stock'!$E$6:$E$433="Millésime"),--('Repartition stock'!$F$6:$F$433="2025"),'Repartition stock'!$H$6:$H$433)))="n.d.",0,IF(OR(SUMPRODUCT(--('Repartition stock'!$A$6:$A$433="2026Q3"),--('Repartition stock'!$B$6:$B$433="BR"),--('Repartition stock'!$E$6:$E$433="Millésime"),--('Repartition stock'!$F$6:$F$433="2025"))=0,SUMPRODUCT(--('Repartition stock'!$A$6:$A$433="2026Q3"),--('Repartition stock'!$B$6:$B$433="BR"),--('Repartition stock'!$E$6:$E$433="Millésime"),--('Repartition stock'!$F$6:$F$433="2025"),--('Repartition stock'!$H$6:$H$433="n.d."))&gt;0),"n.d.",SUMPRODUCT(--('Repartition stock'!$A$6:$A$433="2026Q3"),--('Repartition stock'!$B$6:$B$433="BR"),--('Repartition stock'!$E$6:$E$433="Millésime"),--('Repartition stock'!$F$6:$F$433="2025"),'Repartition stock'!$H$6:$H$433)))</f>
        <v>656996.040000002</v>
      </c>
      <c r="AA15" s="8"/>
      <c r="AB15" s="8"/>
      <c r="AC15" s="7">
        <f>IF((IF(OR(COUNT(X15,X17)&lt;&gt;2,X17=0),"n.d.",X15/X17))="n.d.",0,IF(OR(COUNT(X15,X17)&lt;&gt;2,X17=0),"n.d.",X15/X17))</f>
        <v>0.02450713429909596</v>
      </c>
      <c r="AD15" s="7"/>
      <c r="AE15" s="7">
        <f>IF((IF(OR(COUNT(Z15,Z17)&lt;&gt;2,Z17=0),"n.d.",Z15/Z17))="n.d.",0,IF(OR(COUNT(Z15,Z17)&lt;&gt;2,Z17=0),"n.d.",Z15/Z17))</f>
        <v>0.02971893093306056</v>
      </c>
      <c r="AF15" s="7"/>
    </row>
    <row r="16" spans="1:32" ht="13.5" customHeight="1">
      <c r="A16" s="13"/>
      <c r="R16" s="4"/>
      <c r="S16" s="4"/>
      <c r="T16" s="4"/>
      <c r="U16" s="16" t="s">
        <v>51</v>
      </c>
      <c r="V16" s="16"/>
      <c r="W16" s="16"/>
      <c r="X16" s="8">
        <f>IF((IF(OR(SUMPRODUCT(--('Repartition stock'!$A$6:$A$433="2026Q3"),--('Repartition stock'!$B$6:$B$433="BR"),--('Repartition stock'!$E$6:$E$433="Millésime"),--('Repartition stock'!$F$6:$F$433="2026"))=0,SUMPRODUCT(--('Repartition stock'!$A$6:$A$433="2026Q3"),--('Repartition stock'!$B$6:$B$433="BR"),--('Repartition stock'!$E$6:$E$433="Millésime"),--('Repartition stock'!$F$6:$F$433="2026"),--('Repartition stock'!$G$6:$G$433="n.d."))&gt;0),"n.d.",SUMPRODUCT(--('Repartition stock'!$A$6:$A$433="2026Q3"),--('Repartition stock'!$B$6:$B$433="BR"),--('Repartition stock'!$E$6:$E$433="Millésime"),--('Repartition stock'!$F$6:$F$433="2026"),'Repartition stock'!$G$6:$G$433)))="n.d.",0,IF(OR(SUMPRODUCT(--('Repartition stock'!$A$6:$A$433="2026Q3"),--('Repartition stock'!$B$6:$B$433="BR"),--('Repartition stock'!$E$6:$E$433="Millésime"),--('Repartition stock'!$F$6:$F$433="2026"))=0,SUMPRODUCT(--('Repartition stock'!$A$6:$A$433="2026Q3"),--('Repartition stock'!$B$6:$B$433="BR"),--('Repartition stock'!$E$6:$E$433="Millésime"),--('Repartition stock'!$F$6:$F$433="2026"),--('Repartition stock'!$G$6:$G$433="n.d."))&gt;0),"n.d.",SUMPRODUCT(--('Repartition stock'!$A$6:$A$433="2026Q3"),--('Repartition stock'!$B$6:$B$433="BR"),--('Repartition stock'!$E$6:$E$433="Millésime"),--('Repartition stock'!$F$6:$F$433="2026"),'Repartition stock'!$G$6:$G$433)))</f>
        <v>960.0</v>
      </c>
      <c r="Y16" s="8"/>
      <c r="Z16" s="8">
        <f>IF((IF(OR(SUMPRODUCT(--('Repartition stock'!$A$6:$A$433="2026Q3"),--('Repartition stock'!$B$6:$B$433="BR"),--('Repartition stock'!$E$6:$E$433="Millésime"),--('Repartition stock'!$F$6:$F$433="2026"))=0,SUMPRODUCT(--('Repartition stock'!$A$6:$A$433="2026Q3"),--('Repartition stock'!$B$6:$B$433="BR"),--('Repartition stock'!$E$6:$E$433="Millésime"),--('Repartition stock'!$F$6:$F$433="2026"),--('Repartition stock'!$H$6:$H$433="n.d."))&gt;0),"n.d.",SUMPRODUCT(--('Repartition stock'!$A$6:$A$433="2026Q3"),--('Repartition stock'!$B$6:$B$433="BR"),--('Repartition stock'!$E$6:$E$433="Millésime"),--('Repartition stock'!$F$6:$F$433="2026"),'Repartition stock'!$H$6:$H$433)))="n.d.",0,IF(OR(SUMPRODUCT(--('Repartition stock'!$A$6:$A$433="2026Q3"),--('Repartition stock'!$B$6:$B$433="BR"),--('Repartition stock'!$E$6:$E$433="Millésime"),--('Repartition stock'!$F$6:$F$433="2026"))=0,SUMPRODUCT(--('Repartition stock'!$A$6:$A$433="2026Q3"),--('Repartition stock'!$B$6:$B$433="BR"),--('Repartition stock'!$E$6:$E$433="Millésime"),--('Repartition stock'!$F$6:$F$433="2026"),--('Repartition stock'!$H$6:$H$433="n.d."))&gt;0),"n.d.",SUMPRODUCT(--('Repartition stock'!$A$6:$A$433="2026Q3"),--('Repartition stock'!$B$6:$B$433="BR"),--('Repartition stock'!$E$6:$E$433="Millésime"),--('Repartition stock'!$F$6:$F$433="2026"),'Repartition stock'!$H$6:$H$433)))</f>
        <v>104486.66999999929</v>
      </c>
      <c r="AA16" s="8"/>
      <c r="AB16" s="8"/>
      <c r="AC16" s="7">
        <f>IF((IF(OR(COUNT(X16,X17)&lt;&gt;2,X17=0),"n.d.",X16/X17))="n.d.",0,IF(OR(COUNT(X16,X17)&lt;&gt;2,X17=0),"n.d.",X16/X17))</f>
        <v>0.002904549250263225</v>
      </c>
      <c r="AD16" s="7"/>
      <c r="AE16" s="7">
        <f>IF((IF(OR(COUNT(Z16,Z17)&lt;&gt;2,Z17=0),"n.d.",Z16/Z17))="n.d.",0,IF(OR(COUNT(Z16,Z17)&lt;&gt;2,Z17=0),"n.d.",Z16/Z17))</f>
        <v>0.004726409202033334</v>
      </c>
      <c r="AF16" s="7"/>
    </row>
    <row r="17" spans="1:32" ht="13.5" customHeight="1">
      <c r="A17" s="13"/>
      <c r="R17" s="17" t="s">
        <v>71</v>
      </c>
      <c r="S17" s="17"/>
      <c r="T17" s="17"/>
      <c r="U17" s="17"/>
      <c r="V17" s="17"/>
      <c r="W17" s="17"/>
      <c r="X17" s="17">
        <f>IF((IF(COUNT(X7:X16)=10,SUM(X7:X16),"n.d."))="n.d.",0,IF(COUNT(X7:X16)=10,SUM(X7:X16),"n.d."))</f>
        <v>330516.0</v>
      </c>
      <c r="Y17" s="17"/>
      <c r="Z17" s="17">
        <f>IF((IF(COUNT(Z7:Z16)=10,SUM(Z7:Z16),"n.d."))="n.d.",0,IF(COUNT(Z7:Z16)=10,SUM(Z7:Z16),"n.d."))</f>
        <v>22106987.680002064</v>
      </c>
      <c r="AA17" s="17"/>
      <c r="AB17" s="17"/>
      <c r="AC17" s="10">
        <f>IF((IF(OR(NOT(ISNUMBER(X17)),X17=0),"n.d.",1))="n.d.",0,IF(OR(NOT(ISNUMBER(X17)),X17=0),"n.d.",1))</f>
        <v>1.0</v>
      </c>
      <c r="AD17" s="10"/>
      <c r="AE17" s="10">
        <f>IF((IF(OR(NOT(ISNUMBER(Z17)),Z17=0),"n.d.",1))="n.d.",0,IF(OR(NOT(ISNUMBER(Z17)),Z17=0),"n.d.",1))</f>
        <v>1.0</v>
      </c>
      <c r="AF17" s="10"/>
    </row>
    <row r="18" spans="1:32" ht="13.5" customHeight="1">
      <c r="A18" s="13"/>
    </row>
    <row r="19" spans="1:32" ht="13.5" customHeight="1">
      <c r="A19" s="13"/>
    </row>
    <row r="20" spans="1:32" ht="13.5" customHeight="1">
      <c r="A20" s="13"/>
    </row>
    <row r="21" spans="1:32" ht="13.5" customHeight="1">
      <c r="A21" s="13"/>
    </row>
    <row r="22" spans="1:32" ht="13.5" customHeight="1">
      <c r="A22" s="13"/>
    </row>
    <row r="23" spans="1:32" ht="13.5" customHeight="1">
      <c r="A23" s="13"/>
    </row>
    <row r="24" spans="1:32" ht="13.5" customHeight="1">
      <c r="A24" s="13"/>
    </row>
    <row r="25" spans="1:32" ht="13.5" customHeight="1">
      <c r="A25" s="13"/>
    </row>
    <row r="26" spans="1:32" ht="13.5" customHeight="1">
      <c r="A26" s="13"/>
      <c r="B26" s="1" t="s">
        <v>112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32" ht="13.5" customHeight="1">
      <c r="A27" s="1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32" ht="13.5" customHeight="1">
      <c r="A28" s="1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32" ht="13.5" customHeight="1">
      <c r="A29" s="13"/>
    </row>
    <row r="30" spans="1:32" ht="13.5" customHeight="1">
      <c r="A30" s="13"/>
      <c r="B30" s="11" t="s">
        <v>113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">
        <v>114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">
        <v>115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116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70">
    <mergeCell ref="B2:M4"/>
    <mergeCell ref="B42:AF42"/>
    <mergeCell ref="B5:P6"/>
    <mergeCell ref="B26:P28"/>
    <mergeCell ref="R2:W5"/>
    <mergeCell ref="X2:AF2"/>
    <mergeCell ref="X3:Y5"/>
    <mergeCell ref="Z3:AB5"/>
    <mergeCell ref="AC3:AD5"/>
    <mergeCell ref="AE3:AF5"/>
    <mergeCell ref="R7:T16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U12:W12"/>
    <mergeCell ref="X12:Y12"/>
    <mergeCell ref="Z12:AB12"/>
    <mergeCell ref="AC12:AD12"/>
    <mergeCell ref="AE12:AF12"/>
    <mergeCell ref="U13:W13"/>
    <mergeCell ref="X13:Y13"/>
    <mergeCell ref="Z13:AB13"/>
    <mergeCell ref="AC13:AD13"/>
    <mergeCell ref="AE13:AF1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R17:W17"/>
    <mergeCell ref="X17:Y17"/>
    <mergeCell ref="Z17:AB17"/>
    <mergeCell ref="AC17:AD17"/>
    <mergeCell ref="AE17:AF17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117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118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119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65</v>
      </c>
      <c r="S7" s="4"/>
      <c r="T7" s="4"/>
      <c r="U7" s="16" t="s">
        <v>120</v>
      </c>
      <c r="V7" s="16"/>
      <c r="W7" s="16"/>
      <c r="X7" s="8">
        <f>IF((IF(OR(SUMPRODUCT(--('Repartition stock'!$A$6:$A$433="2026Q3"),--('Repartition stock'!$B$6:$B$433="DK"),--('Repartition stock'!$E$6:$E$433="Tranche"),--('Repartition stock'!$F$6:$F$433="0 - 7,5 Kr"))=0,SUMPRODUCT(--('Repartition stock'!$A$6:$A$433="2026Q3"),--('Repartition stock'!$B$6:$B$433="DK"),--('Repartition stock'!$E$6:$E$433="Tranche"),--('Repartition stock'!$F$6:$F$433="0 - 7,5 Kr"),--('Repartition stock'!$G$6:$G$433="n.d."))&gt;0),"n.d.",SUMPRODUCT(--('Repartition stock'!$A$6:$A$433="2026Q3"),--('Repartition stock'!$B$6:$B$433="DK"),--('Repartition stock'!$E$6:$E$433="Tranche"),--('Repartition stock'!$F$6:$F$433="0 - 7,5 Kr"),'Repartition stock'!$G$6:$G$433)))="n.d.",0,IF(OR(SUMPRODUCT(--('Repartition stock'!$A$6:$A$433="2026Q3"),--('Repartition stock'!$B$6:$B$433="DK"),--('Repartition stock'!$E$6:$E$433="Tranche"),--('Repartition stock'!$F$6:$F$433="0 - 7,5 Kr"))=0,SUMPRODUCT(--('Repartition stock'!$A$6:$A$433="2026Q3"),--('Repartition stock'!$B$6:$B$433="DK"),--('Repartition stock'!$E$6:$E$433="Tranche"),--('Repartition stock'!$F$6:$F$433="0 - 7,5 Kr"),--('Repartition stock'!$G$6:$G$433="n.d."))&gt;0),"n.d.",SUMPRODUCT(--('Repartition stock'!$A$6:$A$433="2026Q3"),--('Repartition stock'!$B$6:$B$433="DK"),--('Repartition stock'!$E$6:$E$433="Tranche"),--('Repartition stock'!$F$6:$F$433="0 - 7,5 Kr"),'Repartition stock'!$G$6:$G$433)))</f>
        <v>33</v>
      </c>
      <c r="Y7" s="8"/>
      <c r="Z7" s="8">
        <f>IF((IF(OR(SUMPRODUCT(--('Repartition stock'!$A$6:$A$433="2026Q3"),--('Repartition stock'!$B$6:$B$433="DK"),--('Repartition stock'!$E$6:$E$433="Tranche"),--('Repartition stock'!$F$6:$F$433="0 - 7,5 Kr"))=0,SUMPRODUCT(--('Repartition stock'!$A$6:$A$433="2026Q3"),--('Repartition stock'!$B$6:$B$433="DK"),--('Repartition stock'!$E$6:$E$433="Tranche"),--('Repartition stock'!$F$6:$F$433="0 - 7,5 Kr"),--('Repartition stock'!$H$6:$H$433="n.d."))&gt;0),"n.d.",SUMPRODUCT(--('Repartition stock'!$A$6:$A$433="2026Q3"),--('Repartition stock'!$B$6:$B$433="DK"),--('Repartition stock'!$E$6:$E$433="Tranche"),--('Repartition stock'!$F$6:$F$433="0 - 7,5 Kr"),'Repartition stock'!$H$6:$H$433)))="n.d.",0,IF(OR(SUMPRODUCT(--('Repartition stock'!$A$6:$A$433="2026Q3"),--('Repartition stock'!$B$6:$B$433="DK"),--('Repartition stock'!$E$6:$E$433="Tranche"),--('Repartition stock'!$F$6:$F$433="0 - 7,5 Kr"))=0,SUMPRODUCT(--('Repartition stock'!$A$6:$A$433="2026Q3"),--('Repartition stock'!$B$6:$B$433="DK"),--('Repartition stock'!$E$6:$E$433="Tranche"),--('Repartition stock'!$F$6:$F$433="0 - 7,5 Kr"),--('Repartition stock'!$H$6:$H$433="n.d."))&gt;0),"n.d.",SUMPRODUCT(--('Repartition stock'!$A$6:$A$433="2026Q3"),--('Repartition stock'!$B$6:$B$433="DK"),--('Repartition stock'!$E$6:$E$433="Tranche"),--('Repartition stock'!$F$6:$F$433="0 - 7,5 Kr"),'Repartition stock'!$H$6:$H$433)))</f>
        <v>85.11000000000001</v>
      </c>
      <c r="AA7" s="8"/>
      <c r="AB7" s="8"/>
      <c r="AC7" s="7">
        <f>IF((IF(OR(COUNT(X7,X12)&lt;&gt;2,X12=0),"n.d.",X7/X12))="n.d.",0,IF(OR(COUNT(X7,X12)&lt;&gt;2,X12=0),"n.d.",X7/X12))</f>
        <v>0.2578125</v>
      </c>
      <c r="AD7" s="7"/>
      <c r="AE7" s="7">
        <f>IF((IF(OR(COUNT(Z7,Z12)&lt;&gt;2,Z12=0),"n.d.",Z7/Z12))="n.d.",0,IF(OR(COUNT(Z7,Z12)&lt;&gt;2,Z12=0),"n.d.",Z7/Z12))</f>
        <v>0.005264521971384408</v>
      </c>
      <c r="AF7" s="7"/>
    </row>
    <row r="8" spans="1:32" ht="13.5" customHeight="1">
      <c r="A8" s="13"/>
      <c r="R8" s="4"/>
      <c r="S8" s="4"/>
      <c r="T8" s="4"/>
      <c r="U8" s="16" t="s">
        <v>121</v>
      </c>
      <c r="V8" s="16"/>
      <c r="W8" s="16"/>
      <c r="X8" s="8">
        <f>IF((IF(OR(SUMPRODUCT(--('Repartition stock'!$A$6:$A$433="2026Q3"),--('Repartition stock'!$B$6:$B$433="DK"),--('Repartition stock'!$E$6:$E$433="Tranche"),--('Repartition stock'!$F$6:$F$433="7,5 - 75 Kr"))=0,SUMPRODUCT(--('Repartition stock'!$A$6:$A$433="2026Q3"),--('Repartition stock'!$B$6:$B$433="DK"),--('Repartition stock'!$E$6:$E$433="Tranche"),--('Repartition stock'!$F$6:$F$433="7,5 - 75 Kr"),--('Repartition stock'!$G$6:$G$433="n.d."))&gt;0),"n.d.",SUMPRODUCT(--('Repartition stock'!$A$6:$A$433="2026Q3"),--('Repartition stock'!$B$6:$B$433="DK"),--('Repartition stock'!$E$6:$E$433="Tranche"),--('Repartition stock'!$F$6:$F$433="7,5 - 75 Kr"),'Repartition stock'!$G$6:$G$433)))="n.d.",0,IF(OR(SUMPRODUCT(--('Repartition stock'!$A$6:$A$433="2026Q3"),--('Repartition stock'!$B$6:$B$433="DK"),--('Repartition stock'!$E$6:$E$433="Tranche"),--('Repartition stock'!$F$6:$F$433="7,5 - 75 Kr"))=0,SUMPRODUCT(--('Repartition stock'!$A$6:$A$433="2026Q3"),--('Repartition stock'!$B$6:$B$433="DK"),--('Repartition stock'!$E$6:$E$433="Tranche"),--('Repartition stock'!$F$6:$F$433="7,5 - 75 Kr"),--('Repartition stock'!$G$6:$G$433="n.d."))&gt;0),"n.d.",SUMPRODUCT(--('Repartition stock'!$A$6:$A$433="2026Q3"),--('Repartition stock'!$B$6:$B$433="DK"),--('Repartition stock'!$E$6:$E$433="Tranche"),--('Repartition stock'!$F$6:$F$433="7,5 - 75 Kr"),'Repartition stock'!$G$6:$G$433)))</f>
        <v>46</v>
      </c>
      <c r="Y8" s="8"/>
      <c r="Z8" s="8">
        <f>IF((IF(OR(SUMPRODUCT(--('Repartition stock'!$A$6:$A$433="2026Q3"),--('Repartition stock'!$B$6:$B$433="DK"),--('Repartition stock'!$E$6:$E$433="Tranche"),--('Repartition stock'!$F$6:$F$433="7,5 - 75 Kr"))=0,SUMPRODUCT(--('Repartition stock'!$A$6:$A$433="2026Q3"),--('Repartition stock'!$B$6:$B$433="DK"),--('Repartition stock'!$E$6:$E$433="Tranche"),--('Repartition stock'!$F$6:$F$433="7,5 - 75 Kr"),--('Repartition stock'!$H$6:$H$433="n.d."))&gt;0),"n.d.",SUMPRODUCT(--('Repartition stock'!$A$6:$A$433="2026Q3"),--('Repartition stock'!$B$6:$B$433="DK"),--('Repartition stock'!$E$6:$E$433="Tranche"),--('Repartition stock'!$F$6:$F$433="7,5 - 75 Kr"),'Repartition stock'!$H$6:$H$433)))="n.d.",0,IF(OR(SUMPRODUCT(--('Repartition stock'!$A$6:$A$433="2026Q3"),--('Repartition stock'!$B$6:$B$433="DK"),--('Repartition stock'!$E$6:$E$433="Tranche"),--('Repartition stock'!$F$6:$F$433="7,5 - 75 Kr"))=0,SUMPRODUCT(--('Repartition stock'!$A$6:$A$433="2026Q3"),--('Repartition stock'!$B$6:$B$433="DK"),--('Repartition stock'!$E$6:$E$433="Tranche"),--('Repartition stock'!$F$6:$F$433="7,5 - 75 Kr"),--('Repartition stock'!$H$6:$H$433="n.d."))&gt;0),"n.d.",SUMPRODUCT(--('Repartition stock'!$A$6:$A$433="2026Q3"),--('Repartition stock'!$B$6:$B$433="DK"),--('Repartition stock'!$E$6:$E$433="Tranche"),--('Repartition stock'!$F$6:$F$433="7,5 - 75 Kr"),'Repartition stock'!$H$6:$H$433)))</f>
        <v>1732.4600000000003</v>
      </c>
      <c r="AA8" s="8"/>
      <c r="AB8" s="8"/>
      <c r="AC8" s="7">
        <f>IF((IF(OR(COUNT(X8,X12)&lt;&gt;2,X12=0),"n.d.",X8/X12))="n.d.",0,IF(OR(COUNT(X8,X12)&lt;&gt;2,X12=0),"n.d.",X8/X12))</f>
        <v>0.359375</v>
      </c>
      <c r="AD8" s="7"/>
      <c r="AE8" s="7">
        <f>IF((IF(OR(COUNT(Z8,Z12)&lt;&gt;2,Z12=0),"n.d.",Z8/Z12))="n.d.",0,IF(OR(COUNT(Z8,Z12)&lt;&gt;2,Z12=0),"n.d.",Z8/Z12))</f>
        <v>0.10716218698795242</v>
      </c>
      <c r="AF8" s="7"/>
    </row>
    <row r="9" spans="1:32" ht="13.5" customHeight="1">
      <c r="A9" s="13"/>
      <c r="R9" s="4"/>
      <c r="S9" s="4"/>
      <c r="T9" s="4"/>
      <c r="U9" s="16" t="s">
        <v>122</v>
      </c>
      <c r="V9" s="16"/>
      <c r="W9" s="16"/>
      <c r="X9" s="8">
        <f>IF((IF(OR(SUMPRODUCT(--('Repartition stock'!$A$6:$A$433="2026Q3"),--('Repartition stock'!$B$6:$B$433="DK"),--('Repartition stock'!$E$6:$E$433="Tranche"),--('Repartition stock'!$F$6:$F$433="75 - 748 Kr"))=0,SUMPRODUCT(--('Repartition stock'!$A$6:$A$433="2026Q3"),--('Repartition stock'!$B$6:$B$433="DK"),--('Repartition stock'!$E$6:$E$433="Tranche"),--('Repartition stock'!$F$6:$F$433="75 - 748 Kr"),--('Repartition stock'!$G$6:$G$433="n.d."))&gt;0),"n.d.",SUMPRODUCT(--('Repartition stock'!$A$6:$A$433="2026Q3"),--('Repartition stock'!$B$6:$B$433="DK"),--('Repartition stock'!$E$6:$E$433="Tranche"),--('Repartition stock'!$F$6:$F$433="75 - 748 Kr"),'Repartition stock'!$G$6:$G$433)))="n.d.",0,IF(OR(SUMPRODUCT(--('Repartition stock'!$A$6:$A$433="2026Q3"),--('Repartition stock'!$B$6:$B$433="DK"),--('Repartition stock'!$E$6:$E$433="Tranche"),--('Repartition stock'!$F$6:$F$433="75 - 748 Kr"))=0,SUMPRODUCT(--('Repartition stock'!$A$6:$A$433="2026Q3"),--('Repartition stock'!$B$6:$B$433="DK"),--('Repartition stock'!$E$6:$E$433="Tranche"),--('Repartition stock'!$F$6:$F$433="75 - 748 Kr"),--('Repartition stock'!$G$6:$G$433="n.d."))&gt;0),"n.d.",SUMPRODUCT(--('Repartition stock'!$A$6:$A$433="2026Q3"),--('Repartition stock'!$B$6:$B$433="DK"),--('Repartition stock'!$E$6:$E$433="Tranche"),--('Repartition stock'!$F$6:$F$433="75 - 748 Kr"),'Repartition stock'!$G$6:$G$433)))</f>
        <v>45</v>
      </c>
      <c r="Y9" s="8"/>
      <c r="Z9" s="8">
        <f>IF((IF(OR(SUMPRODUCT(--('Repartition stock'!$A$6:$A$433="2026Q3"),--('Repartition stock'!$B$6:$B$433="DK"),--('Repartition stock'!$E$6:$E$433="Tranche"),--('Repartition stock'!$F$6:$F$433="75 - 748 Kr"))=0,SUMPRODUCT(--('Repartition stock'!$A$6:$A$433="2026Q3"),--('Repartition stock'!$B$6:$B$433="DK"),--('Repartition stock'!$E$6:$E$433="Tranche"),--('Repartition stock'!$F$6:$F$433="75 - 748 Kr"),--('Repartition stock'!$H$6:$H$433="n.d."))&gt;0),"n.d.",SUMPRODUCT(--('Repartition stock'!$A$6:$A$433="2026Q3"),--('Repartition stock'!$B$6:$B$433="DK"),--('Repartition stock'!$E$6:$E$433="Tranche"),--('Repartition stock'!$F$6:$F$433="75 - 748 Kr"),'Repartition stock'!$H$6:$H$433)))="n.d.",0,IF(OR(SUMPRODUCT(--('Repartition stock'!$A$6:$A$433="2026Q3"),--('Repartition stock'!$B$6:$B$433="DK"),--('Repartition stock'!$E$6:$E$433="Tranche"),--('Repartition stock'!$F$6:$F$433="75 - 748 Kr"))=0,SUMPRODUCT(--('Repartition stock'!$A$6:$A$433="2026Q3"),--('Repartition stock'!$B$6:$B$433="DK"),--('Repartition stock'!$E$6:$E$433="Tranche"),--('Repartition stock'!$F$6:$F$433="75 - 748 Kr"),--('Repartition stock'!$H$6:$H$433="n.d."))&gt;0),"n.d.",SUMPRODUCT(--('Repartition stock'!$A$6:$A$433="2026Q3"),--('Repartition stock'!$B$6:$B$433="DK"),--('Repartition stock'!$E$6:$E$433="Tranche"),--('Repartition stock'!$F$6:$F$433="75 - 748 Kr"),'Repartition stock'!$H$6:$H$433)))</f>
        <v>10677.659999999998</v>
      </c>
      <c r="AA9" s="8"/>
      <c r="AB9" s="8"/>
      <c r="AC9" s="7">
        <f>IF((IF(OR(COUNT(X9,X12)&lt;&gt;2,X12=0),"n.d.",X9/X12))="n.d.",0,IF(OR(COUNT(X9,X12)&lt;&gt;2,X12=0),"n.d.",X9/X12))</f>
        <v>0.3515625</v>
      </c>
      <c r="AD9" s="7"/>
      <c r="AE9" s="7">
        <f>IF((IF(OR(COUNT(Z9,Z12)&lt;&gt;2,Z12=0),"n.d.",Z9/Z12))="n.d.",0,IF(OR(COUNT(Z9,Z12)&lt;&gt;2,Z12=0),"n.d.",Z9/Z12))</f>
        <v>0.6604720440955518</v>
      </c>
      <c r="AF9" s="7"/>
    </row>
    <row r="10" spans="1:32" ht="13.5" customHeight="1">
      <c r="A10" s="13"/>
      <c r="R10" s="4"/>
      <c r="S10" s="4"/>
      <c r="T10" s="4"/>
      <c r="U10" s="16" t="s">
        <v>123</v>
      </c>
      <c r="V10" s="16"/>
      <c r="W10" s="16"/>
      <c r="X10" s="8">
        <f>IF((IF(OR(SUMPRODUCT(--('Repartition stock'!$A$6:$A$433="2026Q3"),--('Repartition stock'!$B$6:$B$433="DK"),--('Repartition stock'!$E$6:$E$433="Tranche"),--('Repartition stock'!$F$6:$F$433="748 - 7476 Kr"))=0,SUMPRODUCT(--('Repartition stock'!$A$6:$A$433="2026Q3"),--('Repartition stock'!$B$6:$B$433="DK"),--('Repartition stock'!$E$6:$E$433="Tranche"),--('Repartition stock'!$F$6:$F$433="748 - 7476 Kr"),--('Repartition stock'!$G$6:$G$433="n.d."))&gt;0),"n.d.",SUMPRODUCT(--('Repartition stock'!$A$6:$A$433="2026Q3"),--('Repartition stock'!$B$6:$B$433="DK"),--('Repartition stock'!$E$6:$E$433="Tranche"),--('Repartition stock'!$F$6:$F$433="748 - 7476 Kr"),'Repartition stock'!$G$6:$G$433)))="n.d.",0,IF(OR(SUMPRODUCT(--('Repartition stock'!$A$6:$A$433="2026Q3"),--('Repartition stock'!$B$6:$B$433="DK"),--('Repartition stock'!$E$6:$E$433="Tranche"),--('Repartition stock'!$F$6:$F$433="748 - 7476 Kr"))=0,SUMPRODUCT(--('Repartition stock'!$A$6:$A$433="2026Q3"),--('Repartition stock'!$B$6:$B$433="DK"),--('Repartition stock'!$E$6:$E$433="Tranche"),--('Repartition stock'!$F$6:$F$433="748 - 7476 Kr"),--('Repartition stock'!$G$6:$G$433="n.d."))&gt;0),"n.d.",SUMPRODUCT(--('Repartition stock'!$A$6:$A$433="2026Q3"),--('Repartition stock'!$B$6:$B$433="DK"),--('Repartition stock'!$E$6:$E$433="Tranche"),--('Repartition stock'!$F$6:$F$433="748 - 7476 Kr"),'Repartition stock'!$G$6:$G$433)))</f>
        <v>4</v>
      </c>
      <c r="Y10" s="8"/>
      <c r="Z10" s="8">
        <f>IF((IF(OR(SUMPRODUCT(--('Repartition stock'!$A$6:$A$433="2026Q3"),--('Repartition stock'!$B$6:$B$433="DK"),--('Repartition stock'!$E$6:$E$433="Tranche"),--('Repartition stock'!$F$6:$F$433="748 - 7476 Kr"))=0,SUMPRODUCT(--('Repartition stock'!$A$6:$A$433="2026Q3"),--('Repartition stock'!$B$6:$B$433="DK"),--('Repartition stock'!$E$6:$E$433="Tranche"),--('Repartition stock'!$F$6:$F$433="748 - 7476 Kr"),--('Repartition stock'!$H$6:$H$433="n.d."))&gt;0),"n.d.",SUMPRODUCT(--('Repartition stock'!$A$6:$A$433="2026Q3"),--('Repartition stock'!$B$6:$B$433="DK"),--('Repartition stock'!$E$6:$E$433="Tranche"),--('Repartition stock'!$F$6:$F$433="748 - 7476 Kr"),'Repartition stock'!$H$6:$H$433)))="n.d.",0,IF(OR(SUMPRODUCT(--('Repartition stock'!$A$6:$A$433="2026Q3"),--('Repartition stock'!$B$6:$B$433="DK"),--('Repartition stock'!$E$6:$E$433="Tranche"),--('Repartition stock'!$F$6:$F$433="748 - 7476 Kr"))=0,SUMPRODUCT(--('Repartition stock'!$A$6:$A$433="2026Q3"),--('Repartition stock'!$B$6:$B$433="DK"),--('Repartition stock'!$E$6:$E$433="Tranche"),--('Repartition stock'!$F$6:$F$433="748 - 7476 Kr"),--('Repartition stock'!$H$6:$H$433="n.d."))&gt;0),"n.d.",SUMPRODUCT(--('Repartition stock'!$A$6:$A$433="2026Q3"),--('Repartition stock'!$B$6:$B$433="DK"),--('Repartition stock'!$E$6:$E$433="Tranche"),--('Repartition stock'!$F$6:$F$433="748 - 7476 Kr"),'Repartition stock'!$H$6:$H$433)))</f>
        <v>3671.4800000000005</v>
      </c>
      <c r="AA10" s="8"/>
      <c r="AB10" s="8"/>
      <c r="AC10" s="7">
        <f>IF((IF(OR(COUNT(X10,X12)&lt;&gt;2,X12=0),"n.d.",X10/X12))="n.d.",0,IF(OR(COUNT(X10,X12)&lt;&gt;2,X12=0),"n.d.",X10/X12))</f>
        <v>0.03125</v>
      </c>
      <c r="AD10" s="7"/>
      <c r="AE10" s="7">
        <f>IF((IF(OR(COUNT(Z10,Z12)&lt;&gt;2,Z12=0),"n.d.",Z10/Z12))="n.d.",0,IF(OR(COUNT(Z10,Z12)&lt;&gt;2,Z12=0),"n.d.",Z10/Z12))</f>
        <v>0.22710124694511133</v>
      </c>
      <c r="AF10" s="7"/>
    </row>
    <row r="11" spans="1:32" ht="13.5" customHeight="1">
      <c r="A11" s="13"/>
      <c r="R11" s="4"/>
      <c r="S11" s="4"/>
      <c r="T11" s="4"/>
      <c r="U11" s="16" t="s">
        <v>124</v>
      </c>
      <c r="V11" s="16"/>
      <c r="W11" s="16"/>
      <c r="X11" s="8">
        <f>IF((IF(OR(SUMPRODUCT(--('Repartition stock'!$A$6:$A$433="2026Q3"),--('Repartition stock'!$B$6:$B$433="DK"),--('Repartition stock'!$E$6:$E$433="Tranche"),--('Repartition stock'!$F$6:$F$433="&gt;7476 Kr"))=0,SUMPRODUCT(--('Repartition stock'!$A$6:$A$433="2026Q3"),--('Repartition stock'!$B$6:$B$433="DK"),--('Repartition stock'!$E$6:$E$433="Tranche"),--('Repartition stock'!$F$6:$F$433="&gt;7476 Kr"),--('Repartition stock'!$G$6:$G$433="n.d."))&gt;0),"n.d.",SUMPRODUCT(--('Repartition stock'!$A$6:$A$433="2026Q3"),--('Repartition stock'!$B$6:$B$433="DK"),--('Repartition stock'!$E$6:$E$433="Tranche"),--('Repartition stock'!$F$6:$F$433="&gt;7476 Kr"),'Repartition stock'!$G$6:$G$433)))="n.d.",0,IF(OR(SUMPRODUCT(--('Repartition stock'!$A$6:$A$433="2026Q3"),--('Repartition stock'!$B$6:$B$433="DK"),--('Repartition stock'!$E$6:$E$433="Tranche"),--('Repartition stock'!$F$6:$F$433="&gt;7476 Kr"))=0,SUMPRODUCT(--('Repartition stock'!$A$6:$A$433="2026Q3"),--('Repartition stock'!$B$6:$B$433="DK"),--('Repartition stock'!$E$6:$E$433="Tranche"),--('Repartition stock'!$F$6:$F$433="&gt;7476 Kr"),--('Repartition stock'!$G$6:$G$433="n.d."))&gt;0),"n.d.",SUMPRODUCT(--('Repartition stock'!$A$6:$A$433="2026Q3"),--('Repartition stock'!$B$6:$B$433="DK"),--('Repartition stock'!$E$6:$E$433="Tranche"),--('Repartition stock'!$F$6:$F$433="&gt;7476 Kr"),'Repartition stock'!$G$6:$G$433)))</f>
        <v>0</v>
      </c>
      <c r="Y11" s="8"/>
      <c r="Z11" s="8">
        <f>IF((IF(OR(SUMPRODUCT(--('Repartition stock'!$A$6:$A$433="2026Q3"),--('Repartition stock'!$B$6:$B$433="DK"),--('Repartition stock'!$E$6:$E$433="Tranche"),--('Repartition stock'!$F$6:$F$433="&gt;7476 Kr"))=0,SUMPRODUCT(--('Repartition stock'!$A$6:$A$433="2026Q3"),--('Repartition stock'!$B$6:$B$433="DK"),--('Repartition stock'!$E$6:$E$433="Tranche"),--('Repartition stock'!$F$6:$F$433="&gt;7476 Kr"),--('Repartition stock'!$H$6:$H$433="n.d."))&gt;0),"n.d.",SUMPRODUCT(--('Repartition stock'!$A$6:$A$433="2026Q3"),--('Repartition stock'!$B$6:$B$433="DK"),--('Repartition stock'!$E$6:$E$433="Tranche"),--('Repartition stock'!$F$6:$F$433="&gt;7476 Kr"),'Repartition stock'!$H$6:$H$433)))="n.d.",0,IF(OR(SUMPRODUCT(--('Repartition stock'!$A$6:$A$433="2026Q3"),--('Repartition stock'!$B$6:$B$433="DK"),--('Repartition stock'!$E$6:$E$433="Tranche"),--('Repartition stock'!$F$6:$F$433="&gt;7476 Kr"))=0,SUMPRODUCT(--('Repartition stock'!$A$6:$A$433="2026Q3"),--('Repartition stock'!$B$6:$B$433="DK"),--('Repartition stock'!$E$6:$E$433="Tranche"),--('Repartition stock'!$F$6:$F$433="&gt;7476 Kr"),--('Repartition stock'!$H$6:$H$433="n.d."))&gt;0),"n.d.",SUMPRODUCT(--('Repartition stock'!$A$6:$A$433="2026Q3"),--('Repartition stock'!$B$6:$B$433="DK"),--('Repartition stock'!$E$6:$E$433="Tranche"),--('Repartition stock'!$F$6:$F$433="&gt;7476 Kr"),'Repartition stock'!$H$6:$H$433)))</f>
        <v>0</v>
      </c>
      <c r="AA11" s="8"/>
      <c r="AB11" s="8"/>
      <c r="AC11" s="7">
        <f>IF((IF(OR(COUNT(X11,X12)&lt;&gt;2,X12=0),"n.d.",X11/X12))="n.d.",0,IF(OR(COUNT(X11,X12)&lt;&gt;2,X12=0),"n.d.",X11/X12))</f>
        <v>0.0</v>
      </c>
      <c r="AD11" s="7"/>
      <c r="AE11" s="7">
        <f>IF((IF(OR(COUNT(Z11,Z12)&lt;&gt;2,Z12=0),"n.d.",Z11/Z12))="n.d.",0,IF(OR(COUNT(Z11,Z12)&lt;&gt;2,Z12=0),"n.d.",Z11/Z12))</f>
        <v>0.0</v>
      </c>
      <c r="AF11" s="7"/>
    </row>
    <row r="12" spans="1:32" ht="13.5" customHeight="1">
      <c r="A12" s="13"/>
      <c r="R12" s="17" t="s">
        <v>71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128</v>
      </c>
      <c r="Y12" s="17"/>
      <c r="Z12" s="17">
        <f>IF((IF(COUNT(Z7:Z11)=5,SUM(Z7:Z11),"n.d."))="n.d.",0,IF(COUNT(Z7:Z11)=5,SUM(Z7:Z11),"n.d."))</f>
        <v>16166.71</v>
      </c>
      <c r="AA12" s="17"/>
      <c r="AB12" s="17"/>
      <c r="AC12" s="10">
        <f>IF((IF(OR(NOT(ISNUMBER(X12)),X12=0),"n.d.",1))="n.d.",0,IF(OR(NOT(ISNUMBER(X12)),X12=0),"n.d.",1))</f>
        <v>1.0</v>
      </c>
      <c r="AD12" s="10"/>
      <c r="AE12" s="10">
        <f>IF((IF(OR(NOT(ISNUMBER(Z12)),Z12=0),"n.d.",1))="n.d.",0,IF(OR(NOT(ISNUMBER(Z12)),Z12=0),"n.d.",1))</f>
        <v>1.0</v>
      </c>
      <c r="AF12" s="10"/>
    </row>
    <row r="13" spans="1:32" ht="13.5" customHeight="1">
      <c r="A13" s="13"/>
    </row>
    <row r="14" spans="1:32" ht="13.5" customHeight="1">
      <c r="A14" s="13"/>
      <c r="R14" s="4" t="s">
        <v>72</v>
      </c>
      <c r="S14" s="4"/>
      <c r="T14" s="4"/>
      <c r="U14" s="16" t="s">
        <v>73</v>
      </c>
      <c r="V14" s="16"/>
      <c r="W14" s="16"/>
      <c r="X14" s="8">
        <f>IF((IF(OR(SUMPRODUCT(--('Repartition stock'!$A$6:$A$433="2026Q3"),--('Repartition stock'!$B$6:$B$433="DK"),--('Repartition stock'!$E$6:$E$433="Millésime"),--('Repartition stock'!$F$6:$F$433="&lt;2018"))=0,SUMPRODUCT(--('Repartition stock'!$A$6:$A$433="2026Q3"),--('Repartition stock'!$B$6:$B$433="DK"),--('Repartition stock'!$E$6:$E$433="Millésime"),--('Repartition stock'!$F$6:$F$433="&lt;2018"),--('Repartition stock'!$G$6:$G$433="n.d."))&gt;0),"n.d.",SUMPRODUCT(--('Repartition stock'!$A$6:$A$433="2026Q3"),--('Repartition stock'!$B$6:$B$433="DK"),--('Repartition stock'!$E$6:$E$433="Millésime"),--('Repartition stock'!$F$6:$F$433="&lt;2018"),'Repartition stock'!$G$6:$G$433)))="n.d.",0,IF(OR(SUMPRODUCT(--('Repartition stock'!$A$6:$A$433="2026Q3"),--('Repartition stock'!$B$6:$B$433="DK"),--('Repartition stock'!$E$6:$E$433="Millésime"),--('Repartition stock'!$F$6:$F$433="&lt;2018"))=0,SUMPRODUCT(--('Repartition stock'!$A$6:$A$433="2026Q3"),--('Repartition stock'!$B$6:$B$433="DK"),--('Repartition stock'!$E$6:$E$433="Millésime"),--('Repartition stock'!$F$6:$F$433="&lt;2018"),--('Repartition stock'!$G$6:$G$433="n.d."))&gt;0),"n.d.",SUMPRODUCT(--('Repartition stock'!$A$6:$A$433="2026Q3"),--('Repartition stock'!$B$6:$B$433="DK"),--('Repartition stock'!$E$6:$E$433="Millésime"),--('Repartition stock'!$F$6:$F$433="&lt;2018"),'Repartition stock'!$G$6:$G$433)))</f>
        <v>0</v>
      </c>
      <c r="Y14" s="8"/>
      <c r="Z14" s="8">
        <f>IF((IF(OR(SUMPRODUCT(--('Repartition stock'!$A$6:$A$433="2026Q3"),--('Repartition stock'!$B$6:$B$433="DK"),--('Repartition stock'!$E$6:$E$433="Millésime"),--('Repartition stock'!$F$6:$F$433="&lt;2018"))=0,SUMPRODUCT(--('Repartition stock'!$A$6:$A$433="2026Q3"),--('Repartition stock'!$B$6:$B$433="DK"),--('Repartition stock'!$E$6:$E$433="Millésime"),--('Repartition stock'!$F$6:$F$433="&lt;2018"),--('Repartition stock'!$H$6:$H$433="n.d."))&gt;0),"n.d.",SUMPRODUCT(--('Repartition stock'!$A$6:$A$433="2026Q3"),--('Repartition stock'!$B$6:$B$433="DK"),--('Repartition stock'!$E$6:$E$433="Millésime"),--('Repartition stock'!$F$6:$F$433="&lt;2018"),'Repartition stock'!$H$6:$H$433)))="n.d.",0,IF(OR(SUMPRODUCT(--('Repartition stock'!$A$6:$A$433="2026Q3"),--('Repartition stock'!$B$6:$B$433="DK"),--('Repartition stock'!$E$6:$E$433="Millésime"),--('Repartition stock'!$F$6:$F$433="&lt;2018"))=0,SUMPRODUCT(--('Repartition stock'!$A$6:$A$433="2026Q3"),--('Repartition stock'!$B$6:$B$433="DK"),--('Repartition stock'!$E$6:$E$433="Millésime"),--('Repartition stock'!$F$6:$F$433="&lt;2018"),--('Repartition stock'!$H$6:$H$433="n.d."))&gt;0),"n.d.",SUMPRODUCT(--('Repartition stock'!$A$6:$A$433="2026Q3"),--('Repartition stock'!$B$6:$B$433="DK"),--('Repartition stock'!$E$6:$E$433="Millésime"),--('Repartition stock'!$F$6:$F$433="&lt;2018"),'Repartition stock'!$H$6:$H$433)))</f>
        <v>0</v>
      </c>
      <c r="AA14" s="8"/>
      <c r="AB14" s="8"/>
      <c r="AC14" s="7">
        <f>IF((IF(OR(COUNT(X14,X24)&lt;&gt;2,X24=0),"n.d.",X14/X24))="n.d.",0,IF(OR(COUNT(X14,X24)&lt;&gt;2,X24=0),"n.d.",X14/X24))</f>
        <v>0.0</v>
      </c>
      <c r="AD14" s="7"/>
      <c r="AE14" s="7">
        <f>IF((IF(OR(COUNT(Z14,Z24)&lt;&gt;2,Z24=0),"n.d.",Z14/Z24))="n.d.",0,IF(OR(COUNT(Z14,Z24)&lt;&gt;2,Z24=0),"n.d.",Z14/Z24))</f>
        <v>0.0</v>
      </c>
      <c r="AF14" s="7"/>
    </row>
    <row r="15" spans="1:32" ht="13.5" customHeight="1">
      <c r="A15" s="13"/>
      <c r="R15" s="4"/>
      <c r="S15" s="4"/>
      <c r="T15" s="4"/>
      <c r="U15" s="16" t="s">
        <v>74</v>
      </c>
      <c r="V15" s="16"/>
      <c r="W15" s="16"/>
      <c r="X15" s="8">
        <f>IF((IF(OR(SUMPRODUCT(--('Repartition stock'!$A$6:$A$433="2026Q3"),--('Repartition stock'!$B$6:$B$433="DK"),--('Repartition stock'!$E$6:$E$433="Millésime"),--('Repartition stock'!$F$6:$F$433="2018"))=0,SUMPRODUCT(--('Repartition stock'!$A$6:$A$433="2026Q3"),--('Repartition stock'!$B$6:$B$433="DK"),--('Repartition stock'!$E$6:$E$433="Millésime"),--('Repartition stock'!$F$6:$F$433="2018"),--('Repartition stock'!$G$6:$G$433="n.d."))&gt;0),"n.d.",SUMPRODUCT(--('Repartition stock'!$A$6:$A$433="2026Q3"),--('Repartition stock'!$B$6:$B$433="DK"),--('Repartition stock'!$E$6:$E$433="Millésime"),--('Repartition stock'!$F$6:$F$433="2018"),'Repartition stock'!$G$6:$G$433)))="n.d.",0,IF(OR(SUMPRODUCT(--('Repartition stock'!$A$6:$A$433="2026Q3"),--('Repartition stock'!$B$6:$B$433="DK"),--('Repartition stock'!$E$6:$E$433="Millésime"),--('Repartition stock'!$F$6:$F$433="2018"))=0,SUMPRODUCT(--('Repartition stock'!$A$6:$A$433="2026Q3"),--('Repartition stock'!$B$6:$B$433="DK"),--('Repartition stock'!$E$6:$E$433="Millésime"),--('Repartition stock'!$F$6:$F$433="2018"),--('Repartition stock'!$G$6:$G$433="n.d."))&gt;0),"n.d.",SUMPRODUCT(--('Repartition stock'!$A$6:$A$433="2026Q3"),--('Repartition stock'!$B$6:$B$433="DK"),--('Repartition stock'!$E$6:$E$433="Millésime"),--('Repartition stock'!$F$6:$F$433="2018"),'Repartition stock'!$G$6:$G$433)))</f>
        <v>0</v>
      </c>
      <c r="Y15" s="8"/>
      <c r="Z15" s="8">
        <f>IF((IF(OR(SUMPRODUCT(--('Repartition stock'!$A$6:$A$433="2026Q3"),--('Repartition stock'!$B$6:$B$433="DK"),--('Repartition stock'!$E$6:$E$433="Millésime"),--('Repartition stock'!$F$6:$F$433="2018"))=0,SUMPRODUCT(--('Repartition stock'!$A$6:$A$433="2026Q3"),--('Repartition stock'!$B$6:$B$433="DK"),--('Repartition stock'!$E$6:$E$433="Millésime"),--('Repartition stock'!$F$6:$F$433="2018"),--('Repartition stock'!$H$6:$H$433="n.d."))&gt;0),"n.d.",SUMPRODUCT(--('Repartition stock'!$A$6:$A$433="2026Q3"),--('Repartition stock'!$B$6:$B$433="DK"),--('Repartition stock'!$E$6:$E$433="Millésime"),--('Repartition stock'!$F$6:$F$433="2018"),'Repartition stock'!$H$6:$H$433)))="n.d.",0,IF(OR(SUMPRODUCT(--('Repartition stock'!$A$6:$A$433="2026Q3"),--('Repartition stock'!$B$6:$B$433="DK"),--('Repartition stock'!$E$6:$E$433="Millésime"),--('Repartition stock'!$F$6:$F$433="2018"))=0,SUMPRODUCT(--('Repartition stock'!$A$6:$A$433="2026Q3"),--('Repartition stock'!$B$6:$B$433="DK"),--('Repartition stock'!$E$6:$E$433="Millésime"),--('Repartition stock'!$F$6:$F$433="2018"),--('Repartition stock'!$H$6:$H$433="n.d."))&gt;0),"n.d.",SUMPRODUCT(--('Repartition stock'!$A$6:$A$433="2026Q3"),--('Repartition stock'!$B$6:$B$433="DK"),--('Repartition stock'!$E$6:$E$433="Millésime"),--('Repartition stock'!$F$6:$F$433="2018"),'Repartition stock'!$H$6:$H$433)))</f>
        <v>0</v>
      </c>
      <c r="AA15" s="8"/>
      <c r="AB15" s="8"/>
      <c r="AC15" s="7">
        <f>IF((IF(OR(COUNT(X15,X24)&lt;&gt;2,X24=0),"n.d.",X15/X24))="n.d.",0,IF(OR(COUNT(X15,X24)&lt;&gt;2,X24=0),"n.d.",X15/X24))</f>
        <v>0.0</v>
      </c>
      <c r="AD15" s="7"/>
      <c r="AE15" s="7">
        <f>IF((IF(OR(COUNT(Z15,Z24)&lt;&gt;2,Z24=0),"n.d.",Z15/Z24))="n.d.",0,IF(OR(COUNT(Z15,Z24)&lt;&gt;2,Z24=0),"n.d.",Z15/Z24))</f>
        <v>0.0</v>
      </c>
      <c r="AF15" s="7"/>
    </row>
    <row r="16" spans="1:32" ht="13.5" customHeight="1">
      <c r="A16" s="13"/>
      <c r="R16" s="4"/>
      <c r="S16" s="4"/>
      <c r="T16" s="4"/>
      <c r="U16" s="16" t="s">
        <v>75</v>
      </c>
      <c r="V16" s="16"/>
      <c r="W16" s="16"/>
      <c r="X16" s="8">
        <f>IF((IF(OR(SUMPRODUCT(--('Repartition stock'!$A$6:$A$433="2026Q3"),--('Repartition stock'!$B$6:$B$433="DK"),--('Repartition stock'!$E$6:$E$433="Millésime"),--('Repartition stock'!$F$6:$F$433="2019"))=0,SUMPRODUCT(--('Repartition stock'!$A$6:$A$433="2026Q3"),--('Repartition stock'!$B$6:$B$433="DK"),--('Repartition stock'!$E$6:$E$433="Millésime"),--('Repartition stock'!$F$6:$F$433="2019"),--('Repartition stock'!$G$6:$G$433="n.d."))&gt;0),"n.d.",SUMPRODUCT(--('Repartition stock'!$A$6:$A$433="2026Q3"),--('Repartition stock'!$B$6:$B$433="DK"),--('Repartition stock'!$E$6:$E$433="Millésime"),--('Repartition stock'!$F$6:$F$433="2019"),'Repartition stock'!$G$6:$G$433)))="n.d.",0,IF(OR(SUMPRODUCT(--('Repartition stock'!$A$6:$A$433="2026Q3"),--('Repartition stock'!$B$6:$B$433="DK"),--('Repartition stock'!$E$6:$E$433="Millésime"),--('Repartition stock'!$F$6:$F$433="2019"))=0,SUMPRODUCT(--('Repartition stock'!$A$6:$A$433="2026Q3"),--('Repartition stock'!$B$6:$B$433="DK"),--('Repartition stock'!$E$6:$E$433="Millésime"),--('Repartition stock'!$F$6:$F$433="2019"),--('Repartition stock'!$G$6:$G$433="n.d."))&gt;0),"n.d.",SUMPRODUCT(--('Repartition stock'!$A$6:$A$433="2026Q3"),--('Repartition stock'!$B$6:$B$433="DK"),--('Repartition stock'!$E$6:$E$433="Millésime"),--('Repartition stock'!$F$6:$F$433="2019"),'Repartition stock'!$G$6:$G$433)))</f>
        <v>0</v>
      </c>
      <c r="Y16" s="8"/>
      <c r="Z16" s="8">
        <f>IF((IF(OR(SUMPRODUCT(--('Repartition stock'!$A$6:$A$433="2026Q3"),--('Repartition stock'!$B$6:$B$433="DK"),--('Repartition stock'!$E$6:$E$433="Millésime"),--('Repartition stock'!$F$6:$F$433="2019"))=0,SUMPRODUCT(--('Repartition stock'!$A$6:$A$433="2026Q3"),--('Repartition stock'!$B$6:$B$433="DK"),--('Repartition stock'!$E$6:$E$433="Millésime"),--('Repartition stock'!$F$6:$F$433="2019"),--('Repartition stock'!$H$6:$H$433="n.d."))&gt;0),"n.d.",SUMPRODUCT(--('Repartition stock'!$A$6:$A$433="2026Q3"),--('Repartition stock'!$B$6:$B$433="DK"),--('Repartition stock'!$E$6:$E$433="Millésime"),--('Repartition stock'!$F$6:$F$433="2019"),'Repartition stock'!$H$6:$H$433)))="n.d.",0,IF(OR(SUMPRODUCT(--('Repartition stock'!$A$6:$A$433="2026Q3"),--('Repartition stock'!$B$6:$B$433="DK"),--('Repartition stock'!$E$6:$E$433="Millésime"),--('Repartition stock'!$F$6:$F$433="2019"))=0,SUMPRODUCT(--('Repartition stock'!$A$6:$A$433="2026Q3"),--('Repartition stock'!$B$6:$B$433="DK"),--('Repartition stock'!$E$6:$E$433="Millésime"),--('Repartition stock'!$F$6:$F$433="2019"),--('Repartition stock'!$H$6:$H$433="n.d."))&gt;0),"n.d.",SUMPRODUCT(--('Repartition stock'!$A$6:$A$433="2026Q3"),--('Repartition stock'!$B$6:$B$433="DK"),--('Repartition stock'!$E$6:$E$433="Millésime"),--('Repartition stock'!$F$6:$F$433="2019"),'Repartition stock'!$H$6:$H$433)))</f>
        <v>0</v>
      </c>
      <c r="AA16" s="8"/>
      <c r="AB16" s="8"/>
      <c r="AC16" s="7">
        <f>IF((IF(OR(COUNT(X16,X24)&lt;&gt;2,X24=0),"n.d.",X16/X24))="n.d.",0,IF(OR(COUNT(X16,X24)&lt;&gt;2,X24=0),"n.d.",X16/X24))</f>
        <v>0.0</v>
      </c>
      <c r="AD16" s="7"/>
      <c r="AE16" s="7">
        <f>IF((IF(OR(COUNT(Z16,Z24)&lt;&gt;2,Z24=0),"n.d.",Z16/Z24))="n.d.",0,IF(OR(COUNT(Z16,Z24)&lt;&gt;2,Z24=0),"n.d.",Z16/Z24))</f>
        <v>0.0</v>
      </c>
      <c r="AF16" s="7"/>
    </row>
    <row r="17" spans="1:32" ht="13.5" customHeight="1">
      <c r="A17" s="13"/>
      <c r="R17" s="4"/>
      <c r="S17" s="4"/>
      <c r="T17" s="4"/>
      <c r="U17" s="16" t="s">
        <v>76</v>
      </c>
      <c r="V17" s="16"/>
      <c r="W17" s="16"/>
      <c r="X17" s="8">
        <f>IF((IF(OR(SUMPRODUCT(--('Repartition stock'!$A$6:$A$433="2026Q3"),--('Repartition stock'!$B$6:$B$433="DK"),--('Repartition stock'!$E$6:$E$433="Millésime"),--('Repartition stock'!$F$6:$F$433="2020"))=0,SUMPRODUCT(--('Repartition stock'!$A$6:$A$433="2026Q3"),--('Repartition stock'!$B$6:$B$433="DK"),--('Repartition stock'!$E$6:$E$433="Millésime"),--('Repartition stock'!$F$6:$F$433="2020"),--('Repartition stock'!$G$6:$G$433="n.d."))&gt;0),"n.d.",SUMPRODUCT(--('Repartition stock'!$A$6:$A$433="2026Q3"),--('Repartition stock'!$B$6:$B$433="DK"),--('Repartition stock'!$E$6:$E$433="Millésime"),--('Repartition stock'!$F$6:$F$433="2020"),'Repartition stock'!$G$6:$G$433)))="n.d.",0,IF(OR(SUMPRODUCT(--('Repartition stock'!$A$6:$A$433="2026Q3"),--('Repartition stock'!$B$6:$B$433="DK"),--('Repartition stock'!$E$6:$E$433="Millésime"),--('Repartition stock'!$F$6:$F$433="2020"))=0,SUMPRODUCT(--('Repartition stock'!$A$6:$A$433="2026Q3"),--('Repartition stock'!$B$6:$B$433="DK"),--('Repartition stock'!$E$6:$E$433="Millésime"),--('Repartition stock'!$F$6:$F$433="2020"),--('Repartition stock'!$G$6:$G$433="n.d."))&gt;0),"n.d.",SUMPRODUCT(--('Repartition stock'!$A$6:$A$433="2026Q3"),--('Repartition stock'!$B$6:$B$433="DK"),--('Repartition stock'!$E$6:$E$433="Millésime"),--('Repartition stock'!$F$6:$F$433="2020"),'Repartition stock'!$G$6:$G$433)))</f>
        <v>0</v>
      </c>
      <c r="Y17" s="8"/>
      <c r="Z17" s="8">
        <f>IF((IF(OR(SUMPRODUCT(--('Repartition stock'!$A$6:$A$433="2026Q3"),--('Repartition stock'!$B$6:$B$433="DK"),--('Repartition stock'!$E$6:$E$433="Millésime"),--('Repartition stock'!$F$6:$F$433="2020"))=0,SUMPRODUCT(--('Repartition stock'!$A$6:$A$433="2026Q3"),--('Repartition stock'!$B$6:$B$433="DK"),--('Repartition stock'!$E$6:$E$433="Millésime"),--('Repartition stock'!$F$6:$F$433="2020"),--('Repartition stock'!$H$6:$H$433="n.d."))&gt;0),"n.d.",SUMPRODUCT(--('Repartition stock'!$A$6:$A$433="2026Q3"),--('Repartition stock'!$B$6:$B$433="DK"),--('Repartition stock'!$E$6:$E$433="Millésime"),--('Repartition stock'!$F$6:$F$433="2020"),'Repartition stock'!$H$6:$H$433)))="n.d.",0,IF(OR(SUMPRODUCT(--('Repartition stock'!$A$6:$A$433="2026Q3"),--('Repartition stock'!$B$6:$B$433="DK"),--('Repartition stock'!$E$6:$E$433="Millésime"),--('Repartition stock'!$F$6:$F$433="2020"))=0,SUMPRODUCT(--('Repartition stock'!$A$6:$A$433="2026Q3"),--('Repartition stock'!$B$6:$B$433="DK"),--('Repartition stock'!$E$6:$E$433="Millésime"),--('Repartition stock'!$F$6:$F$433="2020"),--('Repartition stock'!$H$6:$H$433="n.d."))&gt;0),"n.d.",SUMPRODUCT(--('Repartition stock'!$A$6:$A$433="2026Q3"),--('Repartition stock'!$B$6:$B$433="DK"),--('Repartition stock'!$E$6:$E$433="Millésime"),--('Repartition stock'!$F$6:$F$433="2020"),'Repartition stock'!$H$6:$H$433)))</f>
        <v>0</v>
      </c>
      <c r="AA17" s="8"/>
      <c r="AB17" s="8"/>
      <c r="AC17" s="7">
        <f>IF((IF(OR(COUNT(X17,X24)&lt;&gt;2,X24=0),"n.d.",X17/X24))="n.d.",0,IF(OR(COUNT(X17,X24)&lt;&gt;2,X24=0),"n.d.",X17/X24))</f>
        <v>0.0</v>
      </c>
      <c r="AD17" s="7"/>
      <c r="AE17" s="7">
        <f>IF((IF(OR(COUNT(Z17,Z24)&lt;&gt;2,Z24=0),"n.d.",Z17/Z24))="n.d.",0,IF(OR(COUNT(Z17,Z24)&lt;&gt;2,Z24=0),"n.d.",Z17/Z24))</f>
        <v>0.0</v>
      </c>
      <c r="AF17" s="7"/>
    </row>
    <row r="18" spans="1:32" ht="13.5" customHeight="1">
      <c r="A18" s="13"/>
      <c r="R18" s="4"/>
      <c r="S18" s="4"/>
      <c r="T18" s="4"/>
      <c r="U18" s="16" t="s">
        <v>77</v>
      </c>
      <c r="V18" s="16"/>
      <c r="W18" s="16"/>
      <c r="X18" s="8">
        <f>IF((IF(OR(SUMPRODUCT(--('Repartition stock'!$A$6:$A$433="2026Q3"),--('Repartition stock'!$B$6:$B$433="DK"),--('Repartition stock'!$E$6:$E$433="Millésime"),--('Repartition stock'!$F$6:$F$433="2021"))=0,SUMPRODUCT(--('Repartition stock'!$A$6:$A$433="2026Q3"),--('Repartition stock'!$B$6:$B$433="DK"),--('Repartition stock'!$E$6:$E$433="Millésime"),--('Repartition stock'!$F$6:$F$433="2021"),--('Repartition stock'!$G$6:$G$433="n.d."))&gt;0),"n.d.",SUMPRODUCT(--('Repartition stock'!$A$6:$A$433="2026Q3"),--('Repartition stock'!$B$6:$B$433="DK"),--('Repartition stock'!$E$6:$E$433="Millésime"),--('Repartition stock'!$F$6:$F$433="2021"),'Repartition stock'!$G$6:$G$433)))="n.d.",0,IF(OR(SUMPRODUCT(--('Repartition stock'!$A$6:$A$433="2026Q3"),--('Repartition stock'!$B$6:$B$433="DK"),--('Repartition stock'!$E$6:$E$433="Millésime"),--('Repartition stock'!$F$6:$F$433="2021"))=0,SUMPRODUCT(--('Repartition stock'!$A$6:$A$433="2026Q3"),--('Repartition stock'!$B$6:$B$433="DK"),--('Repartition stock'!$E$6:$E$433="Millésime"),--('Repartition stock'!$F$6:$F$433="2021"),--('Repartition stock'!$G$6:$G$433="n.d."))&gt;0),"n.d.",SUMPRODUCT(--('Repartition stock'!$A$6:$A$433="2026Q3"),--('Repartition stock'!$B$6:$B$433="DK"),--('Repartition stock'!$E$6:$E$433="Millésime"),--('Repartition stock'!$F$6:$F$433="2021"),'Repartition stock'!$G$6:$G$433)))</f>
        <v>0</v>
      </c>
      <c r="Y18" s="8"/>
      <c r="Z18" s="8">
        <f>IF((IF(OR(SUMPRODUCT(--('Repartition stock'!$A$6:$A$433="2026Q3"),--('Repartition stock'!$B$6:$B$433="DK"),--('Repartition stock'!$E$6:$E$433="Millésime"),--('Repartition stock'!$F$6:$F$433="2021"))=0,SUMPRODUCT(--('Repartition stock'!$A$6:$A$433="2026Q3"),--('Repartition stock'!$B$6:$B$433="DK"),--('Repartition stock'!$E$6:$E$433="Millésime"),--('Repartition stock'!$F$6:$F$433="2021"),--('Repartition stock'!$H$6:$H$433="n.d."))&gt;0),"n.d.",SUMPRODUCT(--('Repartition stock'!$A$6:$A$433="2026Q3"),--('Repartition stock'!$B$6:$B$433="DK"),--('Repartition stock'!$E$6:$E$433="Millésime"),--('Repartition stock'!$F$6:$F$433="2021"),'Repartition stock'!$H$6:$H$433)))="n.d.",0,IF(OR(SUMPRODUCT(--('Repartition stock'!$A$6:$A$433="2026Q3"),--('Repartition stock'!$B$6:$B$433="DK"),--('Repartition stock'!$E$6:$E$433="Millésime"),--('Repartition stock'!$F$6:$F$433="2021"))=0,SUMPRODUCT(--('Repartition stock'!$A$6:$A$433="2026Q3"),--('Repartition stock'!$B$6:$B$433="DK"),--('Repartition stock'!$E$6:$E$433="Millésime"),--('Repartition stock'!$F$6:$F$433="2021"),--('Repartition stock'!$H$6:$H$433="n.d."))&gt;0),"n.d.",SUMPRODUCT(--('Repartition stock'!$A$6:$A$433="2026Q3"),--('Repartition stock'!$B$6:$B$433="DK"),--('Repartition stock'!$E$6:$E$433="Millésime"),--('Repartition stock'!$F$6:$F$433="2021"),'Repartition stock'!$H$6:$H$433)))</f>
        <v>0</v>
      </c>
      <c r="AA18" s="8"/>
      <c r="AB18" s="8"/>
      <c r="AC18" s="7">
        <f>IF((IF(OR(COUNT(X18,X24)&lt;&gt;2,X24=0),"n.d.",X18/X24))="n.d.",0,IF(OR(COUNT(X18,X24)&lt;&gt;2,X24=0),"n.d.",X18/X24))</f>
        <v>0.0</v>
      </c>
      <c r="AD18" s="7"/>
      <c r="AE18" s="7">
        <f>IF((IF(OR(COUNT(Z18,Z24)&lt;&gt;2,Z24=0),"n.d.",Z18/Z24))="n.d.",0,IF(OR(COUNT(Z18,Z24)&lt;&gt;2,Z24=0),"n.d.",Z18/Z24))</f>
        <v>0.0</v>
      </c>
      <c r="AF18" s="7"/>
    </row>
    <row r="19" spans="1:32" ht="13.5" customHeight="1">
      <c r="A19" s="13"/>
      <c r="R19" s="4"/>
      <c r="S19" s="4"/>
      <c r="T19" s="4"/>
      <c r="U19" s="16" t="s">
        <v>78</v>
      </c>
      <c r="V19" s="16"/>
      <c r="W19" s="16"/>
      <c r="X19" s="8">
        <f>IF((IF(OR(SUMPRODUCT(--('Repartition stock'!$A$6:$A$433="2026Q3"),--('Repartition stock'!$B$6:$B$433="DK"),--('Repartition stock'!$E$6:$E$433="Millésime"),--('Repartition stock'!$F$6:$F$433="2022"))=0,SUMPRODUCT(--('Repartition stock'!$A$6:$A$433="2026Q3"),--('Repartition stock'!$B$6:$B$433="DK"),--('Repartition stock'!$E$6:$E$433="Millésime"),--('Repartition stock'!$F$6:$F$433="2022"),--('Repartition stock'!$G$6:$G$433="n.d."))&gt;0),"n.d.",SUMPRODUCT(--('Repartition stock'!$A$6:$A$433="2026Q3"),--('Repartition stock'!$B$6:$B$433="DK"),--('Repartition stock'!$E$6:$E$433="Millésime"),--('Repartition stock'!$F$6:$F$433="2022"),'Repartition stock'!$G$6:$G$433)))="n.d.",0,IF(OR(SUMPRODUCT(--('Repartition stock'!$A$6:$A$433="2026Q3"),--('Repartition stock'!$B$6:$B$433="DK"),--('Repartition stock'!$E$6:$E$433="Millésime"),--('Repartition stock'!$F$6:$F$433="2022"))=0,SUMPRODUCT(--('Repartition stock'!$A$6:$A$433="2026Q3"),--('Repartition stock'!$B$6:$B$433="DK"),--('Repartition stock'!$E$6:$E$433="Millésime"),--('Repartition stock'!$F$6:$F$433="2022"),--('Repartition stock'!$G$6:$G$433="n.d."))&gt;0),"n.d.",SUMPRODUCT(--('Repartition stock'!$A$6:$A$433="2026Q3"),--('Repartition stock'!$B$6:$B$433="DK"),--('Repartition stock'!$E$6:$E$433="Millésime"),--('Repartition stock'!$F$6:$F$433="2022"),'Repartition stock'!$G$6:$G$433)))</f>
        <v>0</v>
      </c>
      <c r="Y19" s="8"/>
      <c r="Z19" s="8">
        <f>IF((IF(OR(SUMPRODUCT(--('Repartition stock'!$A$6:$A$433="2026Q3"),--('Repartition stock'!$B$6:$B$433="DK"),--('Repartition stock'!$E$6:$E$433="Millésime"),--('Repartition stock'!$F$6:$F$433="2022"))=0,SUMPRODUCT(--('Repartition stock'!$A$6:$A$433="2026Q3"),--('Repartition stock'!$B$6:$B$433="DK"),--('Repartition stock'!$E$6:$E$433="Millésime"),--('Repartition stock'!$F$6:$F$433="2022"),--('Repartition stock'!$H$6:$H$433="n.d."))&gt;0),"n.d.",SUMPRODUCT(--('Repartition stock'!$A$6:$A$433="2026Q3"),--('Repartition stock'!$B$6:$B$433="DK"),--('Repartition stock'!$E$6:$E$433="Millésime"),--('Repartition stock'!$F$6:$F$433="2022"),'Repartition stock'!$H$6:$H$433)))="n.d.",0,IF(OR(SUMPRODUCT(--('Repartition stock'!$A$6:$A$433="2026Q3"),--('Repartition stock'!$B$6:$B$433="DK"),--('Repartition stock'!$E$6:$E$433="Millésime"),--('Repartition stock'!$F$6:$F$433="2022"))=0,SUMPRODUCT(--('Repartition stock'!$A$6:$A$433="2026Q3"),--('Repartition stock'!$B$6:$B$433="DK"),--('Repartition stock'!$E$6:$E$433="Millésime"),--('Repartition stock'!$F$6:$F$433="2022"),--('Repartition stock'!$H$6:$H$433="n.d."))&gt;0),"n.d.",SUMPRODUCT(--('Repartition stock'!$A$6:$A$433="2026Q3"),--('Repartition stock'!$B$6:$B$433="DK"),--('Repartition stock'!$E$6:$E$433="Millésime"),--('Repartition stock'!$F$6:$F$433="2022"),'Repartition stock'!$H$6:$H$433)))</f>
        <v>0</v>
      </c>
      <c r="AA19" s="8"/>
      <c r="AB19" s="8"/>
      <c r="AC19" s="7">
        <f>IF((IF(OR(COUNT(X19,X24)&lt;&gt;2,X24=0),"n.d.",X19/X24))="n.d.",0,IF(OR(COUNT(X19,X24)&lt;&gt;2,X24=0),"n.d.",X19/X24))</f>
        <v>0.0</v>
      </c>
      <c r="AD19" s="7"/>
      <c r="AE19" s="7">
        <f>IF((IF(OR(COUNT(Z19,Z24)&lt;&gt;2,Z24=0),"n.d.",Z19/Z24))="n.d.",0,IF(OR(COUNT(Z19,Z24)&lt;&gt;2,Z24=0),"n.d.",Z19/Z24))</f>
        <v>0.0</v>
      </c>
      <c r="AF19" s="7"/>
    </row>
    <row r="20" spans="1:32" ht="13.5" customHeight="1">
      <c r="A20" s="13"/>
      <c r="R20" s="4"/>
      <c r="S20" s="4"/>
      <c r="T20" s="4"/>
      <c r="U20" s="16" t="s">
        <v>79</v>
      </c>
      <c r="V20" s="16"/>
      <c r="W20" s="16"/>
      <c r="X20" s="8">
        <f>IF((IF(OR(SUMPRODUCT(--('Repartition stock'!$A$6:$A$433="2026Q3"),--('Repartition stock'!$B$6:$B$433="DK"),--('Repartition stock'!$E$6:$E$433="Millésime"),--('Repartition stock'!$F$6:$F$433="2023"))=0,SUMPRODUCT(--('Repartition stock'!$A$6:$A$433="2026Q3"),--('Repartition stock'!$B$6:$B$433="DK"),--('Repartition stock'!$E$6:$E$433="Millésime"),--('Repartition stock'!$F$6:$F$433="2023"),--('Repartition stock'!$G$6:$G$433="n.d."))&gt;0),"n.d.",SUMPRODUCT(--('Repartition stock'!$A$6:$A$433="2026Q3"),--('Repartition stock'!$B$6:$B$433="DK"),--('Repartition stock'!$E$6:$E$433="Millésime"),--('Repartition stock'!$F$6:$F$433="2023"),'Repartition stock'!$G$6:$G$433)))="n.d.",0,IF(OR(SUMPRODUCT(--('Repartition stock'!$A$6:$A$433="2026Q3"),--('Repartition stock'!$B$6:$B$433="DK"),--('Repartition stock'!$E$6:$E$433="Millésime"),--('Repartition stock'!$F$6:$F$433="2023"))=0,SUMPRODUCT(--('Repartition stock'!$A$6:$A$433="2026Q3"),--('Repartition stock'!$B$6:$B$433="DK"),--('Repartition stock'!$E$6:$E$433="Millésime"),--('Repartition stock'!$F$6:$F$433="2023"),--('Repartition stock'!$G$6:$G$433="n.d."))&gt;0),"n.d.",SUMPRODUCT(--('Repartition stock'!$A$6:$A$433="2026Q3"),--('Repartition stock'!$B$6:$B$433="DK"),--('Repartition stock'!$E$6:$E$433="Millésime"),--('Repartition stock'!$F$6:$F$433="2023"),'Repartition stock'!$G$6:$G$433)))</f>
        <v>0</v>
      </c>
      <c r="Y20" s="8"/>
      <c r="Z20" s="8">
        <f>IF((IF(OR(SUMPRODUCT(--('Repartition stock'!$A$6:$A$433="2026Q3"),--('Repartition stock'!$B$6:$B$433="DK"),--('Repartition stock'!$E$6:$E$433="Millésime"),--('Repartition stock'!$F$6:$F$433="2023"))=0,SUMPRODUCT(--('Repartition stock'!$A$6:$A$433="2026Q3"),--('Repartition stock'!$B$6:$B$433="DK"),--('Repartition stock'!$E$6:$E$433="Millésime"),--('Repartition stock'!$F$6:$F$433="2023"),--('Repartition stock'!$H$6:$H$433="n.d."))&gt;0),"n.d.",SUMPRODUCT(--('Repartition stock'!$A$6:$A$433="2026Q3"),--('Repartition stock'!$B$6:$B$433="DK"),--('Repartition stock'!$E$6:$E$433="Millésime"),--('Repartition stock'!$F$6:$F$433="2023"),'Repartition stock'!$H$6:$H$433)))="n.d.",0,IF(OR(SUMPRODUCT(--('Repartition stock'!$A$6:$A$433="2026Q3"),--('Repartition stock'!$B$6:$B$433="DK"),--('Repartition stock'!$E$6:$E$433="Millésime"),--('Repartition stock'!$F$6:$F$433="2023"))=0,SUMPRODUCT(--('Repartition stock'!$A$6:$A$433="2026Q3"),--('Repartition stock'!$B$6:$B$433="DK"),--('Repartition stock'!$E$6:$E$433="Millésime"),--('Repartition stock'!$F$6:$F$433="2023"),--('Repartition stock'!$H$6:$H$433="n.d."))&gt;0),"n.d.",SUMPRODUCT(--('Repartition stock'!$A$6:$A$433="2026Q3"),--('Repartition stock'!$B$6:$B$433="DK"),--('Repartition stock'!$E$6:$E$433="Millésime"),--('Repartition stock'!$F$6:$F$433="2023"),'Repartition stock'!$H$6:$H$433)))</f>
        <v>0</v>
      </c>
      <c r="AA20" s="8"/>
      <c r="AB20" s="8"/>
      <c r="AC20" s="7">
        <f>IF((IF(OR(COUNT(X20,X24)&lt;&gt;2,X24=0),"n.d.",X20/X24))="n.d.",0,IF(OR(COUNT(X20,X24)&lt;&gt;2,X24=0),"n.d.",X20/X24))</f>
        <v>0.0</v>
      </c>
      <c r="AD20" s="7"/>
      <c r="AE20" s="7">
        <f>IF((IF(OR(COUNT(Z20,Z24)&lt;&gt;2,Z24=0),"n.d.",Z20/Z24))="n.d.",0,IF(OR(COUNT(Z20,Z24)&lt;&gt;2,Z24=0),"n.d.",Z20/Z24))</f>
        <v>0.0</v>
      </c>
      <c r="AF20" s="7"/>
    </row>
    <row r="21" spans="1:32" ht="13.5" customHeight="1">
      <c r="A21" s="13"/>
      <c r="R21" s="4"/>
      <c r="S21" s="4"/>
      <c r="T21" s="4"/>
      <c r="U21" s="16" t="s">
        <v>80</v>
      </c>
      <c r="V21" s="16"/>
      <c r="W21" s="16"/>
      <c r="X21" s="8">
        <f>IF((IF(OR(SUMPRODUCT(--('Repartition stock'!$A$6:$A$433="2026Q3"),--('Repartition stock'!$B$6:$B$433="DK"),--('Repartition stock'!$E$6:$E$433="Millésime"),--('Repartition stock'!$F$6:$F$433="2024"))=0,SUMPRODUCT(--('Repartition stock'!$A$6:$A$433="2026Q3"),--('Repartition stock'!$B$6:$B$433="DK"),--('Repartition stock'!$E$6:$E$433="Millésime"),--('Repartition stock'!$F$6:$F$433="2024"),--('Repartition stock'!$G$6:$G$433="n.d."))&gt;0),"n.d.",SUMPRODUCT(--('Repartition stock'!$A$6:$A$433="2026Q3"),--('Repartition stock'!$B$6:$B$433="DK"),--('Repartition stock'!$E$6:$E$433="Millésime"),--('Repartition stock'!$F$6:$F$433="2024"),'Repartition stock'!$G$6:$G$433)))="n.d.",0,IF(OR(SUMPRODUCT(--('Repartition stock'!$A$6:$A$433="2026Q3"),--('Repartition stock'!$B$6:$B$433="DK"),--('Repartition stock'!$E$6:$E$433="Millésime"),--('Repartition stock'!$F$6:$F$433="2024"))=0,SUMPRODUCT(--('Repartition stock'!$A$6:$A$433="2026Q3"),--('Repartition stock'!$B$6:$B$433="DK"),--('Repartition stock'!$E$6:$E$433="Millésime"),--('Repartition stock'!$F$6:$F$433="2024"),--('Repartition stock'!$G$6:$G$433="n.d."))&gt;0),"n.d.",SUMPRODUCT(--('Repartition stock'!$A$6:$A$433="2026Q3"),--('Repartition stock'!$B$6:$B$433="DK"),--('Repartition stock'!$E$6:$E$433="Millésime"),--('Repartition stock'!$F$6:$F$433="2024"),'Repartition stock'!$G$6:$G$433)))</f>
        <v>0</v>
      </c>
      <c r="Y21" s="8"/>
      <c r="Z21" s="8">
        <f>IF((IF(OR(SUMPRODUCT(--('Repartition stock'!$A$6:$A$433="2026Q3"),--('Repartition stock'!$B$6:$B$433="DK"),--('Repartition stock'!$E$6:$E$433="Millésime"),--('Repartition stock'!$F$6:$F$433="2024"))=0,SUMPRODUCT(--('Repartition stock'!$A$6:$A$433="2026Q3"),--('Repartition stock'!$B$6:$B$433="DK"),--('Repartition stock'!$E$6:$E$433="Millésime"),--('Repartition stock'!$F$6:$F$433="2024"),--('Repartition stock'!$H$6:$H$433="n.d."))&gt;0),"n.d.",SUMPRODUCT(--('Repartition stock'!$A$6:$A$433="2026Q3"),--('Repartition stock'!$B$6:$B$433="DK"),--('Repartition stock'!$E$6:$E$433="Millésime"),--('Repartition stock'!$F$6:$F$433="2024"),'Repartition stock'!$H$6:$H$433)))="n.d.",0,IF(OR(SUMPRODUCT(--('Repartition stock'!$A$6:$A$433="2026Q3"),--('Repartition stock'!$B$6:$B$433="DK"),--('Repartition stock'!$E$6:$E$433="Millésime"),--('Repartition stock'!$F$6:$F$433="2024"))=0,SUMPRODUCT(--('Repartition stock'!$A$6:$A$433="2026Q3"),--('Repartition stock'!$B$6:$B$433="DK"),--('Repartition stock'!$E$6:$E$433="Millésime"),--('Repartition stock'!$F$6:$F$433="2024"),--('Repartition stock'!$H$6:$H$433="n.d."))&gt;0),"n.d.",SUMPRODUCT(--('Repartition stock'!$A$6:$A$433="2026Q3"),--('Repartition stock'!$B$6:$B$433="DK"),--('Repartition stock'!$E$6:$E$433="Millésime"),--('Repartition stock'!$F$6:$F$433="2024"),'Repartition stock'!$H$6:$H$433)))</f>
        <v>0</v>
      </c>
      <c r="AA21" s="8"/>
      <c r="AB21" s="8"/>
      <c r="AC21" s="7">
        <f>IF((IF(OR(COUNT(X21,X24)&lt;&gt;2,X24=0),"n.d.",X21/X24))="n.d.",0,IF(OR(COUNT(X21,X24)&lt;&gt;2,X24=0),"n.d.",X21/X24))</f>
        <v>0.0</v>
      </c>
      <c r="AD21" s="7"/>
      <c r="AE21" s="7">
        <f>IF((IF(OR(COUNT(Z21,Z24)&lt;&gt;2,Z24=0),"n.d.",Z21/Z24))="n.d.",0,IF(OR(COUNT(Z21,Z24)&lt;&gt;2,Z24=0),"n.d.",Z21/Z24))</f>
        <v>0.0</v>
      </c>
      <c r="AF21" s="7"/>
    </row>
    <row r="22" spans="1:32" ht="13.5" customHeight="1">
      <c r="A22" s="13"/>
      <c r="R22" s="4"/>
      <c r="S22" s="4"/>
      <c r="T22" s="4"/>
      <c r="U22" s="16" t="s">
        <v>50</v>
      </c>
      <c r="V22" s="16"/>
      <c r="W22" s="16"/>
      <c r="X22" s="8">
        <f>IF((IF(OR(SUMPRODUCT(--('Repartition stock'!$A$6:$A$433="2026Q3"),--('Repartition stock'!$B$6:$B$433="DK"),--('Repartition stock'!$E$6:$E$433="Millésime"),--('Repartition stock'!$F$6:$F$433="2025"))=0,SUMPRODUCT(--('Repartition stock'!$A$6:$A$433="2026Q3"),--('Repartition stock'!$B$6:$B$433="DK"),--('Repartition stock'!$E$6:$E$433="Millésime"),--('Repartition stock'!$F$6:$F$433="2025"),--('Repartition stock'!$G$6:$G$433="n.d."))&gt;0),"n.d.",SUMPRODUCT(--('Repartition stock'!$A$6:$A$433="2026Q3"),--('Repartition stock'!$B$6:$B$433="DK"),--('Repartition stock'!$E$6:$E$433="Millésime"),--('Repartition stock'!$F$6:$F$433="2025"),'Repartition stock'!$G$6:$G$433)))="n.d.",0,IF(OR(SUMPRODUCT(--('Repartition stock'!$A$6:$A$433="2026Q3"),--('Repartition stock'!$B$6:$B$433="DK"),--('Repartition stock'!$E$6:$E$433="Millésime"),--('Repartition stock'!$F$6:$F$433="2025"))=0,SUMPRODUCT(--('Repartition stock'!$A$6:$A$433="2026Q3"),--('Repartition stock'!$B$6:$B$433="DK"),--('Repartition stock'!$E$6:$E$433="Millésime"),--('Repartition stock'!$F$6:$F$433="2025"),--('Repartition stock'!$G$6:$G$433="n.d."))&gt;0),"n.d.",SUMPRODUCT(--('Repartition stock'!$A$6:$A$433="2026Q3"),--('Repartition stock'!$B$6:$B$433="DK"),--('Repartition stock'!$E$6:$E$433="Millésime"),--('Repartition stock'!$F$6:$F$433="2025"),'Repartition stock'!$G$6:$G$433)))</f>
        <v>0</v>
      </c>
      <c r="Y22" s="8"/>
      <c r="Z22" s="8">
        <f>IF((IF(OR(SUMPRODUCT(--('Repartition stock'!$A$6:$A$433="2026Q3"),--('Repartition stock'!$B$6:$B$433="DK"),--('Repartition stock'!$E$6:$E$433="Millésime"),--('Repartition stock'!$F$6:$F$433="2025"))=0,SUMPRODUCT(--('Repartition stock'!$A$6:$A$433="2026Q3"),--('Repartition stock'!$B$6:$B$433="DK"),--('Repartition stock'!$E$6:$E$433="Millésime"),--('Repartition stock'!$F$6:$F$433="2025"),--('Repartition stock'!$H$6:$H$433="n.d."))&gt;0),"n.d.",SUMPRODUCT(--('Repartition stock'!$A$6:$A$433="2026Q3"),--('Repartition stock'!$B$6:$B$433="DK"),--('Repartition stock'!$E$6:$E$433="Millésime"),--('Repartition stock'!$F$6:$F$433="2025"),'Repartition stock'!$H$6:$H$433)))="n.d.",0,IF(OR(SUMPRODUCT(--('Repartition stock'!$A$6:$A$433="2026Q3"),--('Repartition stock'!$B$6:$B$433="DK"),--('Repartition stock'!$E$6:$E$433="Millésime"),--('Repartition stock'!$F$6:$F$433="2025"))=0,SUMPRODUCT(--('Repartition stock'!$A$6:$A$433="2026Q3"),--('Repartition stock'!$B$6:$B$433="DK"),--('Repartition stock'!$E$6:$E$433="Millésime"),--('Repartition stock'!$F$6:$F$433="2025"),--('Repartition stock'!$H$6:$H$433="n.d."))&gt;0),"n.d.",SUMPRODUCT(--('Repartition stock'!$A$6:$A$433="2026Q3"),--('Repartition stock'!$B$6:$B$433="DK"),--('Repartition stock'!$E$6:$E$433="Millésime"),--('Repartition stock'!$F$6:$F$433="2025"),'Repartition stock'!$H$6:$H$433)))</f>
        <v>0</v>
      </c>
      <c r="AA22" s="8"/>
      <c r="AB22" s="8"/>
      <c r="AC22" s="7">
        <f>IF((IF(OR(COUNT(X22,X24)&lt;&gt;2,X24=0),"n.d.",X22/X24))="n.d.",0,IF(OR(COUNT(X22,X24)&lt;&gt;2,X24=0),"n.d.",X22/X24))</f>
        <v>0.0</v>
      </c>
      <c r="AD22" s="7"/>
      <c r="AE22" s="7">
        <f>IF((IF(OR(COUNT(Z22,Z24)&lt;&gt;2,Z24=0),"n.d.",Z22/Z24))="n.d.",0,IF(OR(COUNT(Z22,Z24)&lt;&gt;2,Z24=0),"n.d.",Z22/Z24))</f>
        <v>0.0</v>
      </c>
      <c r="AF22" s="7"/>
    </row>
    <row r="23" spans="1:32" ht="13.5" customHeight="1">
      <c r="A23" s="13"/>
      <c r="R23" s="4"/>
      <c r="S23" s="4"/>
      <c r="T23" s="4"/>
      <c r="U23" s="16" t="s">
        <v>51</v>
      </c>
      <c r="V23" s="16"/>
      <c r="W23" s="16"/>
      <c r="X23" s="8">
        <f>IF((IF(OR(SUMPRODUCT(--('Repartition stock'!$A$6:$A$433="2026Q3"),--('Repartition stock'!$B$6:$B$433="DK"),--('Repartition stock'!$E$6:$E$433="Millésime"),--('Repartition stock'!$F$6:$F$433="2026"))=0,SUMPRODUCT(--('Repartition stock'!$A$6:$A$433="2026Q3"),--('Repartition stock'!$B$6:$B$433="DK"),--('Repartition stock'!$E$6:$E$433="Millésime"),--('Repartition stock'!$F$6:$F$433="2026"),--('Repartition stock'!$G$6:$G$433="n.d."))&gt;0),"n.d.",SUMPRODUCT(--('Repartition stock'!$A$6:$A$433="2026Q3"),--('Repartition stock'!$B$6:$B$433="DK"),--('Repartition stock'!$E$6:$E$433="Millésime"),--('Repartition stock'!$F$6:$F$433="2026"),'Repartition stock'!$G$6:$G$433)))="n.d.",0,IF(OR(SUMPRODUCT(--('Repartition stock'!$A$6:$A$433="2026Q3"),--('Repartition stock'!$B$6:$B$433="DK"),--('Repartition stock'!$E$6:$E$433="Millésime"),--('Repartition stock'!$F$6:$F$433="2026"))=0,SUMPRODUCT(--('Repartition stock'!$A$6:$A$433="2026Q3"),--('Repartition stock'!$B$6:$B$433="DK"),--('Repartition stock'!$E$6:$E$433="Millésime"),--('Repartition stock'!$F$6:$F$433="2026"),--('Repartition stock'!$G$6:$G$433="n.d."))&gt;0),"n.d.",SUMPRODUCT(--('Repartition stock'!$A$6:$A$433="2026Q3"),--('Repartition stock'!$B$6:$B$433="DK"),--('Repartition stock'!$E$6:$E$433="Millésime"),--('Repartition stock'!$F$6:$F$433="2026"),'Repartition stock'!$G$6:$G$433)))</f>
        <v>128</v>
      </c>
      <c r="Y23" s="8"/>
      <c r="Z23" s="8">
        <f>IF((IF(OR(SUMPRODUCT(--('Repartition stock'!$A$6:$A$433="2026Q3"),--('Repartition stock'!$B$6:$B$433="DK"),--('Repartition stock'!$E$6:$E$433="Millésime"),--('Repartition stock'!$F$6:$F$433="2026"))=0,SUMPRODUCT(--('Repartition stock'!$A$6:$A$433="2026Q3"),--('Repartition stock'!$B$6:$B$433="DK"),--('Repartition stock'!$E$6:$E$433="Millésime"),--('Repartition stock'!$F$6:$F$433="2026"),--('Repartition stock'!$H$6:$H$433="n.d."))&gt;0),"n.d.",SUMPRODUCT(--('Repartition stock'!$A$6:$A$433="2026Q3"),--('Repartition stock'!$B$6:$B$433="DK"),--('Repartition stock'!$E$6:$E$433="Millésime"),--('Repartition stock'!$F$6:$F$433="2026"),'Repartition stock'!$H$6:$H$433)))="n.d.",0,IF(OR(SUMPRODUCT(--('Repartition stock'!$A$6:$A$433="2026Q3"),--('Repartition stock'!$B$6:$B$433="DK"),--('Repartition stock'!$E$6:$E$433="Millésime"),--('Repartition stock'!$F$6:$F$433="2026"))=0,SUMPRODUCT(--('Repartition stock'!$A$6:$A$433="2026Q3"),--('Repartition stock'!$B$6:$B$433="DK"),--('Repartition stock'!$E$6:$E$433="Millésime"),--('Repartition stock'!$F$6:$F$433="2026"),--('Repartition stock'!$H$6:$H$433="n.d."))&gt;0),"n.d.",SUMPRODUCT(--('Repartition stock'!$A$6:$A$433="2026Q3"),--('Repartition stock'!$B$6:$B$433="DK"),--('Repartition stock'!$E$6:$E$433="Millésime"),--('Repartition stock'!$F$6:$F$433="2026"),'Repartition stock'!$H$6:$H$433)))</f>
        <v>16166.709999999995</v>
      </c>
      <c r="AA23" s="8"/>
      <c r="AB23" s="8"/>
      <c r="AC23" s="7">
        <f>IF((IF(OR(COUNT(X23,X24)&lt;&gt;2,X24=0),"n.d.",X23/X24))="n.d.",0,IF(OR(COUNT(X23,X24)&lt;&gt;2,X24=0),"n.d.",X23/X24))</f>
        <v>1.0</v>
      </c>
      <c r="AD23" s="7"/>
      <c r="AE23" s="7">
        <f>IF((IF(OR(COUNT(Z23,Z24)&lt;&gt;2,Z24=0),"n.d.",Z23/Z24))="n.d.",0,IF(OR(COUNT(Z23,Z24)&lt;&gt;2,Z24=0),"n.d.",Z23/Z24))</f>
        <v>1.0</v>
      </c>
      <c r="AF23" s="7"/>
    </row>
    <row r="24" spans="1:32" ht="13.5" customHeight="1">
      <c r="A24" s="13"/>
      <c r="R24" s="17" t="s">
        <v>71</v>
      </c>
      <c r="S24" s="17"/>
      <c r="T24" s="17"/>
      <c r="U24" s="17"/>
      <c r="V24" s="17"/>
      <c r="W24" s="17"/>
      <c r="X24" s="17">
        <f>IF((IF(COUNT(X14:X23)=10,SUM(X14:X23),"n.d."))="n.d.",0,IF(COUNT(X14:X23)=10,SUM(X14:X23),"n.d."))</f>
        <v>128</v>
      </c>
      <c r="Y24" s="17"/>
      <c r="Z24" s="17">
        <f>IF((IF(COUNT(Z14:Z23)=10,SUM(Z14:Z23),"n.d."))="n.d.",0,IF(COUNT(Z14:Z23)=10,SUM(Z14:Z23),"n.d."))</f>
        <v>16166.709999999995</v>
      </c>
      <c r="AA24" s="17"/>
      <c r="AB24" s="17"/>
      <c r="AC24" s="10">
        <f>IF((IF(OR(NOT(ISNUMBER(X24)),X24=0),"n.d.",1))="n.d.",0,IF(OR(NOT(ISNUMBER(X24)),X24=0),"n.d.",1))</f>
        <v>1.0</v>
      </c>
      <c r="AD24" s="10"/>
      <c r="AE24" s="10">
        <f>IF((IF(OR(NOT(ISNUMBER(Z24)),Z24=0),"n.d.",1))="n.d.",0,IF(OR(NOT(ISNUMBER(Z24)),Z24=0),"n.d.",1))</f>
        <v>1.0</v>
      </c>
      <c r="AF24" s="10"/>
    </row>
    <row r="25" spans="1:32" ht="13.5" customHeight="1">
      <c r="A25" s="13"/>
    </row>
    <row r="26" spans="1:32" ht="13.5" customHeight="1">
      <c r="A26" s="13"/>
    </row>
    <row r="27" spans="1:32" ht="13.5" customHeight="1">
      <c r="A27" s="13"/>
    </row>
    <row r="28" spans="1:32" ht="13.5" customHeight="1">
      <c r="A28" s="13"/>
    </row>
    <row r="29" spans="1:32" ht="13.5" customHeight="1">
      <c r="A29" s="13"/>
    </row>
    <row r="30" spans="1:32" ht="13.5" customHeight="1">
      <c r="A30" s="13"/>
      <c r="B30" s="11" t="str">
        <f>"Average monthly new flow: "&amp;IF(ISNUMBER('GraphData'!A275),TEXT('GraphData'!A275,"#,##0"),"0")&amp;" DKK. Average balance per contract: "&amp;IF(ISNUMBER('GraphData'!B275),TEXT('GraphData'!B275,"#,##0"),"0")&amp;" DKK."</f>
        <v>Average monthly new flow: 96,827 DKK. Average balance per contract: 214 DKK.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tr">
        <f>"Oldest cohort (M-5): "&amp;IF(ISNUMBER('GraphData'!C275),TEXT('GraphData'!C275,"0.0%"),"0")&amp;" treated in amount and "&amp;IF(ISNUMBER('GraphData'!D275),TEXT('GraphData'!D275,"0.0%"),"0")&amp;" in number."</f>
        <v>Oldest cohort (M-5): 100.0% treated in amount and 100.0% in number.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tr">
        <f>"Stock to process: "&amp;IF(ISNUMBER('GraphData'!E275),TEXT('GraphData'!E275,"#,##0"),"0")&amp;" DKK. Identified stock: "&amp;IF(ISNUMBER('GraphData'!F275),TEXT('GraphData'!F275,"#,##0"),"0")&amp;" DKK."</f>
        <v>Stock to process: 16,167 DKK. Identified stock: 16,167 DKK.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125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126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127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128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65</v>
      </c>
      <c r="S7" s="4"/>
      <c r="T7" s="4"/>
      <c r="U7" s="16" t="s">
        <v>129</v>
      </c>
      <c r="V7" s="16"/>
      <c r="W7" s="16"/>
      <c r="X7" s="8">
        <f>IF((IF(OR(SUMPRODUCT(--('Repartition stock'!$A$6:$A$433="2026Q3"),--('Repartition stock'!$B$6:$B$433="NO"),--('Repartition stock'!$E$6:$E$433="Tranche"),--('Repartition stock'!$F$6:$F$433="0 - 10,9 Kr"))=0,SUMPRODUCT(--('Repartition stock'!$A$6:$A$433="2026Q3"),--('Repartition stock'!$B$6:$B$433="NO"),--('Repartition stock'!$E$6:$E$433="Tranche"),--('Repartition stock'!$F$6:$F$433="0 - 10,9 Kr"),--('Repartition stock'!$G$6:$G$433="n.d."))&gt;0),"n.d.",SUMPRODUCT(--('Repartition stock'!$A$6:$A$433="2026Q3"),--('Repartition stock'!$B$6:$B$433="NO"),--('Repartition stock'!$E$6:$E$433="Tranche"),--('Repartition stock'!$F$6:$F$433="0 - 10,9 Kr"),'Repartition stock'!$G$6:$G$433)))="n.d.",0,IF(OR(SUMPRODUCT(--('Repartition stock'!$A$6:$A$433="2026Q3"),--('Repartition stock'!$B$6:$B$433="NO"),--('Repartition stock'!$E$6:$E$433="Tranche"),--('Repartition stock'!$F$6:$F$433="0 - 10,9 Kr"))=0,SUMPRODUCT(--('Repartition stock'!$A$6:$A$433="2026Q3"),--('Repartition stock'!$B$6:$B$433="NO"),--('Repartition stock'!$E$6:$E$433="Tranche"),--('Repartition stock'!$F$6:$F$433="0 - 10,9 Kr"),--('Repartition stock'!$G$6:$G$433="n.d."))&gt;0),"n.d.",SUMPRODUCT(--('Repartition stock'!$A$6:$A$433="2026Q3"),--('Repartition stock'!$B$6:$B$433="NO"),--('Repartition stock'!$E$6:$E$433="Tranche"),--('Repartition stock'!$F$6:$F$433="0 - 10,9 Kr"),'Repartition stock'!$G$6:$G$433)))</f>
        <v>61</v>
      </c>
      <c r="Y7" s="8"/>
      <c r="Z7" s="8">
        <f>IF((IF(OR(SUMPRODUCT(--('Repartition stock'!$A$6:$A$433="2026Q3"),--('Repartition stock'!$B$6:$B$433="NO"),--('Repartition stock'!$E$6:$E$433="Tranche"),--('Repartition stock'!$F$6:$F$433="0 - 10,9 Kr"))=0,SUMPRODUCT(--('Repartition stock'!$A$6:$A$433="2026Q3"),--('Repartition stock'!$B$6:$B$433="NO"),--('Repartition stock'!$E$6:$E$433="Tranche"),--('Repartition stock'!$F$6:$F$433="0 - 10,9 Kr"),--('Repartition stock'!$H$6:$H$433="n.d."))&gt;0),"n.d.",SUMPRODUCT(--('Repartition stock'!$A$6:$A$433="2026Q3"),--('Repartition stock'!$B$6:$B$433="NO"),--('Repartition stock'!$E$6:$E$433="Tranche"),--('Repartition stock'!$F$6:$F$433="0 - 10,9 Kr"),'Repartition stock'!$H$6:$H$433)))="n.d.",0,IF(OR(SUMPRODUCT(--('Repartition stock'!$A$6:$A$433="2026Q3"),--('Repartition stock'!$B$6:$B$433="NO"),--('Repartition stock'!$E$6:$E$433="Tranche"),--('Repartition stock'!$F$6:$F$433="0 - 10,9 Kr"))=0,SUMPRODUCT(--('Repartition stock'!$A$6:$A$433="2026Q3"),--('Repartition stock'!$B$6:$B$433="NO"),--('Repartition stock'!$E$6:$E$433="Tranche"),--('Repartition stock'!$F$6:$F$433="0 - 10,9 Kr"),--('Repartition stock'!$H$6:$H$433="n.d."))&gt;0),"n.d.",SUMPRODUCT(--('Repartition stock'!$A$6:$A$433="2026Q3"),--('Repartition stock'!$B$6:$B$433="NO"),--('Repartition stock'!$E$6:$E$433="Tranche"),--('Repartition stock'!$F$6:$F$433="0 - 10,9 Kr"),'Repartition stock'!$H$6:$H$433)))</f>
        <v>276.72000000000014</v>
      </c>
      <c r="AA7" s="8"/>
      <c r="AB7" s="8"/>
      <c r="AC7" s="7">
        <f>IF((IF(OR(COUNT(X7,X12)&lt;&gt;2,X12=0),"n.d.",X7/X12))="n.d.",0,IF(OR(COUNT(X7,X12)&lt;&gt;2,X12=0),"n.d.",X7/X12))</f>
        <v>0.5258620689655172</v>
      </c>
      <c r="AD7" s="7"/>
      <c r="AE7" s="7">
        <f>IF((IF(OR(COUNT(Z7,Z12)&lt;&gt;2,Z12=0),"n.d.",Z7/Z12))="n.d.",0,IF(OR(COUNT(Z7,Z12)&lt;&gt;2,Z12=0),"n.d.",Z7/Z12))</f>
        <v>0.01253028764146497</v>
      </c>
      <c r="AF7" s="7"/>
    </row>
    <row r="8" spans="1:32" ht="13.5" customHeight="1">
      <c r="A8" s="13"/>
      <c r="R8" s="4"/>
      <c r="S8" s="4"/>
      <c r="T8" s="4"/>
      <c r="U8" s="16" t="s">
        <v>130</v>
      </c>
      <c r="V8" s="16"/>
      <c r="W8" s="16"/>
      <c r="X8" s="8">
        <f>IF((IF(OR(SUMPRODUCT(--('Repartition stock'!$A$6:$A$433="2026Q3"),--('Repartition stock'!$B$6:$B$433="NO"),--('Repartition stock'!$E$6:$E$433="Tranche"),--('Repartition stock'!$F$6:$F$433="10,9 - 109 Kr"))=0,SUMPRODUCT(--('Repartition stock'!$A$6:$A$433="2026Q3"),--('Repartition stock'!$B$6:$B$433="NO"),--('Repartition stock'!$E$6:$E$433="Tranche"),--('Repartition stock'!$F$6:$F$433="10,9 - 109 Kr"),--('Repartition stock'!$G$6:$G$433="n.d."))&gt;0),"n.d.",SUMPRODUCT(--('Repartition stock'!$A$6:$A$433="2026Q3"),--('Repartition stock'!$B$6:$B$433="NO"),--('Repartition stock'!$E$6:$E$433="Tranche"),--('Repartition stock'!$F$6:$F$433="10,9 - 109 Kr"),'Repartition stock'!$G$6:$G$433)))="n.d.",0,IF(OR(SUMPRODUCT(--('Repartition stock'!$A$6:$A$433="2026Q3"),--('Repartition stock'!$B$6:$B$433="NO"),--('Repartition stock'!$E$6:$E$433="Tranche"),--('Repartition stock'!$F$6:$F$433="10,9 - 109 Kr"))=0,SUMPRODUCT(--('Repartition stock'!$A$6:$A$433="2026Q3"),--('Repartition stock'!$B$6:$B$433="NO"),--('Repartition stock'!$E$6:$E$433="Tranche"),--('Repartition stock'!$F$6:$F$433="10,9 - 109 Kr"),--('Repartition stock'!$G$6:$G$433="n.d."))&gt;0),"n.d.",SUMPRODUCT(--('Repartition stock'!$A$6:$A$433="2026Q3"),--('Repartition stock'!$B$6:$B$433="NO"),--('Repartition stock'!$E$6:$E$433="Tranche"),--('Repartition stock'!$F$6:$F$433="10,9 - 109 Kr"),'Repartition stock'!$G$6:$G$433)))</f>
        <v>33</v>
      </c>
      <c r="Y8" s="8"/>
      <c r="Z8" s="8">
        <f>IF((IF(OR(SUMPRODUCT(--('Repartition stock'!$A$6:$A$433="2026Q3"),--('Repartition stock'!$B$6:$B$433="NO"),--('Repartition stock'!$E$6:$E$433="Tranche"),--('Repartition stock'!$F$6:$F$433="10,9 - 109 Kr"))=0,SUMPRODUCT(--('Repartition stock'!$A$6:$A$433="2026Q3"),--('Repartition stock'!$B$6:$B$433="NO"),--('Repartition stock'!$E$6:$E$433="Tranche"),--('Repartition stock'!$F$6:$F$433="10,9 - 109 Kr"),--('Repartition stock'!$H$6:$H$433="n.d."))&gt;0),"n.d.",SUMPRODUCT(--('Repartition stock'!$A$6:$A$433="2026Q3"),--('Repartition stock'!$B$6:$B$433="NO"),--('Repartition stock'!$E$6:$E$433="Tranche"),--('Repartition stock'!$F$6:$F$433="10,9 - 109 Kr"),'Repartition stock'!$H$6:$H$433)))="n.d.",0,IF(OR(SUMPRODUCT(--('Repartition stock'!$A$6:$A$433="2026Q3"),--('Repartition stock'!$B$6:$B$433="NO"),--('Repartition stock'!$E$6:$E$433="Tranche"),--('Repartition stock'!$F$6:$F$433="10,9 - 109 Kr"))=0,SUMPRODUCT(--('Repartition stock'!$A$6:$A$433="2026Q3"),--('Repartition stock'!$B$6:$B$433="NO"),--('Repartition stock'!$E$6:$E$433="Tranche"),--('Repartition stock'!$F$6:$F$433="10,9 - 109 Kr"),--('Repartition stock'!$H$6:$H$433="n.d."))&gt;0),"n.d.",SUMPRODUCT(--('Repartition stock'!$A$6:$A$433="2026Q3"),--('Repartition stock'!$B$6:$B$433="NO"),--('Repartition stock'!$E$6:$E$433="Tranche"),--('Repartition stock'!$F$6:$F$433="10,9 - 109 Kr"),'Repartition stock'!$H$6:$H$433)))</f>
        <v>1069.5200000000002</v>
      </c>
      <c r="AA8" s="8"/>
      <c r="AB8" s="8"/>
      <c r="AC8" s="7">
        <f>IF((IF(OR(COUNT(X8,X12)&lt;&gt;2,X12=0),"n.d.",X8/X12))="n.d.",0,IF(OR(COUNT(X8,X12)&lt;&gt;2,X12=0),"n.d.",X8/X12))</f>
        <v>0.28448275862068967</v>
      </c>
      <c r="AD8" s="7"/>
      <c r="AE8" s="7">
        <f>IF((IF(OR(COUNT(Z8,Z12)&lt;&gt;2,Z12=0),"n.d.",Z8/Z12))="n.d.",0,IF(OR(COUNT(Z8,Z12)&lt;&gt;2,Z12=0),"n.d.",Z8/Z12))</f>
        <v>0.04842943494615355</v>
      </c>
      <c r="AF8" s="7"/>
    </row>
    <row r="9" spans="1:32" ht="13.5" customHeight="1">
      <c r="A9" s="13"/>
      <c r="R9" s="4"/>
      <c r="S9" s="4"/>
      <c r="T9" s="4"/>
      <c r="U9" s="16" t="s">
        <v>131</v>
      </c>
      <c r="V9" s="16"/>
      <c r="W9" s="16"/>
      <c r="X9" s="8">
        <f>IF((IF(OR(SUMPRODUCT(--('Repartition stock'!$A$6:$A$433="2026Q3"),--('Repartition stock'!$B$6:$B$433="NO"),--('Repartition stock'!$E$6:$E$433="Tranche"),--('Repartition stock'!$F$6:$F$433="109 - 1090 Kr"))=0,SUMPRODUCT(--('Repartition stock'!$A$6:$A$433="2026Q3"),--('Repartition stock'!$B$6:$B$433="NO"),--('Repartition stock'!$E$6:$E$433="Tranche"),--('Repartition stock'!$F$6:$F$433="109 - 1090 Kr"),--('Repartition stock'!$G$6:$G$433="n.d."))&gt;0),"n.d.",SUMPRODUCT(--('Repartition stock'!$A$6:$A$433="2026Q3"),--('Repartition stock'!$B$6:$B$433="NO"),--('Repartition stock'!$E$6:$E$433="Tranche"),--('Repartition stock'!$F$6:$F$433="109 - 1090 Kr"),'Repartition stock'!$G$6:$G$433)))="n.d.",0,IF(OR(SUMPRODUCT(--('Repartition stock'!$A$6:$A$433="2026Q3"),--('Repartition stock'!$B$6:$B$433="NO"),--('Repartition stock'!$E$6:$E$433="Tranche"),--('Repartition stock'!$F$6:$F$433="109 - 1090 Kr"))=0,SUMPRODUCT(--('Repartition stock'!$A$6:$A$433="2026Q3"),--('Repartition stock'!$B$6:$B$433="NO"),--('Repartition stock'!$E$6:$E$433="Tranche"),--('Repartition stock'!$F$6:$F$433="109 - 1090 Kr"),--('Repartition stock'!$G$6:$G$433="n.d."))&gt;0),"n.d.",SUMPRODUCT(--('Repartition stock'!$A$6:$A$433="2026Q3"),--('Repartition stock'!$B$6:$B$433="NO"),--('Repartition stock'!$E$6:$E$433="Tranche"),--('Repartition stock'!$F$6:$F$433="109 - 1090 Kr"),'Repartition stock'!$G$6:$G$433)))</f>
        <v>16</v>
      </c>
      <c r="Y9" s="8"/>
      <c r="Z9" s="8">
        <f>IF((IF(OR(SUMPRODUCT(--('Repartition stock'!$A$6:$A$433="2026Q3"),--('Repartition stock'!$B$6:$B$433="NO"),--('Repartition stock'!$E$6:$E$433="Tranche"),--('Repartition stock'!$F$6:$F$433="109 - 1090 Kr"))=0,SUMPRODUCT(--('Repartition stock'!$A$6:$A$433="2026Q3"),--('Repartition stock'!$B$6:$B$433="NO"),--('Repartition stock'!$E$6:$E$433="Tranche"),--('Repartition stock'!$F$6:$F$433="109 - 1090 Kr"),--('Repartition stock'!$H$6:$H$433="n.d."))&gt;0),"n.d.",SUMPRODUCT(--('Repartition stock'!$A$6:$A$433="2026Q3"),--('Repartition stock'!$B$6:$B$433="NO"),--('Repartition stock'!$E$6:$E$433="Tranche"),--('Repartition stock'!$F$6:$F$433="109 - 1090 Kr"),'Repartition stock'!$H$6:$H$433)))="n.d.",0,IF(OR(SUMPRODUCT(--('Repartition stock'!$A$6:$A$433="2026Q3"),--('Repartition stock'!$B$6:$B$433="NO"),--('Repartition stock'!$E$6:$E$433="Tranche"),--('Repartition stock'!$F$6:$F$433="109 - 1090 Kr"))=0,SUMPRODUCT(--('Repartition stock'!$A$6:$A$433="2026Q3"),--('Repartition stock'!$B$6:$B$433="NO"),--('Repartition stock'!$E$6:$E$433="Tranche"),--('Repartition stock'!$F$6:$F$433="109 - 1090 Kr"),--('Repartition stock'!$H$6:$H$433="n.d."))&gt;0),"n.d.",SUMPRODUCT(--('Repartition stock'!$A$6:$A$433="2026Q3"),--('Repartition stock'!$B$6:$B$433="NO"),--('Repartition stock'!$E$6:$E$433="Tranche"),--('Repartition stock'!$F$6:$F$433="109 - 1090 Kr"),'Repartition stock'!$H$6:$H$433)))</f>
        <v>6367.8099999999995</v>
      </c>
      <c r="AA9" s="8"/>
      <c r="AB9" s="8"/>
      <c r="AC9" s="7">
        <f>IF((IF(OR(COUNT(X9,X12)&lt;&gt;2,X12=0),"n.d.",X9/X12))="n.d.",0,IF(OR(COUNT(X9,X12)&lt;&gt;2,X12=0),"n.d.",X9/X12))</f>
        <v>0.13793103448275862</v>
      </c>
      <c r="AD9" s="7"/>
      <c r="AE9" s="7">
        <f>IF((IF(OR(COUNT(Z9,Z12)&lt;&gt;2,Z12=0),"n.d.",Z9/Z12))="n.d.",0,IF(OR(COUNT(Z9,Z12)&lt;&gt;2,Z12=0),"n.d.",Z9/Z12))</f>
        <v>0.28834378052253906</v>
      </c>
      <c r="AF9" s="7"/>
    </row>
    <row r="10" spans="1:32" ht="13.5" customHeight="1">
      <c r="A10" s="13"/>
      <c r="R10" s="4"/>
      <c r="S10" s="4"/>
      <c r="T10" s="4"/>
      <c r="U10" s="16" t="s">
        <v>132</v>
      </c>
      <c r="V10" s="16"/>
      <c r="W10" s="16"/>
      <c r="X10" s="8">
        <f>IF((IF(OR(SUMPRODUCT(--('Repartition stock'!$A$6:$A$433="2026Q3"),--('Repartition stock'!$B$6:$B$433="NO"),--('Repartition stock'!$E$6:$E$433="Tranche"),--('Repartition stock'!$F$6:$F$433="1090 - 10902 Kr"))=0,SUMPRODUCT(--('Repartition stock'!$A$6:$A$433="2026Q3"),--('Repartition stock'!$B$6:$B$433="NO"),--('Repartition stock'!$E$6:$E$433="Tranche"),--('Repartition stock'!$F$6:$F$433="1090 - 10902 Kr"),--('Repartition stock'!$G$6:$G$433="n.d."))&gt;0),"n.d.",SUMPRODUCT(--('Repartition stock'!$A$6:$A$433="2026Q3"),--('Repartition stock'!$B$6:$B$433="NO"),--('Repartition stock'!$E$6:$E$433="Tranche"),--('Repartition stock'!$F$6:$F$433="1090 - 10902 Kr"),'Repartition stock'!$G$6:$G$433)))="n.d.",0,IF(OR(SUMPRODUCT(--('Repartition stock'!$A$6:$A$433="2026Q3"),--('Repartition stock'!$B$6:$B$433="NO"),--('Repartition stock'!$E$6:$E$433="Tranche"),--('Repartition stock'!$F$6:$F$433="1090 - 10902 Kr"))=0,SUMPRODUCT(--('Repartition stock'!$A$6:$A$433="2026Q3"),--('Repartition stock'!$B$6:$B$433="NO"),--('Repartition stock'!$E$6:$E$433="Tranche"),--('Repartition stock'!$F$6:$F$433="1090 - 10902 Kr"),--('Repartition stock'!$G$6:$G$433="n.d."))&gt;0),"n.d.",SUMPRODUCT(--('Repartition stock'!$A$6:$A$433="2026Q3"),--('Repartition stock'!$B$6:$B$433="NO"),--('Repartition stock'!$E$6:$E$433="Tranche"),--('Repartition stock'!$F$6:$F$433="1090 - 10902 Kr"),'Repartition stock'!$G$6:$G$433)))</f>
        <v>6</v>
      </c>
      <c r="Y10" s="8"/>
      <c r="Z10" s="8">
        <f>IF((IF(OR(SUMPRODUCT(--('Repartition stock'!$A$6:$A$433="2026Q3"),--('Repartition stock'!$B$6:$B$433="NO"),--('Repartition stock'!$E$6:$E$433="Tranche"),--('Repartition stock'!$F$6:$F$433="1090 - 10902 Kr"))=0,SUMPRODUCT(--('Repartition stock'!$A$6:$A$433="2026Q3"),--('Repartition stock'!$B$6:$B$433="NO"),--('Repartition stock'!$E$6:$E$433="Tranche"),--('Repartition stock'!$F$6:$F$433="1090 - 10902 Kr"),--('Repartition stock'!$H$6:$H$433="n.d."))&gt;0),"n.d.",SUMPRODUCT(--('Repartition stock'!$A$6:$A$433="2026Q3"),--('Repartition stock'!$B$6:$B$433="NO"),--('Repartition stock'!$E$6:$E$433="Tranche"),--('Repartition stock'!$F$6:$F$433="1090 - 10902 Kr"),'Repartition stock'!$H$6:$H$433)))="n.d.",0,IF(OR(SUMPRODUCT(--('Repartition stock'!$A$6:$A$433="2026Q3"),--('Repartition stock'!$B$6:$B$433="NO"),--('Repartition stock'!$E$6:$E$433="Tranche"),--('Repartition stock'!$F$6:$F$433="1090 - 10902 Kr"))=0,SUMPRODUCT(--('Repartition stock'!$A$6:$A$433="2026Q3"),--('Repartition stock'!$B$6:$B$433="NO"),--('Repartition stock'!$E$6:$E$433="Tranche"),--('Repartition stock'!$F$6:$F$433="1090 - 10902 Kr"),--('Repartition stock'!$H$6:$H$433="n.d."))&gt;0),"n.d.",SUMPRODUCT(--('Repartition stock'!$A$6:$A$433="2026Q3"),--('Repartition stock'!$B$6:$B$433="NO"),--('Repartition stock'!$E$6:$E$433="Tranche"),--('Repartition stock'!$F$6:$F$433="1090 - 10902 Kr"),'Repartition stock'!$H$6:$H$433)))</f>
        <v>14370.04</v>
      </c>
      <c r="AA10" s="8"/>
      <c r="AB10" s="8"/>
      <c r="AC10" s="7">
        <f>IF((IF(OR(COUNT(X10,X12)&lt;&gt;2,X12=0),"n.d.",X10/X12))="n.d.",0,IF(OR(COUNT(X10,X12)&lt;&gt;2,X12=0),"n.d.",X10/X12))</f>
        <v>0.05172413793103448</v>
      </c>
      <c r="AD10" s="7"/>
      <c r="AE10" s="7">
        <f>IF((IF(OR(COUNT(Z10,Z12)&lt;&gt;2,Z12=0),"n.d.",Z10/Z12))="n.d.",0,IF(OR(COUNT(Z10,Z12)&lt;&gt;2,Z12=0),"n.d.",Z10/Z12))</f>
        <v>0.6506964968898424</v>
      </c>
      <c r="AF10" s="7"/>
    </row>
    <row r="11" spans="1:32" ht="13.5" customHeight="1">
      <c r="A11" s="13"/>
      <c r="R11" s="4"/>
      <c r="S11" s="4"/>
      <c r="T11" s="4"/>
      <c r="U11" s="16" t="s">
        <v>133</v>
      </c>
      <c r="V11" s="16"/>
      <c r="W11" s="16"/>
      <c r="X11" s="8">
        <f>IF((IF(OR(SUMPRODUCT(--('Repartition stock'!$A$6:$A$433="2026Q3"),--('Repartition stock'!$B$6:$B$433="NO"),--('Repartition stock'!$E$6:$E$433="Tranche"),--('Repartition stock'!$F$6:$F$433="&gt;10902 Kr"))=0,SUMPRODUCT(--('Repartition stock'!$A$6:$A$433="2026Q3"),--('Repartition stock'!$B$6:$B$433="NO"),--('Repartition stock'!$E$6:$E$433="Tranche"),--('Repartition stock'!$F$6:$F$433="&gt;10902 Kr"),--('Repartition stock'!$G$6:$G$433="n.d."))&gt;0),"n.d.",SUMPRODUCT(--('Repartition stock'!$A$6:$A$433="2026Q3"),--('Repartition stock'!$B$6:$B$433="NO"),--('Repartition stock'!$E$6:$E$433="Tranche"),--('Repartition stock'!$F$6:$F$433="&gt;10902 Kr"),'Repartition stock'!$G$6:$G$433)))="n.d.",0,IF(OR(SUMPRODUCT(--('Repartition stock'!$A$6:$A$433="2026Q3"),--('Repartition stock'!$B$6:$B$433="NO"),--('Repartition stock'!$E$6:$E$433="Tranche"),--('Repartition stock'!$F$6:$F$433="&gt;10902 Kr"))=0,SUMPRODUCT(--('Repartition stock'!$A$6:$A$433="2026Q3"),--('Repartition stock'!$B$6:$B$433="NO"),--('Repartition stock'!$E$6:$E$433="Tranche"),--('Repartition stock'!$F$6:$F$433="&gt;10902 Kr"),--('Repartition stock'!$G$6:$G$433="n.d."))&gt;0),"n.d.",SUMPRODUCT(--('Repartition stock'!$A$6:$A$433="2026Q3"),--('Repartition stock'!$B$6:$B$433="NO"),--('Repartition stock'!$E$6:$E$433="Tranche"),--('Repartition stock'!$F$6:$F$433="&gt;10902 Kr"),'Repartition stock'!$G$6:$G$433)))</f>
        <v>0</v>
      </c>
      <c r="Y11" s="8"/>
      <c r="Z11" s="8">
        <f>IF((IF(OR(SUMPRODUCT(--('Repartition stock'!$A$6:$A$433="2026Q3"),--('Repartition stock'!$B$6:$B$433="NO"),--('Repartition stock'!$E$6:$E$433="Tranche"),--('Repartition stock'!$F$6:$F$433="&gt;10902 Kr"))=0,SUMPRODUCT(--('Repartition stock'!$A$6:$A$433="2026Q3"),--('Repartition stock'!$B$6:$B$433="NO"),--('Repartition stock'!$E$6:$E$433="Tranche"),--('Repartition stock'!$F$6:$F$433="&gt;10902 Kr"),--('Repartition stock'!$H$6:$H$433="n.d."))&gt;0),"n.d.",SUMPRODUCT(--('Repartition stock'!$A$6:$A$433="2026Q3"),--('Repartition stock'!$B$6:$B$433="NO"),--('Repartition stock'!$E$6:$E$433="Tranche"),--('Repartition stock'!$F$6:$F$433="&gt;10902 Kr"),'Repartition stock'!$H$6:$H$433)))="n.d.",0,IF(OR(SUMPRODUCT(--('Repartition stock'!$A$6:$A$433="2026Q3"),--('Repartition stock'!$B$6:$B$433="NO"),--('Repartition stock'!$E$6:$E$433="Tranche"),--('Repartition stock'!$F$6:$F$433="&gt;10902 Kr"))=0,SUMPRODUCT(--('Repartition stock'!$A$6:$A$433="2026Q3"),--('Repartition stock'!$B$6:$B$433="NO"),--('Repartition stock'!$E$6:$E$433="Tranche"),--('Repartition stock'!$F$6:$F$433="&gt;10902 Kr"),--('Repartition stock'!$H$6:$H$433="n.d."))&gt;0),"n.d.",SUMPRODUCT(--('Repartition stock'!$A$6:$A$433="2026Q3"),--('Repartition stock'!$B$6:$B$433="NO"),--('Repartition stock'!$E$6:$E$433="Tranche"),--('Repartition stock'!$F$6:$F$433="&gt;10902 Kr"),'Repartition stock'!$H$6:$H$433)))</f>
        <v>0</v>
      </c>
      <c r="AA11" s="8"/>
      <c r="AB11" s="8"/>
      <c r="AC11" s="7">
        <f>IF((IF(OR(COUNT(X11,X12)&lt;&gt;2,X12=0),"n.d.",X11/X12))="n.d.",0,IF(OR(COUNT(X11,X12)&lt;&gt;2,X12=0),"n.d.",X11/X12))</f>
        <v>0.0</v>
      </c>
      <c r="AD11" s="7"/>
      <c r="AE11" s="7">
        <f>IF((IF(OR(COUNT(Z11,Z12)&lt;&gt;2,Z12=0),"n.d.",Z11/Z12))="n.d.",0,IF(OR(COUNT(Z11,Z12)&lt;&gt;2,Z12=0),"n.d.",Z11/Z12))</f>
        <v>0.0</v>
      </c>
      <c r="AF11" s="7"/>
    </row>
    <row r="12" spans="1:32" ht="13.5" customHeight="1">
      <c r="A12" s="13"/>
      <c r="R12" s="17" t="s">
        <v>71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116</v>
      </c>
      <c r="Y12" s="17"/>
      <c r="Z12" s="17">
        <f>IF((IF(COUNT(Z7:Z11)=5,SUM(Z7:Z11),"n.d."))="n.d.",0,IF(COUNT(Z7:Z11)=5,SUM(Z7:Z11),"n.d."))</f>
        <v>22084.09</v>
      </c>
      <c r="AA12" s="17"/>
      <c r="AB12" s="17"/>
      <c r="AC12" s="10">
        <f>IF((IF(OR(NOT(ISNUMBER(X12)),X12=0),"n.d.",1))="n.d.",0,IF(OR(NOT(ISNUMBER(X12)),X12=0),"n.d.",1))</f>
        <v>1.0</v>
      </c>
      <c r="AD12" s="10"/>
      <c r="AE12" s="10">
        <f>IF((IF(OR(NOT(ISNUMBER(Z12)),Z12=0),"n.d.",1))="n.d.",0,IF(OR(NOT(ISNUMBER(Z12)),Z12=0),"n.d.",1))</f>
        <v>1.0</v>
      </c>
      <c r="AF12" s="10"/>
    </row>
    <row r="13" spans="1:32" ht="13.5" customHeight="1">
      <c r="A13" s="13"/>
    </row>
    <row r="14" spans="1:32" ht="13.5" customHeight="1">
      <c r="A14" s="13"/>
      <c r="R14" s="4" t="s">
        <v>72</v>
      </c>
      <c r="S14" s="4"/>
      <c r="T14" s="4"/>
      <c r="U14" s="16" t="s">
        <v>73</v>
      </c>
      <c r="V14" s="16"/>
      <c r="W14" s="16"/>
      <c r="X14" s="8">
        <f>IF((IF(OR(SUMPRODUCT(--('Repartition stock'!$A$6:$A$433="2026Q3"),--('Repartition stock'!$B$6:$B$433="NO"),--('Repartition stock'!$E$6:$E$433="Millésime"),--('Repartition stock'!$F$6:$F$433="&lt;2018"))=0,SUMPRODUCT(--('Repartition stock'!$A$6:$A$433="2026Q3"),--('Repartition stock'!$B$6:$B$433="NO"),--('Repartition stock'!$E$6:$E$433="Millésime"),--('Repartition stock'!$F$6:$F$433="&lt;2018"),--('Repartition stock'!$G$6:$G$433="n.d."))&gt;0),"n.d.",SUMPRODUCT(--('Repartition stock'!$A$6:$A$433="2026Q3"),--('Repartition stock'!$B$6:$B$433="NO"),--('Repartition stock'!$E$6:$E$433="Millésime"),--('Repartition stock'!$F$6:$F$433="&lt;2018"),'Repartition stock'!$G$6:$G$433)))="n.d.",0,IF(OR(SUMPRODUCT(--('Repartition stock'!$A$6:$A$433="2026Q3"),--('Repartition stock'!$B$6:$B$433="NO"),--('Repartition stock'!$E$6:$E$433="Millésime"),--('Repartition stock'!$F$6:$F$433="&lt;2018"))=0,SUMPRODUCT(--('Repartition stock'!$A$6:$A$433="2026Q3"),--('Repartition stock'!$B$6:$B$433="NO"),--('Repartition stock'!$E$6:$E$433="Millésime"),--('Repartition stock'!$F$6:$F$433="&lt;2018"),--('Repartition stock'!$G$6:$G$433="n.d."))&gt;0),"n.d.",SUMPRODUCT(--('Repartition stock'!$A$6:$A$433="2026Q3"),--('Repartition stock'!$B$6:$B$433="NO"),--('Repartition stock'!$E$6:$E$433="Millésime"),--('Repartition stock'!$F$6:$F$433="&lt;2018"),'Repartition stock'!$G$6:$G$433)))</f>
        <v>0</v>
      </c>
      <c r="Y14" s="8"/>
      <c r="Z14" s="8">
        <f>IF((IF(OR(SUMPRODUCT(--('Repartition stock'!$A$6:$A$433="2026Q3"),--('Repartition stock'!$B$6:$B$433="NO"),--('Repartition stock'!$E$6:$E$433="Millésime"),--('Repartition stock'!$F$6:$F$433="&lt;2018"))=0,SUMPRODUCT(--('Repartition stock'!$A$6:$A$433="2026Q3"),--('Repartition stock'!$B$6:$B$433="NO"),--('Repartition stock'!$E$6:$E$433="Millésime"),--('Repartition stock'!$F$6:$F$433="&lt;2018"),--('Repartition stock'!$H$6:$H$433="n.d."))&gt;0),"n.d.",SUMPRODUCT(--('Repartition stock'!$A$6:$A$433="2026Q3"),--('Repartition stock'!$B$6:$B$433="NO"),--('Repartition stock'!$E$6:$E$433="Millésime"),--('Repartition stock'!$F$6:$F$433="&lt;2018"),'Repartition stock'!$H$6:$H$433)))="n.d.",0,IF(OR(SUMPRODUCT(--('Repartition stock'!$A$6:$A$433="2026Q3"),--('Repartition stock'!$B$6:$B$433="NO"),--('Repartition stock'!$E$6:$E$433="Millésime"),--('Repartition stock'!$F$6:$F$433="&lt;2018"))=0,SUMPRODUCT(--('Repartition stock'!$A$6:$A$433="2026Q3"),--('Repartition stock'!$B$6:$B$433="NO"),--('Repartition stock'!$E$6:$E$433="Millésime"),--('Repartition stock'!$F$6:$F$433="&lt;2018"),--('Repartition stock'!$H$6:$H$433="n.d."))&gt;0),"n.d.",SUMPRODUCT(--('Repartition stock'!$A$6:$A$433="2026Q3"),--('Repartition stock'!$B$6:$B$433="NO"),--('Repartition stock'!$E$6:$E$433="Millésime"),--('Repartition stock'!$F$6:$F$433="&lt;2018"),'Repartition stock'!$H$6:$H$433)))</f>
        <v>0</v>
      </c>
      <c r="AA14" s="8"/>
      <c r="AB14" s="8"/>
      <c r="AC14" s="7">
        <f>IF((IF(OR(COUNT(X14,X24)&lt;&gt;2,X24=0),"n.d.",X14/X24))="n.d.",0,IF(OR(COUNT(X14,X24)&lt;&gt;2,X24=0),"n.d.",X14/X24))</f>
        <v>0.0</v>
      </c>
      <c r="AD14" s="7"/>
      <c r="AE14" s="7">
        <f>IF((IF(OR(COUNT(Z14,Z24)&lt;&gt;2,Z24=0),"n.d.",Z14/Z24))="n.d.",0,IF(OR(COUNT(Z14,Z24)&lt;&gt;2,Z24=0),"n.d.",Z14/Z24))</f>
        <v>0.0</v>
      </c>
      <c r="AF14" s="7"/>
    </row>
    <row r="15" spans="1:32" ht="13.5" customHeight="1">
      <c r="A15" s="13"/>
      <c r="R15" s="4"/>
      <c r="S15" s="4"/>
      <c r="T15" s="4"/>
      <c r="U15" s="16" t="s">
        <v>74</v>
      </c>
      <c r="V15" s="16"/>
      <c r="W15" s="16"/>
      <c r="X15" s="8">
        <f>IF((IF(OR(SUMPRODUCT(--('Repartition stock'!$A$6:$A$433="2026Q3"),--('Repartition stock'!$B$6:$B$433="NO"),--('Repartition stock'!$E$6:$E$433="Millésime"),--('Repartition stock'!$F$6:$F$433="2018"))=0,SUMPRODUCT(--('Repartition stock'!$A$6:$A$433="2026Q3"),--('Repartition stock'!$B$6:$B$433="NO"),--('Repartition stock'!$E$6:$E$433="Millésime"),--('Repartition stock'!$F$6:$F$433="2018"),--('Repartition stock'!$G$6:$G$433="n.d."))&gt;0),"n.d.",SUMPRODUCT(--('Repartition stock'!$A$6:$A$433="2026Q3"),--('Repartition stock'!$B$6:$B$433="NO"),--('Repartition stock'!$E$6:$E$433="Millésime"),--('Repartition stock'!$F$6:$F$433="2018"),'Repartition stock'!$G$6:$G$433)))="n.d.",0,IF(OR(SUMPRODUCT(--('Repartition stock'!$A$6:$A$433="2026Q3"),--('Repartition stock'!$B$6:$B$433="NO"),--('Repartition stock'!$E$6:$E$433="Millésime"),--('Repartition stock'!$F$6:$F$433="2018"))=0,SUMPRODUCT(--('Repartition stock'!$A$6:$A$433="2026Q3"),--('Repartition stock'!$B$6:$B$433="NO"),--('Repartition stock'!$E$6:$E$433="Millésime"),--('Repartition stock'!$F$6:$F$433="2018"),--('Repartition stock'!$G$6:$G$433="n.d."))&gt;0),"n.d.",SUMPRODUCT(--('Repartition stock'!$A$6:$A$433="2026Q3"),--('Repartition stock'!$B$6:$B$433="NO"),--('Repartition stock'!$E$6:$E$433="Millésime"),--('Repartition stock'!$F$6:$F$433="2018"),'Repartition stock'!$G$6:$G$433)))</f>
        <v>0</v>
      </c>
      <c r="Y15" s="8"/>
      <c r="Z15" s="8">
        <f>IF((IF(OR(SUMPRODUCT(--('Repartition stock'!$A$6:$A$433="2026Q3"),--('Repartition stock'!$B$6:$B$433="NO"),--('Repartition stock'!$E$6:$E$433="Millésime"),--('Repartition stock'!$F$6:$F$433="2018"))=0,SUMPRODUCT(--('Repartition stock'!$A$6:$A$433="2026Q3"),--('Repartition stock'!$B$6:$B$433="NO"),--('Repartition stock'!$E$6:$E$433="Millésime"),--('Repartition stock'!$F$6:$F$433="2018"),--('Repartition stock'!$H$6:$H$433="n.d."))&gt;0),"n.d.",SUMPRODUCT(--('Repartition stock'!$A$6:$A$433="2026Q3"),--('Repartition stock'!$B$6:$B$433="NO"),--('Repartition stock'!$E$6:$E$433="Millésime"),--('Repartition stock'!$F$6:$F$433="2018"),'Repartition stock'!$H$6:$H$433)))="n.d.",0,IF(OR(SUMPRODUCT(--('Repartition stock'!$A$6:$A$433="2026Q3"),--('Repartition stock'!$B$6:$B$433="NO"),--('Repartition stock'!$E$6:$E$433="Millésime"),--('Repartition stock'!$F$6:$F$433="2018"))=0,SUMPRODUCT(--('Repartition stock'!$A$6:$A$433="2026Q3"),--('Repartition stock'!$B$6:$B$433="NO"),--('Repartition stock'!$E$6:$E$433="Millésime"),--('Repartition stock'!$F$6:$F$433="2018"),--('Repartition stock'!$H$6:$H$433="n.d."))&gt;0),"n.d.",SUMPRODUCT(--('Repartition stock'!$A$6:$A$433="2026Q3"),--('Repartition stock'!$B$6:$B$433="NO"),--('Repartition stock'!$E$6:$E$433="Millésime"),--('Repartition stock'!$F$6:$F$433="2018"),'Repartition stock'!$H$6:$H$433)))</f>
        <v>0</v>
      </c>
      <c r="AA15" s="8"/>
      <c r="AB15" s="8"/>
      <c r="AC15" s="7">
        <f>IF((IF(OR(COUNT(X15,X24)&lt;&gt;2,X24=0),"n.d.",X15/X24))="n.d.",0,IF(OR(COUNT(X15,X24)&lt;&gt;2,X24=0),"n.d.",X15/X24))</f>
        <v>0.0</v>
      </c>
      <c r="AD15" s="7"/>
      <c r="AE15" s="7">
        <f>IF((IF(OR(COUNT(Z15,Z24)&lt;&gt;2,Z24=0),"n.d.",Z15/Z24))="n.d.",0,IF(OR(COUNT(Z15,Z24)&lt;&gt;2,Z24=0),"n.d.",Z15/Z24))</f>
        <v>0.0</v>
      </c>
      <c r="AF15" s="7"/>
    </row>
    <row r="16" spans="1:32" ht="13.5" customHeight="1">
      <c r="A16" s="13"/>
      <c r="R16" s="4"/>
      <c r="S16" s="4"/>
      <c r="T16" s="4"/>
      <c r="U16" s="16" t="s">
        <v>75</v>
      </c>
      <c r="V16" s="16"/>
      <c r="W16" s="16"/>
      <c r="X16" s="8">
        <f>IF((IF(OR(SUMPRODUCT(--('Repartition stock'!$A$6:$A$433="2026Q3"),--('Repartition stock'!$B$6:$B$433="NO"),--('Repartition stock'!$E$6:$E$433="Millésime"),--('Repartition stock'!$F$6:$F$433="2019"))=0,SUMPRODUCT(--('Repartition stock'!$A$6:$A$433="2026Q3"),--('Repartition stock'!$B$6:$B$433="NO"),--('Repartition stock'!$E$6:$E$433="Millésime"),--('Repartition stock'!$F$6:$F$433="2019"),--('Repartition stock'!$G$6:$G$433="n.d."))&gt;0),"n.d.",SUMPRODUCT(--('Repartition stock'!$A$6:$A$433="2026Q3"),--('Repartition stock'!$B$6:$B$433="NO"),--('Repartition stock'!$E$6:$E$433="Millésime"),--('Repartition stock'!$F$6:$F$433="2019"),'Repartition stock'!$G$6:$G$433)))="n.d.",0,IF(OR(SUMPRODUCT(--('Repartition stock'!$A$6:$A$433="2026Q3"),--('Repartition stock'!$B$6:$B$433="NO"),--('Repartition stock'!$E$6:$E$433="Millésime"),--('Repartition stock'!$F$6:$F$433="2019"))=0,SUMPRODUCT(--('Repartition stock'!$A$6:$A$433="2026Q3"),--('Repartition stock'!$B$6:$B$433="NO"),--('Repartition stock'!$E$6:$E$433="Millésime"),--('Repartition stock'!$F$6:$F$433="2019"),--('Repartition stock'!$G$6:$G$433="n.d."))&gt;0),"n.d.",SUMPRODUCT(--('Repartition stock'!$A$6:$A$433="2026Q3"),--('Repartition stock'!$B$6:$B$433="NO"),--('Repartition stock'!$E$6:$E$433="Millésime"),--('Repartition stock'!$F$6:$F$433="2019"),'Repartition stock'!$G$6:$G$433)))</f>
        <v>0</v>
      </c>
      <c r="Y16" s="8"/>
      <c r="Z16" s="8">
        <f>IF((IF(OR(SUMPRODUCT(--('Repartition stock'!$A$6:$A$433="2026Q3"),--('Repartition stock'!$B$6:$B$433="NO"),--('Repartition stock'!$E$6:$E$433="Millésime"),--('Repartition stock'!$F$6:$F$433="2019"))=0,SUMPRODUCT(--('Repartition stock'!$A$6:$A$433="2026Q3"),--('Repartition stock'!$B$6:$B$433="NO"),--('Repartition stock'!$E$6:$E$433="Millésime"),--('Repartition stock'!$F$6:$F$433="2019"),--('Repartition stock'!$H$6:$H$433="n.d."))&gt;0),"n.d.",SUMPRODUCT(--('Repartition stock'!$A$6:$A$433="2026Q3"),--('Repartition stock'!$B$6:$B$433="NO"),--('Repartition stock'!$E$6:$E$433="Millésime"),--('Repartition stock'!$F$6:$F$433="2019"),'Repartition stock'!$H$6:$H$433)))="n.d.",0,IF(OR(SUMPRODUCT(--('Repartition stock'!$A$6:$A$433="2026Q3"),--('Repartition stock'!$B$6:$B$433="NO"),--('Repartition stock'!$E$6:$E$433="Millésime"),--('Repartition stock'!$F$6:$F$433="2019"))=0,SUMPRODUCT(--('Repartition stock'!$A$6:$A$433="2026Q3"),--('Repartition stock'!$B$6:$B$433="NO"),--('Repartition stock'!$E$6:$E$433="Millésime"),--('Repartition stock'!$F$6:$F$433="2019"),--('Repartition stock'!$H$6:$H$433="n.d."))&gt;0),"n.d.",SUMPRODUCT(--('Repartition stock'!$A$6:$A$433="2026Q3"),--('Repartition stock'!$B$6:$B$433="NO"),--('Repartition stock'!$E$6:$E$433="Millésime"),--('Repartition stock'!$F$6:$F$433="2019"),'Repartition stock'!$H$6:$H$433)))</f>
        <v>0</v>
      </c>
      <c r="AA16" s="8"/>
      <c r="AB16" s="8"/>
      <c r="AC16" s="7">
        <f>IF((IF(OR(COUNT(X16,X24)&lt;&gt;2,X24=0),"n.d.",X16/X24))="n.d.",0,IF(OR(COUNT(X16,X24)&lt;&gt;2,X24=0),"n.d.",X16/X24))</f>
        <v>0.0</v>
      </c>
      <c r="AD16" s="7"/>
      <c r="AE16" s="7">
        <f>IF((IF(OR(COUNT(Z16,Z24)&lt;&gt;2,Z24=0),"n.d.",Z16/Z24))="n.d.",0,IF(OR(COUNT(Z16,Z24)&lt;&gt;2,Z24=0),"n.d.",Z16/Z24))</f>
        <v>0.0</v>
      </c>
      <c r="AF16" s="7"/>
    </row>
    <row r="17" spans="1:32" ht="13.5" customHeight="1">
      <c r="A17" s="13"/>
      <c r="R17" s="4"/>
      <c r="S17" s="4"/>
      <c r="T17" s="4"/>
      <c r="U17" s="16" t="s">
        <v>76</v>
      </c>
      <c r="V17" s="16"/>
      <c r="W17" s="16"/>
      <c r="X17" s="8">
        <f>IF((IF(OR(SUMPRODUCT(--('Repartition stock'!$A$6:$A$433="2026Q3"),--('Repartition stock'!$B$6:$B$433="NO"),--('Repartition stock'!$E$6:$E$433="Millésime"),--('Repartition stock'!$F$6:$F$433="2020"))=0,SUMPRODUCT(--('Repartition stock'!$A$6:$A$433="2026Q3"),--('Repartition stock'!$B$6:$B$433="NO"),--('Repartition stock'!$E$6:$E$433="Millésime"),--('Repartition stock'!$F$6:$F$433="2020"),--('Repartition stock'!$G$6:$G$433="n.d."))&gt;0),"n.d.",SUMPRODUCT(--('Repartition stock'!$A$6:$A$433="2026Q3"),--('Repartition stock'!$B$6:$B$433="NO"),--('Repartition stock'!$E$6:$E$433="Millésime"),--('Repartition stock'!$F$6:$F$433="2020"),'Repartition stock'!$G$6:$G$433)))="n.d.",0,IF(OR(SUMPRODUCT(--('Repartition stock'!$A$6:$A$433="2026Q3"),--('Repartition stock'!$B$6:$B$433="NO"),--('Repartition stock'!$E$6:$E$433="Millésime"),--('Repartition stock'!$F$6:$F$433="2020"))=0,SUMPRODUCT(--('Repartition stock'!$A$6:$A$433="2026Q3"),--('Repartition stock'!$B$6:$B$433="NO"),--('Repartition stock'!$E$6:$E$433="Millésime"),--('Repartition stock'!$F$6:$F$433="2020"),--('Repartition stock'!$G$6:$G$433="n.d."))&gt;0),"n.d.",SUMPRODUCT(--('Repartition stock'!$A$6:$A$433="2026Q3"),--('Repartition stock'!$B$6:$B$433="NO"),--('Repartition stock'!$E$6:$E$433="Millésime"),--('Repartition stock'!$F$6:$F$433="2020"),'Repartition stock'!$G$6:$G$433)))</f>
        <v>0</v>
      </c>
      <c r="Y17" s="8"/>
      <c r="Z17" s="8">
        <f>IF((IF(OR(SUMPRODUCT(--('Repartition stock'!$A$6:$A$433="2026Q3"),--('Repartition stock'!$B$6:$B$433="NO"),--('Repartition stock'!$E$6:$E$433="Millésime"),--('Repartition stock'!$F$6:$F$433="2020"))=0,SUMPRODUCT(--('Repartition stock'!$A$6:$A$433="2026Q3"),--('Repartition stock'!$B$6:$B$433="NO"),--('Repartition stock'!$E$6:$E$433="Millésime"),--('Repartition stock'!$F$6:$F$433="2020"),--('Repartition stock'!$H$6:$H$433="n.d."))&gt;0),"n.d.",SUMPRODUCT(--('Repartition stock'!$A$6:$A$433="2026Q3"),--('Repartition stock'!$B$6:$B$433="NO"),--('Repartition stock'!$E$6:$E$433="Millésime"),--('Repartition stock'!$F$6:$F$433="2020"),'Repartition stock'!$H$6:$H$433)))="n.d.",0,IF(OR(SUMPRODUCT(--('Repartition stock'!$A$6:$A$433="2026Q3"),--('Repartition stock'!$B$6:$B$433="NO"),--('Repartition stock'!$E$6:$E$433="Millésime"),--('Repartition stock'!$F$6:$F$433="2020"))=0,SUMPRODUCT(--('Repartition stock'!$A$6:$A$433="2026Q3"),--('Repartition stock'!$B$6:$B$433="NO"),--('Repartition stock'!$E$6:$E$433="Millésime"),--('Repartition stock'!$F$6:$F$433="2020"),--('Repartition stock'!$H$6:$H$433="n.d."))&gt;0),"n.d.",SUMPRODUCT(--('Repartition stock'!$A$6:$A$433="2026Q3"),--('Repartition stock'!$B$6:$B$433="NO"),--('Repartition stock'!$E$6:$E$433="Millésime"),--('Repartition stock'!$F$6:$F$433="2020"),'Repartition stock'!$H$6:$H$433)))</f>
        <v>0</v>
      </c>
      <c r="AA17" s="8"/>
      <c r="AB17" s="8"/>
      <c r="AC17" s="7">
        <f>IF((IF(OR(COUNT(X17,X24)&lt;&gt;2,X24=0),"n.d.",X17/X24))="n.d.",0,IF(OR(COUNT(X17,X24)&lt;&gt;2,X24=0),"n.d.",X17/X24))</f>
        <v>0.0</v>
      </c>
      <c r="AD17" s="7"/>
      <c r="AE17" s="7">
        <f>IF((IF(OR(COUNT(Z17,Z24)&lt;&gt;2,Z24=0),"n.d.",Z17/Z24))="n.d.",0,IF(OR(COUNT(Z17,Z24)&lt;&gt;2,Z24=0),"n.d.",Z17/Z24))</f>
        <v>0.0</v>
      </c>
      <c r="AF17" s="7"/>
    </row>
    <row r="18" spans="1:32" ht="13.5" customHeight="1">
      <c r="A18" s="13"/>
      <c r="R18" s="4"/>
      <c r="S18" s="4"/>
      <c r="T18" s="4"/>
      <c r="U18" s="16" t="s">
        <v>77</v>
      </c>
      <c r="V18" s="16"/>
      <c r="W18" s="16"/>
      <c r="X18" s="8">
        <f>IF((IF(OR(SUMPRODUCT(--('Repartition stock'!$A$6:$A$433="2026Q3"),--('Repartition stock'!$B$6:$B$433="NO"),--('Repartition stock'!$E$6:$E$433="Millésime"),--('Repartition stock'!$F$6:$F$433="2021"))=0,SUMPRODUCT(--('Repartition stock'!$A$6:$A$433="2026Q3"),--('Repartition stock'!$B$6:$B$433="NO"),--('Repartition stock'!$E$6:$E$433="Millésime"),--('Repartition stock'!$F$6:$F$433="2021"),--('Repartition stock'!$G$6:$G$433="n.d."))&gt;0),"n.d.",SUMPRODUCT(--('Repartition stock'!$A$6:$A$433="2026Q3"),--('Repartition stock'!$B$6:$B$433="NO"),--('Repartition stock'!$E$6:$E$433="Millésime"),--('Repartition stock'!$F$6:$F$433="2021"),'Repartition stock'!$G$6:$G$433)))="n.d.",0,IF(OR(SUMPRODUCT(--('Repartition stock'!$A$6:$A$433="2026Q3"),--('Repartition stock'!$B$6:$B$433="NO"),--('Repartition stock'!$E$6:$E$433="Millésime"),--('Repartition stock'!$F$6:$F$433="2021"))=0,SUMPRODUCT(--('Repartition stock'!$A$6:$A$433="2026Q3"),--('Repartition stock'!$B$6:$B$433="NO"),--('Repartition stock'!$E$6:$E$433="Millésime"),--('Repartition stock'!$F$6:$F$433="2021"),--('Repartition stock'!$G$6:$G$433="n.d."))&gt;0),"n.d.",SUMPRODUCT(--('Repartition stock'!$A$6:$A$433="2026Q3"),--('Repartition stock'!$B$6:$B$433="NO"),--('Repartition stock'!$E$6:$E$433="Millésime"),--('Repartition stock'!$F$6:$F$433="2021"),'Repartition stock'!$G$6:$G$433)))</f>
        <v>0</v>
      </c>
      <c r="Y18" s="8"/>
      <c r="Z18" s="8">
        <f>IF((IF(OR(SUMPRODUCT(--('Repartition stock'!$A$6:$A$433="2026Q3"),--('Repartition stock'!$B$6:$B$433="NO"),--('Repartition stock'!$E$6:$E$433="Millésime"),--('Repartition stock'!$F$6:$F$433="2021"))=0,SUMPRODUCT(--('Repartition stock'!$A$6:$A$433="2026Q3"),--('Repartition stock'!$B$6:$B$433="NO"),--('Repartition stock'!$E$6:$E$433="Millésime"),--('Repartition stock'!$F$6:$F$433="2021"),--('Repartition stock'!$H$6:$H$433="n.d."))&gt;0),"n.d.",SUMPRODUCT(--('Repartition stock'!$A$6:$A$433="2026Q3"),--('Repartition stock'!$B$6:$B$433="NO"),--('Repartition stock'!$E$6:$E$433="Millésime"),--('Repartition stock'!$F$6:$F$433="2021"),'Repartition stock'!$H$6:$H$433)))="n.d.",0,IF(OR(SUMPRODUCT(--('Repartition stock'!$A$6:$A$433="2026Q3"),--('Repartition stock'!$B$6:$B$433="NO"),--('Repartition stock'!$E$6:$E$433="Millésime"),--('Repartition stock'!$F$6:$F$433="2021"))=0,SUMPRODUCT(--('Repartition stock'!$A$6:$A$433="2026Q3"),--('Repartition stock'!$B$6:$B$433="NO"),--('Repartition stock'!$E$6:$E$433="Millésime"),--('Repartition stock'!$F$6:$F$433="2021"),--('Repartition stock'!$H$6:$H$433="n.d."))&gt;0),"n.d.",SUMPRODUCT(--('Repartition stock'!$A$6:$A$433="2026Q3"),--('Repartition stock'!$B$6:$B$433="NO"),--('Repartition stock'!$E$6:$E$433="Millésime"),--('Repartition stock'!$F$6:$F$433="2021"),'Repartition stock'!$H$6:$H$433)))</f>
        <v>0</v>
      </c>
      <c r="AA18" s="8"/>
      <c r="AB18" s="8"/>
      <c r="AC18" s="7">
        <f>IF((IF(OR(COUNT(X18,X24)&lt;&gt;2,X24=0),"n.d.",X18/X24))="n.d.",0,IF(OR(COUNT(X18,X24)&lt;&gt;2,X24=0),"n.d.",X18/X24))</f>
        <v>0.0</v>
      </c>
      <c r="AD18" s="7"/>
      <c r="AE18" s="7">
        <f>IF((IF(OR(COUNT(Z18,Z24)&lt;&gt;2,Z24=0),"n.d.",Z18/Z24))="n.d.",0,IF(OR(COUNT(Z18,Z24)&lt;&gt;2,Z24=0),"n.d.",Z18/Z24))</f>
        <v>0.0</v>
      </c>
      <c r="AF18" s="7"/>
    </row>
    <row r="19" spans="1:32" ht="13.5" customHeight="1">
      <c r="A19" s="13"/>
      <c r="R19" s="4"/>
      <c r="S19" s="4"/>
      <c r="T19" s="4"/>
      <c r="U19" s="16" t="s">
        <v>78</v>
      </c>
      <c r="V19" s="16"/>
      <c r="W19" s="16"/>
      <c r="X19" s="8">
        <f>IF((IF(OR(SUMPRODUCT(--('Repartition stock'!$A$6:$A$433="2026Q3"),--('Repartition stock'!$B$6:$B$433="NO"),--('Repartition stock'!$E$6:$E$433="Millésime"),--('Repartition stock'!$F$6:$F$433="2022"))=0,SUMPRODUCT(--('Repartition stock'!$A$6:$A$433="2026Q3"),--('Repartition stock'!$B$6:$B$433="NO"),--('Repartition stock'!$E$6:$E$433="Millésime"),--('Repartition stock'!$F$6:$F$433="2022"),--('Repartition stock'!$G$6:$G$433="n.d."))&gt;0),"n.d.",SUMPRODUCT(--('Repartition stock'!$A$6:$A$433="2026Q3"),--('Repartition stock'!$B$6:$B$433="NO"),--('Repartition stock'!$E$6:$E$433="Millésime"),--('Repartition stock'!$F$6:$F$433="2022"),'Repartition stock'!$G$6:$G$433)))="n.d.",0,IF(OR(SUMPRODUCT(--('Repartition stock'!$A$6:$A$433="2026Q3"),--('Repartition stock'!$B$6:$B$433="NO"),--('Repartition stock'!$E$6:$E$433="Millésime"),--('Repartition stock'!$F$6:$F$433="2022"))=0,SUMPRODUCT(--('Repartition stock'!$A$6:$A$433="2026Q3"),--('Repartition stock'!$B$6:$B$433="NO"),--('Repartition stock'!$E$6:$E$433="Millésime"),--('Repartition stock'!$F$6:$F$433="2022"),--('Repartition stock'!$G$6:$G$433="n.d."))&gt;0),"n.d.",SUMPRODUCT(--('Repartition stock'!$A$6:$A$433="2026Q3"),--('Repartition stock'!$B$6:$B$433="NO"),--('Repartition stock'!$E$6:$E$433="Millésime"),--('Repartition stock'!$F$6:$F$433="2022"),'Repartition stock'!$G$6:$G$433)))</f>
        <v>0</v>
      </c>
      <c r="Y19" s="8"/>
      <c r="Z19" s="8">
        <f>IF((IF(OR(SUMPRODUCT(--('Repartition stock'!$A$6:$A$433="2026Q3"),--('Repartition stock'!$B$6:$B$433="NO"),--('Repartition stock'!$E$6:$E$433="Millésime"),--('Repartition stock'!$F$6:$F$433="2022"))=0,SUMPRODUCT(--('Repartition stock'!$A$6:$A$433="2026Q3"),--('Repartition stock'!$B$6:$B$433="NO"),--('Repartition stock'!$E$6:$E$433="Millésime"),--('Repartition stock'!$F$6:$F$433="2022"),--('Repartition stock'!$H$6:$H$433="n.d."))&gt;0),"n.d.",SUMPRODUCT(--('Repartition stock'!$A$6:$A$433="2026Q3"),--('Repartition stock'!$B$6:$B$433="NO"),--('Repartition stock'!$E$6:$E$433="Millésime"),--('Repartition stock'!$F$6:$F$433="2022"),'Repartition stock'!$H$6:$H$433)))="n.d.",0,IF(OR(SUMPRODUCT(--('Repartition stock'!$A$6:$A$433="2026Q3"),--('Repartition stock'!$B$6:$B$433="NO"),--('Repartition stock'!$E$6:$E$433="Millésime"),--('Repartition stock'!$F$6:$F$433="2022"))=0,SUMPRODUCT(--('Repartition stock'!$A$6:$A$433="2026Q3"),--('Repartition stock'!$B$6:$B$433="NO"),--('Repartition stock'!$E$6:$E$433="Millésime"),--('Repartition stock'!$F$6:$F$433="2022"),--('Repartition stock'!$H$6:$H$433="n.d."))&gt;0),"n.d.",SUMPRODUCT(--('Repartition stock'!$A$6:$A$433="2026Q3"),--('Repartition stock'!$B$6:$B$433="NO"),--('Repartition stock'!$E$6:$E$433="Millésime"),--('Repartition stock'!$F$6:$F$433="2022"),'Repartition stock'!$H$6:$H$433)))</f>
        <v>0</v>
      </c>
      <c r="AA19" s="8"/>
      <c r="AB19" s="8"/>
      <c r="AC19" s="7">
        <f>IF((IF(OR(COUNT(X19,X24)&lt;&gt;2,X24=0),"n.d.",X19/X24))="n.d.",0,IF(OR(COUNT(X19,X24)&lt;&gt;2,X24=0),"n.d.",X19/X24))</f>
        <v>0.0</v>
      </c>
      <c r="AD19" s="7"/>
      <c r="AE19" s="7">
        <f>IF((IF(OR(COUNT(Z19,Z24)&lt;&gt;2,Z24=0),"n.d.",Z19/Z24))="n.d.",0,IF(OR(COUNT(Z19,Z24)&lt;&gt;2,Z24=0),"n.d.",Z19/Z24))</f>
        <v>0.0</v>
      </c>
      <c r="AF19" s="7"/>
    </row>
    <row r="20" spans="1:32" ht="13.5" customHeight="1">
      <c r="A20" s="13"/>
      <c r="R20" s="4"/>
      <c r="S20" s="4"/>
      <c r="T20" s="4"/>
      <c r="U20" s="16" t="s">
        <v>79</v>
      </c>
      <c r="V20" s="16"/>
      <c r="W20" s="16"/>
      <c r="X20" s="8">
        <f>IF((IF(OR(SUMPRODUCT(--('Repartition stock'!$A$6:$A$433="2026Q3"),--('Repartition stock'!$B$6:$B$433="NO"),--('Repartition stock'!$E$6:$E$433="Millésime"),--('Repartition stock'!$F$6:$F$433="2023"))=0,SUMPRODUCT(--('Repartition stock'!$A$6:$A$433="2026Q3"),--('Repartition stock'!$B$6:$B$433="NO"),--('Repartition stock'!$E$6:$E$433="Millésime"),--('Repartition stock'!$F$6:$F$433="2023"),--('Repartition stock'!$G$6:$G$433="n.d."))&gt;0),"n.d.",SUMPRODUCT(--('Repartition stock'!$A$6:$A$433="2026Q3"),--('Repartition stock'!$B$6:$B$433="NO"),--('Repartition stock'!$E$6:$E$433="Millésime"),--('Repartition stock'!$F$6:$F$433="2023"),'Repartition stock'!$G$6:$G$433)))="n.d.",0,IF(OR(SUMPRODUCT(--('Repartition stock'!$A$6:$A$433="2026Q3"),--('Repartition stock'!$B$6:$B$433="NO"),--('Repartition stock'!$E$6:$E$433="Millésime"),--('Repartition stock'!$F$6:$F$433="2023"))=0,SUMPRODUCT(--('Repartition stock'!$A$6:$A$433="2026Q3"),--('Repartition stock'!$B$6:$B$433="NO"),--('Repartition stock'!$E$6:$E$433="Millésime"),--('Repartition stock'!$F$6:$F$433="2023"),--('Repartition stock'!$G$6:$G$433="n.d."))&gt;0),"n.d.",SUMPRODUCT(--('Repartition stock'!$A$6:$A$433="2026Q3"),--('Repartition stock'!$B$6:$B$433="NO"),--('Repartition stock'!$E$6:$E$433="Millésime"),--('Repartition stock'!$F$6:$F$433="2023"),'Repartition stock'!$G$6:$G$433)))</f>
        <v>0</v>
      </c>
      <c r="Y20" s="8"/>
      <c r="Z20" s="8">
        <f>IF((IF(OR(SUMPRODUCT(--('Repartition stock'!$A$6:$A$433="2026Q3"),--('Repartition stock'!$B$6:$B$433="NO"),--('Repartition stock'!$E$6:$E$433="Millésime"),--('Repartition stock'!$F$6:$F$433="2023"))=0,SUMPRODUCT(--('Repartition stock'!$A$6:$A$433="2026Q3"),--('Repartition stock'!$B$6:$B$433="NO"),--('Repartition stock'!$E$6:$E$433="Millésime"),--('Repartition stock'!$F$6:$F$433="2023"),--('Repartition stock'!$H$6:$H$433="n.d."))&gt;0),"n.d.",SUMPRODUCT(--('Repartition stock'!$A$6:$A$433="2026Q3"),--('Repartition stock'!$B$6:$B$433="NO"),--('Repartition stock'!$E$6:$E$433="Millésime"),--('Repartition stock'!$F$6:$F$433="2023"),'Repartition stock'!$H$6:$H$433)))="n.d.",0,IF(OR(SUMPRODUCT(--('Repartition stock'!$A$6:$A$433="2026Q3"),--('Repartition stock'!$B$6:$B$433="NO"),--('Repartition stock'!$E$6:$E$433="Millésime"),--('Repartition stock'!$F$6:$F$433="2023"))=0,SUMPRODUCT(--('Repartition stock'!$A$6:$A$433="2026Q3"),--('Repartition stock'!$B$6:$B$433="NO"),--('Repartition stock'!$E$6:$E$433="Millésime"),--('Repartition stock'!$F$6:$F$433="2023"),--('Repartition stock'!$H$6:$H$433="n.d."))&gt;0),"n.d.",SUMPRODUCT(--('Repartition stock'!$A$6:$A$433="2026Q3"),--('Repartition stock'!$B$6:$B$433="NO"),--('Repartition stock'!$E$6:$E$433="Millésime"),--('Repartition stock'!$F$6:$F$433="2023"),'Repartition stock'!$H$6:$H$433)))</f>
        <v>0</v>
      </c>
      <c r="AA20" s="8"/>
      <c r="AB20" s="8"/>
      <c r="AC20" s="7">
        <f>IF((IF(OR(COUNT(X20,X24)&lt;&gt;2,X24=0),"n.d.",X20/X24))="n.d.",0,IF(OR(COUNT(X20,X24)&lt;&gt;2,X24=0),"n.d.",X20/X24))</f>
        <v>0.0</v>
      </c>
      <c r="AD20" s="7"/>
      <c r="AE20" s="7">
        <f>IF((IF(OR(COUNT(Z20,Z24)&lt;&gt;2,Z24=0),"n.d.",Z20/Z24))="n.d.",0,IF(OR(COUNT(Z20,Z24)&lt;&gt;2,Z24=0),"n.d.",Z20/Z24))</f>
        <v>0.0</v>
      </c>
      <c r="AF20" s="7"/>
    </row>
    <row r="21" spans="1:32" ht="13.5" customHeight="1">
      <c r="A21" s="13"/>
      <c r="R21" s="4"/>
      <c r="S21" s="4"/>
      <c r="T21" s="4"/>
      <c r="U21" s="16" t="s">
        <v>80</v>
      </c>
      <c r="V21" s="16"/>
      <c r="W21" s="16"/>
      <c r="X21" s="8">
        <f>IF((IF(OR(SUMPRODUCT(--('Repartition stock'!$A$6:$A$433="2026Q3"),--('Repartition stock'!$B$6:$B$433="NO"),--('Repartition stock'!$E$6:$E$433="Millésime"),--('Repartition stock'!$F$6:$F$433="2024"))=0,SUMPRODUCT(--('Repartition stock'!$A$6:$A$433="2026Q3"),--('Repartition stock'!$B$6:$B$433="NO"),--('Repartition stock'!$E$6:$E$433="Millésime"),--('Repartition stock'!$F$6:$F$433="2024"),--('Repartition stock'!$G$6:$G$433="n.d."))&gt;0),"n.d.",SUMPRODUCT(--('Repartition stock'!$A$6:$A$433="2026Q3"),--('Repartition stock'!$B$6:$B$433="NO"),--('Repartition stock'!$E$6:$E$433="Millésime"),--('Repartition stock'!$F$6:$F$433="2024"),'Repartition stock'!$G$6:$G$433)))="n.d.",0,IF(OR(SUMPRODUCT(--('Repartition stock'!$A$6:$A$433="2026Q3"),--('Repartition stock'!$B$6:$B$433="NO"),--('Repartition stock'!$E$6:$E$433="Millésime"),--('Repartition stock'!$F$6:$F$433="2024"))=0,SUMPRODUCT(--('Repartition stock'!$A$6:$A$433="2026Q3"),--('Repartition stock'!$B$6:$B$433="NO"),--('Repartition stock'!$E$6:$E$433="Millésime"),--('Repartition stock'!$F$6:$F$433="2024"),--('Repartition stock'!$G$6:$G$433="n.d."))&gt;0),"n.d.",SUMPRODUCT(--('Repartition stock'!$A$6:$A$433="2026Q3"),--('Repartition stock'!$B$6:$B$433="NO"),--('Repartition stock'!$E$6:$E$433="Millésime"),--('Repartition stock'!$F$6:$F$433="2024"),'Repartition stock'!$G$6:$G$433)))</f>
        <v>0</v>
      </c>
      <c r="Y21" s="8"/>
      <c r="Z21" s="8">
        <f>IF((IF(OR(SUMPRODUCT(--('Repartition stock'!$A$6:$A$433="2026Q3"),--('Repartition stock'!$B$6:$B$433="NO"),--('Repartition stock'!$E$6:$E$433="Millésime"),--('Repartition stock'!$F$6:$F$433="2024"))=0,SUMPRODUCT(--('Repartition stock'!$A$6:$A$433="2026Q3"),--('Repartition stock'!$B$6:$B$433="NO"),--('Repartition stock'!$E$6:$E$433="Millésime"),--('Repartition stock'!$F$6:$F$433="2024"),--('Repartition stock'!$H$6:$H$433="n.d."))&gt;0),"n.d.",SUMPRODUCT(--('Repartition stock'!$A$6:$A$433="2026Q3"),--('Repartition stock'!$B$6:$B$433="NO"),--('Repartition stock'!$E$6:$E$433="Millésime"),--('Repartition stock'!$F$6:$F$433="2024"),'Repartition stock'!$H$6:$H$433)))="n.d.",0,IF(OR(SUMPRODUCT(--('Repartition stock'!$A$6:$A$433="2026Q3"),--('Repartition stock'!$B$6:$B$433="NO"),--('Repartition stock'!$E$6:$E$433="Millésime"),--('Repartition stock'!$F$6:$F$433="2024"))=0,SUMPRODUCT(--('Repartition stock'!$A$6:$A$433="2026Q3"),--('Repartition stock'!$B$6:$B$433="NO"),--('Repartition stock'!$E$6:$E$433="Millésime"),--('Repartition stock'!$F$6:$F$433="2024"),--('Repartition stock'!$H$6:$H$433="n.d."))&gt;0),"n.d.",SUMPRODUCT(--('Repartition stock'!$A$6:$A$433="2026Q3"),--('Repartition stock'!$B$6:$B$433="NO"),--('Repartition stock'!$E$6:$E$433="Millésime"),--('Repartition stock'!$F$6:$F$433="2024"),'Repartition stock'!$H$6:$H$433)))</f>
        <v>0</v>
      </c>
      <c r="AA21" s="8"/>
      <c r="AB21" s="8"/>
      <c r="AC21" s="7">
        <f>IF((IF(OR(COUNT(X21,X24)&lt;&gt;2,X24=0),"n.d.",X21/X24))="n.d.",0,IF(OR(COUNT(X21,X24)&lt;&gt;2,X24=0),"n.d.",X21/X24))</f>
        <v>0.0</v>
      </c>
      <c r="AD21" s="7"/>
      <c r="AE21" s="7">
        <f>IF((IF(OR(COUNT(Z21,Z24)&lt;&gt;2,Z24=0),"n.d.",Z21/Z24))="n.d.",0,IF(OR(COUNT(Z21,Z24)&lt;&gt;2,Z24=0),"n.d.",Z21/Z24))</f>
        <v>0.0</v>
      </c>
      <c r="AF21" s="7"/>
    </row>
    <row r="22" spans="1:32" ht="13.5" customHeight="1">
      <c r="A22" s="13"/>
      <c r="R22" s="4"/>
      <c r="S22" s="4"/>
      <c r="T22" s="4"/>
      <c r="U22" s="16" t="s">
        <v>50</v>
      </c>
      <c r="V22" s="16"/>
      <c r="W22" s="16"/>
      <c r="X22" s="8">
        <f>IF((IF(OR(SUMPRODUCT(--('Repartition stock'!$A$6:$A$433="2026Q3"),--('Repartition stock'!$B$6:$B$433="NO"),--('Repartition stock'!$E$6:$E$433="Millésime"),--('Repartition stock'!$F$6:$F$433="2025"))=0,SUMPRODUCT(--('Repartition stock'!$A$6:$A$433="2026Q3"),--('Repartition stock'!$B$6:$B$433="NO"),--('Repartition stock'!$E$6:$E$433="Millésime"),--('Repartition stock'!$F$6:$F$433="2025"),--('Repartition stock'!$G$6:$G$433="n.d."))&gt;0),"n.d.",SUMPRODUCT(--('Repartition stock'!$A$6:$A$433="2026Q3"),--('Repartition stock'!$B$6:$B$433="NO"),--('Repartition stock'!$E$6:$E$433="Millésime"),--('Repartition stock'!$F$6:$F$433="2025"),'Repartition stock'!$G$6:$G$433)))="n.d.",0,IF(OR(SUMPRODUCT(--('Repartition stock'!$A$6:$A$433="2026Q3"),--('Repartition stock'!$B$6:$B$433="NO"),--('Repartition stock'!$E$6:$E$433="Millésime"),--('Repartition stock'!$F$6:$F$433="2025"))=0,SUMPRODUCT(--('Repartition stock'!$A$6:$A$433="2026Q3"),--('Repartition stock'!$B$6:$B$433="NO"),--('Repartition stock'!$E$6:$E$433="Millésime"),--('Repartition stock'!$F$6:$F$433="2025"),--('Repartition stock'!$G$6:$G$433="n.d."))&gt;0),"n.d.",SUMPRODUCT(--('Repartition stock'!$A$6:$A$433="2026Q3"),--('Repartition stock'!$B$6:$B$433="NO"),--('Repartition stock'!$E$6:$E$433="Millésime"),--('Repartition stock'!$F$6:$F$433="2025"),'Repartition stock'!$G$6:$G$433)))</f>
        <v>0</v>
      </c>
      <c r="Y22" s="8"/>
      <c r="Z22" s="8">
        <f>IF((IF(OR(SUMPRODUCT(--('Repartition stock'!$A$6:$A$433="2026Q3"),--('Repartition stock'!$B$6:$B$433="NO"),--('Repartition stock'!$E$6:$E$433="Millésime"),--('Repartition stock'!$F$6:$F$433="2025"))=0,SUMPRODUCT(--('Repartition stock'!$A$6:$A$433="2026Q3"),--('Repartition stock'!$B$6:$B$433="NO"),--('Repartition stock'!$E$6:$E$433="Millésime"),--('Repartition stock'!$F$6:$F$433="2025"),--('Repartition stock'!$H$6:$H$433="n.d."))&gt;0),"n.d.",SUMPRODUCT(--('Repartition stock'!$A$6:$A$433="2026Q3"),--('Repartition stock'!$B$6:$B$433="NO"),--('Repartition stock'!$E$6:$E$433="Millésime"),--('Repartition stock'!$F$6:$F$433="2025"),'Repartition stock'!$H$6:$H$433)))="n.d.",0,IF(OR(SUMPRODUCT(--('Repartition stock'!$A$6:$A$433="2026Q3"),--('Repartition stock'!$B$6:$B$433="NO"),--('Repartition stock'!$E$6:$E$433="Millésime"),--('Repartition stock'!$F$6:$F$433="2025"))=0,SUMPRODUCT(--('Repartition stock'!$A$6:$A$433="2026Q3"),--('Repartition stock'!$B$6:$B$433="NO"),--('Repartition stock'!$E$6:$E$433="Millésime"),--('Repartition stock'!$F$6:$F$433="2025"),--('Repartition stock'!$H$6:$H$433="n.d."))&gt;0),"n.d.",SUMPRODUCT(--('Repartition stock'!$A$6:$A$433="2026Q3"),--('Repartition stock'!$B$6:$B$433="NO"),--('Repartition stock'!$E$6:$E$433="Millésime"),--('Repartition stock'!$F$6:$F$433="2025"),'Repartition stock'!$H$6:$H$433)))</f>
        <v>0</v>
      </c>
      <c r="AA22" s="8"/>
      <c r="AB22" s="8"/>
      <c r="AC22" s="7">
        <f>IF((IF(OR(COUNT(X22,X24)&lt;&gt;2,X24=0),"n.d.",X22/X24))="n.d.",0,IF(OR(COUNT(X22,X24)&lt;&gt;2,X24=0),"n.d.",X22/X24))</f>
        <v>0.0</v>
      </c>
      <c r="AD22" s="7"/>
      <c r="AE22" s="7">
        <f>IF((IF(OR(COUNT(Z22,Z24)&lt;&gt;2,Z24=0),"n.d.",Z22/Z24))="n.d.",0,IF(OR(COUNT(Z22,Z24)&lt;&gt;2,Z24=0),"n.d.",Z22/Z24))</f>
        <v>0.0</v>
      </c>
      <c r="AF22" s="7"/>
    </row>
    <row r="23" spans="1:32" ht="13.5" customHeight="1">
      <c r="A23" s="13"/>
      <c r="R23" s="4"/>
      <c r="S23" s="4"/>
      <c r="T23" s="4"/>
      <c r="U23" s="16" t="s">
        <v>51</v>
      </c>
      <c r="V23" s="16"/>
      <c r="W23" s="16"/>
      <c r="X23" s="8">
        <f>IF((IF(OR(SUMPRODUCT(--('Repartition stock'!$A$6:$A$433="2026Q3"),--('Repartition stock'!$B$6:$B$433="NO"),--('Repartition stock'!$E$6:$E$433="Millésime"),--('Repartition stock'!$F$6:$F$433="2026"))=0,SUMPRODUCT(--('Repartition stock'!$A$6:$A$433="2026Q3"),--('Repartition stock'!$B$6:$B$433="NO"),--('Repartition stock'!$E$6:$E$433="Millésime"),--('Repartition stock'!$F$6:$F$433="2026"),--('Repartition stock'!$G$6:$G$433="n.d."))&gt;0),"n.d.",SUMPRODUCT(--('Repartition stock'!$A$6:$A$433="2026Q3"),--('Repartition stock'!$B$6:$B$433="NO"),--('Repartition stock'!$E$6:$E$433="Millésime"),--('Repartition stock'!$F$6:$F$433="2026"),'Repartition stock'!$G$6:$G$433)))="n.d.",0,IF(OR(SUMPRODUCT(--('Repartition stock'!$A$6:$A$433="2026Q3"),--('Repartition stock'!$B$6:$B$433="NO"),--('Repartition stock'!$E$6:$E$433="Millésime"),--('Repartition stock'!$F$6:$F$433="2026"))=0,SUMPRODUCT(--('Repartition stock'!$A$6:$A$433="2026Q3"),--('Repartition stock'!$B$6:$B$433="NO"),--('Repartition stock'!$E$6:$E$433="Millésime"),--('Repartition stock'!$F$6:$F$433="2026"),--('Repartition stock'!$G$6:$G$433="n.d."))&gt;0),"n.d.",SUMPRODUCT(--('Repartition stock'!$A$6:$A$433="2026Q3"),--('Repartition stock'!$B$6:$B$433="NO"),--('Repartition stock'!$E$6:$E$433="Millésime"),--('Repartition stock'!$F$6:$F$433="2026"),'Repartition stock'!$G$6:$G$433)))</f>
        <v>116</v>
      </c>
      <c r="Y23" s="8"/>
      <c r="Z23" s="8">
        <f>IF((IF(OR(SUMPRODUCT(--('Repartition stock'!$A$6:$A$433="2026Q3"),--('Repartition stock'!$B$6:$B$433="NO"),--('Repartition stock'!$E$6:$E$433="Millésime"),--('Repartition stock'!$F$6:$F$433="2026"))=0,SUMPRODUCT(--('Repartition stock'!$A$6:$A$433="2026Q3"),--('Repartition stock'!$B$6:$B$433="NO"),--('Repartition stock'!$E$6:$E$433="Millésime"),--('Repartition stock'!$F$6:$F$433="2026"),--('Repartition stock'!$H$6:$H$433="n.d."))&gt;0),"n.d.",SUMPRODUCT(--('Repartition stock'!$A$6:$A$433="2026Q3"),--('Repartition stock'!$B$6:$B$433="NO"),--('Repartition stock'!$E$6:$E$433="Millésime"),--('Repartition stock'!$F$6:$F$433="2026"),'Repartition stock'!$H$6:$H$433)))="n.d.",0,IF(OR(SUMPRODUCT(--('Repartition stock'!$A$6:$A$433="2026Q3"),--('Repartition stock'!$B$6:$B$433="NO"),--('Repartition stock'!$E$6:$E$433="Millésime"),--('Repartition stock'!$F$6:$F$433="2026"))=0,SUMPRODUCT(--('Repartition stock'!$A$6:$A$433="2026Q3"),--('Repartition stock'!$B$6:$B$433="NO"),--('Repartition stock'!$E$6:$E$433="Millésime"),--('Repartition stock'!$F$6:$F$433="2026"),--('Repartition stock'!$H$6:$H$433="n.d."))&gt;0),"n.d.",SUMPRODUCT(--('Repartition stock'!$A$6:$A$433="2026Q3"),--('Repartition stock'!$B$6:$B$433="NO"),--('Repartition stock'!$E$6:$E$433="Millésime"),--('Repartition stock'!$F$6:$F$433="2026"),'Repartition stock'!$H$6:$H$433)))</f>
        <v>22084.090000000007</v>
      </c>
      <c r="AA23" s="8"/>
      <c r="AB23" s="8"/>
      <c r="AC23" s="7">
        <f>IF((IF(OR(COUNT(X23,X24)&lt;&gt;2,X24=0),"n.d.",X23/X24))="n.d.",0,IF(OR(COUNT(X23,X24)&lt;&gt;2,X24=0),"n.d.",X23/X24))</f>
        <v>1.0</v>
      </c>
      <c r="AD23" s="7"/>
      <c r="AE23" s="7">
        <f>IF((IF(OR(COUNT(Z23,Z24)&lt;&gt;2,Z24=0),"n.d.",Z23/Z24))="n.d.",0,IF(OR(COUNT(Z23,Z24)&lt;&gt;2,Z24=0),"n.d.",Z23/Z24))</f>
        <v>1.0</v>
      </c>
      <c r="AF23" s="7"/>
    </row>
    <row r="24" spans="1:32" ht="13.5" customHeight="1">
      <c r="A24" s="13"/>
      <c r="R24" s="17" t="s">
        <v>71</v>
      </c>
      <c r="S24" s="17"/>
      <c r="T24" s="17"/>
      <c r="U24" s="17"/>
      <c r="V24" s="17"/>
      <c r="W24" s="17"/>
      <c r="X24" s="17">
        <f>IF((IF(COUNT(X14:X23)=10,SUM(X14:X23),"n.d."))="n.d.",0,IF(COUNT(X14:X23)=10,SUM(X14:X23),"n.d."))</f>
        <v>116</v>
      </c>
      <c r="Y24" s="17"/>
      <c r="Z24" s="17">
        <f>IF((IF(COUNT(Z14:Z23)=10,SUM(Z14:Z23),"n.d."))="n.d.",0,IF(COUNT(Z14:Z23)=10,SUM(Z14:Z23),"n.d."))</f>
        <v>22084.090000000007</v>
      </c>
      <c r="AA24" s="17"/>
      <c r="AB24" s="17"/>
      <c r="AC24" s="10">
        <f>IF((IF(OR(NOT(ISNUMBER(X24)),X24=0),"n.d.",1))="n.d.",0,IF(OR(NOT(ISNUMBER(X24)),X24=0),"n.d.",1))</f>
        <v>1.0</v>
      </c>
      <c r="AD24" s="10"/>
      <c r="AE24" s="10">
        <f>IF((IF(OR(NOT(ISNUMBER(Z24)),Z24=0),"n.d.",1))="n.d.",0,IF(OR(NOT(ISNUMBER(Z24)),Z24=0),"n.d.",1))</f>
        <v>1.0</v>
      </c>
      <c r="AF24" s="10"/>
    </row>
    <row r="25" spans="1:32" ht="13.5" customHeight="1">
      <c r="A25" s="13"/>
    </row>
    <row r="26" spans="1:32" ht="13.5" customHeight="1">
      <c r="A26" s="13"/>
    </row>
    <row r="27" spans="1:32" ht="13.5" customHeight="1">
      <c r="A27" s="13"/>
    </row>
    <row r="28" spans="1:32" ht="13.5" customHeight="1">
      <c r="A28" s="13"/>
    </row>
    <row r="29" spans="1:32" ht="13.5" customHeight="1">
      <c r="A29" s="13"/>
    </row>
    <row r="30" spans="1:32" ht="13.5" customHeight="1">
      <c r="A30" s="13"/>
      <c r="B30" s="11" t="str">
        <f>"Average monthly new flow: "&amp;IF(ISNUMBER('GraphData'!A292),TEXT('GraphData'!A292,"#,##0"),"0")&amp;" NOK. Average balance per contract: "&amp;IF(ISNUMBER('GraphData'!B292),TEXT('GraphData'!B292,"#,##0"),"0")&amp;" NOK."</f>
        <v>Average monthly new flow: 66,018 NOK. Average balance per contract: 504 NOK.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tr">
        <f>"Oldest cohort (M-5): "&amp;IF(ISNUMBER('GraphData'!C292),TEXT('GraphData'!C292,"0.0%"),"0")&amp;" treated in amount and "&amp;IF(ISNUMBER('GraphData'!D292),TEXT('GraphData'!D292,"0.0%"),"0")&amp;" in number."</f>
        <v>Oldest cohort (M-5): 93.4% treated in amount and 99.3% in number.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tr">
        <f>"Stock to process: "&amp;IF(ISNUMBER('GraphData'!E292),TEXT('GraphData'!E292,"#,##0"),"0")&amp;" NOK. Identified stock: "&amp;IF(ISNUMBER('GraphData'!F292),TEXT('GraphData'!F292,"#,##0"),"0")&amp;" NOK."</f>
        <v>Stock to process: 22,084 NOK. Identified stock: 22,084 NOK.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125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3"/>
      <c r="B2" s="14" t="s">
        <v>134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R2" s="4" t="s">
        <v>59</v>
      </c>
      <c r="S2" s="4"/>
      <c r="T2" s="4"/>
      <c r="U2" s="4"/>
      <c r="V2" s="4"/>
      <c r="W2" s="4"/>
      <c r="X2" s="15">
        <v>46295</v>
      </c>
      <c r="Y2" s="15"/>
      <c r="Z2" s="15"/>
      <c r="AA2" s="15"/>
      <c r="AB2" s="15"/>
      <c r="AC2" s="15"/>
      <c r="AD2" s="15"/>
      <c r="AE2" s="15"/>
      <c r="AF2" s="15"/>
    </row>
    <row r="3" spans="1:32" ht="13.5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R3" s="4"/>
      <c r="S3" s="4"/>
      <c r="T3" s="4"/>
      <c r="U3" s="4"/>
      <c r="V3" s="4"/>
      <c r="W3" s="4"/>
      <c r="X3" s="4" t="s">
        <v>60</v>
      </c>
      <c r="Y3" s="4"/>
      <c r="Z3" s="4" t="s">
        <v>135</v>
      </c>
      <c r="AA3" s="4"/>
      <c r="AB3" s="4"/>
      <c r="AC3" s="4" t="s">
        <v>62</v>
      </c>
      <c r="AD3" s="4"/>
      <c r="AE3" s="4" t="s">
        <v>63</v>
      </c>
      <c r="AF3" s="4"/>
    </row>
    <row r="4" spans="1:32" ht="13.5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3"/>
      <c r="B5" s="1" t="s">
        <v>136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3"/>
      <c r="R7" s="4" t="s">
        <v>65</v>
      </c>
      <c r="S7" s="4"/>
      <c r="T7" s="4"/>
      <c r="U7" s="16" t="s">
        <v>137</v>
      </c>
      <c r="V7" s="16"/>
      <c r="W7" s="16"/>
      <c r="X7" s="8">
        <f>IF((IF(OR(SUMPRODUCT(--('Repartition stock'!$A$6:$A$433="2026Q3"),--('Repartition stock'!$B$6:$B$433="SE"),--('Repartition stock'!$E$6:$E$433="Tranche"),--('Repartition stock'!$F$6:$F$433="0 - 11,3 Kr"))=0,SUMPRODUCT(--('Repartition stock'!$A$6:$A$433="2026Q3"),--('Repartition stock'!$B$6:$B$433="SE"),--('Repartition stock'!$E$6:$E$433="Tranche"),--('Repartition stock'!$F$6:$F$433="0 - 11,3 Kr"),--('Repartition stock'!$G$6:$G$433="n.d."))&gt;0),"n.d.",SUMPRODUCT(--('Repartition stock'!$A$6:$A$433="2026Q3"),--('Repartition stock'!$B$6:$B$433="SE"),--('Repartition stock'!$E$6:$E$433="Tranche"),--('Repartition stock'!$F$6:$F$433="0 - 11,3 Kr"),'Repartition stock'!$G$6:$G$433)))="n.d.",0,IF(OR(SUMPRODUCT(--('Repartition stock'!$A$6:$A$433="2026Q3"),--('Repartition stock'!$B$6:$B$433="SE"),--('Repartition stock'!$E$6:$E$433="Tranche"),--('Repartition stock'!$F$6:$F$433="0 - 11,3 Kr"))=0,SUMPRODUCT(--('Repartition stock'!$A$6:$A$433="2026Q3"),--('Repartition stock'!$B$6:$B$433="SE"),--('Repartition stock'!$E$6:$E$433="Tranche"),--('Repartition stock'!$F$6:$F$433="0 - 11,3 Kr"),--('Repartition stock'!$G$6:$G$433="n.d."))&gt;0),"n.d.",SUMPRODUCT(--('Repartition stock'!$A$6:$A$433="2026Q3"),--('Repartition stock'!$B$6:$B$433="SE"),--('Repartition stock'!$E$6:$E$433="Tranche"),--('Repartition stock'!$F$6:$F$433="0 - 11,3 Kr"),'Repartition stock'!$G$6:$G$433)))</f>
        <v>102</v>
      </c>
      <c r="Y7" s="8"/>
      <c r="Z7" s="8">
        <f>IF((IF(OR(SUMPRODUCT(--('Repartition stock'!$A$6:$A$433="2026Q3"),--('Repartition stock'!$B$6:$B$433="SE"),--('Repartition stock'!$E$6:$E$433="Tranche"),--('Repartition stock'!$F$6:$F$433="0 - 11,3 Kr"))=0,SUMPRODUCT(--('Repartition stock'!$A$6:$A$433="2026Q3"),--('Repartition stock'!$B$6:$B$433="SE"),--('Repartition stock'!$E$6:$E$433="Tranche"),--('Repartition stock'!$F$6:$F$433="0 - 11,3 Kr"),--('Repartition stock'!$H$6:$H$433="n.d."))&gt;0),"n.d.",SUMPRODUCT(--('Repartition stock'!$A$6:$A$433="2026Q3"),--('Repartition stock'!$B$6:$B$433="SE"),--('Repartition stock'!$E$6:$E$433="Tranche"),--('Repartition stock'!$F$6:$F$433="0 - 11,3 Kr"),'Repartition stock'!$H$6:$H$433)))="n.d.",0,IF(OR(SUMPRODUCT(--('Repartition stock'!$A$6:$A$433="2026Q3"),--('Repartition stock'!$B$6:$B$433="SE"),--('Repartition stock'!$E$6:$E$433="Tranche"),--('Repartition stock'!$F$6:$F$433="0 - 11,3 Kr"))=0,SUMPRODUCT(--('Repartition stock'!$A$6:$A$433="2026Q3"),--('Repartition stock'!$B$6:$B$433="SE"),--('Repartition stock'!$E$6:$E$433="Tranche"),--('Repartition stock'!$F$6:$F$433="0 - 11,3 Kr"),--('Repartition stock'!$H$6:$H$433="n.d."))&gt;0),"n.d.",SUMPRODUCT(--('Repartition stock'!$A$6:$A$433="2026Q3"),--('Repartition stock'!$B$6:$B$433="SE"),--('Repartition stock'!$E$6:$E$433="Tranche"),--('Repartition stock'!$F$6:$F$433="0 - 11,3 Kr"),'Repartition stock'!$H$6:$H$433)))</f>
        <v>199.04999999999998</v>
      </c>
      <c r="AA7" s="8"/>
      <c r="AB7" s="8"/>
      <c r="AC7" s="7">
        <f>IF((IF(OR(COUNT(X7,X12)&lt;&gt;2,X12=0),"n.d.",X7/X12))="n.d.",0,IF(OR(COUNT(X7,X12)&lt;&gt;2,X12=0),"n.d.",X7/X12))</f>
        <v>0.2727272727272727</v>
      </c>
      <c r="AD7" s="7"/>
      <c r="AE7" s="7">
        <f>IF((IF(OR(COUNT(Z7,Z12)&lt;&gt;2,Z12=0),"n.d.",Z7/Z12))="n.d.",0,IF(OR(COUNT(Z7,Z12)&lt;&gt;2,Z12=0),"n.d.",Z7/Z12))</f>
        <v>0.0011530666591282384</v>
      </c>
      <c r="AF7" s="7"/>
    </row>
    <row r="8" spans="1:32" ht="13.5" customHeight="1">
      <c r="A8" s="13"/>
      <c r="R8" s="4"/>
      <c r="S8" s="4"/>
      <c r="T8" s="4"/>
      <c r="U8" s="16" t="s">
        <v>138</v>
      </c>
      <c r="V8" s="16"/>
      <c r="W8" s="16"/>
      <c r="X8" s="8">
        <f>IF((IF(OR(SUMPRODUCT(--('Repartition stock'!$A$6:$A$433="2026Q3"),--('Repartition stock'!$B$6:$B$433="SE"),--('Repartition stock'!$E$6:$E$433="Tranche"),--('Repartition stock'!$F$6:$F$433="11,3 - 113 Kr"))=0,SUMPRODUCT(--('Repartition stock'!$A$6:$A$433="2026Q3"),--('Repartition stock'!$B$6:$B$433="SE"),--('Repartition stock'!$E$6:$E$433="Tranche"),--('Repartition stock'!$F$6:$F$433="11,3 - 113 Kr"),--('Repartition stock'!$G$6:$G$433="n.d."))&gt;0),"n.d.",SUMPRODUCT(--('Repartition stock'!$A$6:$A$433="2026Q3"),--('Repartition stock'!$B$6:$B$433="SE"),--('Repartition stock'!$E$6:$E$433="Tranche"),--('Repartition stock'!$F$6:$F$433="11,3 - 113 Kr"),'Repartition stock'!$G$6:$G$433)))="n.d.",0,IF(OR(SUMPRODUCT(--('Repartition stock'!$A$6:$A$433="2026Q3"),--('Repartition stock'!$B$6:$B$433="SE"),--('Repartition stock'!$E$6:$E$433="Tranche"),--('Repartition stock'!$F$6:$F$433="11,3 - 113 Kr"))=0,SUMPRODUCT(--('Repartition stock'!$A$6:$A$433="2026Q3"),--('Repartition stock'!$B$6:$B$433="SE"),--('Repartition stock'!$E$6:$E$433="Tranche"),--('Repartition stock'!$F$6:$F$433="11,3 - 113 Kr"),--('Repartition stock'!$G$6:$G$433="n.d."))&gt;0),"n.d.",SUMPRODUCT(--('Repartition stock'!$A$6:$A$433="2026Q3"),--('Repartition stock'!$B$6:$B$433="SE"),--('Repartition stock'!$E$6:$E$433="Tranche"),--('Repartition stock'!$F$6:$F$433="11,3 - 113 Kr"),'Repartition stock'!$G$6:$G$433)))</f>
        <v>94</v>
      </c>
      <c r="Y8" s="8"/>
      <c r="Z8" s="8">
        <f>IF((IF(OR(SUMPRODUCT(--('Repartition stock'!$A$6:$A$433="2026Q3"),--('Repartition stock'!$B$6:$B$433="SE"),--('Repartition stock'!$E$6:$E$433="Tranche"),--('Repartition stock'!$F$6:$F$433="11,3 - 113 Kr"))=0,SUMPRODUCT(--('Repartition stock'!$A$6:$A$433="2026Q3"),--('Repartition stock'!$B$6:$B$433="SE"),--('Repartition stock'!$E$6:$E$433="Tranche"),--('Repartition stock'!$F$6:$F$433="11,3 - 113 Kr"),--('Repartition stock'!$H$6:$H$433="n.d."))&gt;0),"n.d.",SUMPRODUCT(--('Repartition stock'!$A$6:$A$433="2026Q3"),--('Repartition stock'!$B$6:$B$433="SE"),--('Repartition stock'!$E$6:$E$433="Tranche"),--('Repartition stock'!$F$6:$F$433="11,3 - 113 Kr"),'Repartition stock'!$H$6:$H$433)))="n.d.",0,IF(OR(SUMPRODUCT(--('Repartition stock'!$A$6:$A$433="2026Q3"),--('Repartition stock'!$B$6:$B$433="SE"),--('Repartition stock'!$E$6:$E$433="Tranche"),--('Repartition stock'!$F$6:$F$433="11,3 - 113 Kr"))=0,SUMPRODUCT(--('Repartition stock'!$A$6:$A$433="2026Q3"),--('Repartition stock'!$B$6:$B$433="SE"),--('Repartition stock'!$E$6:$E$433="Tranche"),--('Repartition stock'!$F$6:$F$433="11,3 - 113 Kr"),--('Repartition stock'!$H$6:$H$433="n.d."))&gt;0),"n.d.",SUMPRODUCT(--('Repartition stock'!$A$6:$A$433="2026Q3"),--('Repartition stock'!$B$6:$B$433="SE"),--('Repartition stock'!$E$6:$E$433="Tranche"),--('Repartition stock'!$F$6:$F$433="11,3 - 113 Kr"),'Repartition stock'!$H$6:$H$433)))</f>
        <v>5458.84</v>
      </c>
      <c r="AA8" s="8"/>
      <c r="AB8" s="8"/>
      <c r="AC8" s="7">
        <f>IF((IF(OR(COUNT(X8,X12)&lt;&gt;2,X12=0),"n.d.",X8/X12))="n.d.",0,IF(OR(COUNT(X8,X12)&lt;&gt;2,X12=0),"n.d.",X8/X12))</f>
        <v>0.25133689839572193</v>
      </c>
      <c r="AD8" s="7"/>
      <c r="AE8" s="7">
        <f>IF((IF(OR(COUNT(Z8,Z12)&lt;&gt;2,Z12=0),"n.d.",Z8/Z12))="n.d.",0,IF(OR(COUNT(Z8,Z12)&lt;&gt;2,Z12=0),"n.d.",Z8/Z12))</f>
        <v>0.031622237636350636</v>
      </c>
      <c r="AF8" s="7"/>
    </row>
    <row r="9" spans="1:32" ht="13.5" customHeight="1">
      <c r="A9" s="13"/>
      <c r="R9" s="4"/>
      <c r="S9" s="4"/>
      <c r="T9" s="4"/>
      <c r="U9" s="16" t="s">
        <v>139</v>
      </c>
      <c r="V9" s="16"/>
      <c r="W9" s="16"/>
      <c r="X9" s="8">
        <f>IF((IF(OR(SUMPRODUCT(--('Repartition stock'!$A$6:$A$433="2026Q3"),--('Repartition stock'!$B$6:$B$433="SE"),--('Repartition stock'!$E$6:$E$433="Tranche"),--('Repartition stock'!$F$6:$F$433="113 - 1133 Kr"))=0,SUMPRODUCT(--('Repartition stock'!$A$6:$A$433="2026Q3"),--('Repartition stock'!$B$6:$B$433="SE"),--('Repartition stock'!$E$6:$E$433="Tranche"),--('Repartition stock'!$F$6:$F$433="113 - 1133 Kr"),--('Repartition stock'!$G$6:$G$433="n.d."))&gt;0),"n.d.",SUMPRODUCT(--('Repartition stock'!$A$6:$A$433="2026Q3"),--('Repartition stock'!$B$6:$B$433="SE"),--('Repartition stock'!$E$6:$E$433="Tranche"),--('Repartition stock'!$F$6:$F$433="113 - 1133 Kr"),'Repartition stock'!$G$6:$G$433)))="n.d.",0,IF(OR(SUMPRODUCT(--('Repartition stock'!$A$6:$A$433="2026Q3"),--('Repartition stock'!$B$6:$B$433="SE"),--('Repartition stock'!$E$6:$E$433="Tranche"),--('Repartition stock'!$F$6:$F$433="113 - 1133 Kr"))=0,SUMPRODUCT(--('Repartition stock'!$A$6:$A$433="2026Q3"),--('Repartition stock'!$B$6:$B$433="SE"),--('Repartition stock'!$E$6:$E$433="Tranche"),--('Repartition stock'!$F$6:$F$433="113 - 1133 Kr"),--('Repartition stock'!$G$6:$G$433="n.d."))&gt;0),"n.d.",SUMPRODUCT(--('Repartition stock'!$A$6:$A$433="2026Q3"),--('Repartition stock'!$B$6:$B$433="SE"),--('Repartition stock'!$E$6:$E$433="Tranche"),--('Repartition stock'!$F$6:$F$433="113 - 1133 Kr"),'Repartition stock'!$G$6:$G$433)))</f>
        <v>142</v>
      </c>
      <c r="Y9" s="8"/>
      <c r="Z9" s="8">
        <f>IF((IF(OR(SUMPRODUCT(--('Repartition stock'!$A$6:$A$433="2026Q3"),--('Repartition stock'!$B$6:$B$433="SE"),--('Repartition stock'!$E$6:$E$433="Tranche"),--('Repartition stock'!$F$6:$F$433="113 - 1133 Kr"))=0,SUMPRODUCT(--('Repartition stock'!$A$6:$A$433="2026Q3"),--('Repartition stock'!$B$6:$B$433="SE"),--('Repartition stock'!$E$6:$E$433="Tranche"),--('Repartition stock'!$F$6:$F$433="113 - 1133 Kr"),--('Repartition stock'!$H$6:$H$433="n.d."))&gt;0),"n.d.",SUMPRODUCT(--('Repartition stock'!$A$6:$A$433="2026Q3"),--('Repartition stock'!$B$6:$B$433="SE"),--('Repartition stock'!$E$6:$E$433="Tranche"),--('Repartition stock'!$F$6:$F$433="113 - 1133 Kr"),'Repartition stock'!$H$6:$H$433)))="n.d.",0,IF(OR(SUMPRODUCT(--('Repartition stock'!$A$6:$A$433="2026Q3"),--('Repartition stock'!$B$6:$B$433="SE"),--('Repartition stock'!$E$6:$E$433="Tranche"),--('Repartition stock'!$F$6:$F$433="113 - 1133 Kr"))=0,SUMPRODUCT(--('Repartition stock'!$A$6:$A$433="2026Q3"),--('Repartition stock'!$B$6:$B$433="SE"),--('Repartition stock'!$E$6:$E$433="Tranche"),--('Repartition stock'!$F$6:$F$433="113 - 1133 Kr"),--('Repartition stock'!$H$6:$H$433="n.d."))&gt;0),"n.d.",SUMPRODUCT(--('Repartition stock'!$A$6:$A$433="2026Q3"),--('Repartition stock'!$B$6:$B$433="SE"),--('Repartition stock'!$E$6:$E$433="Tranche"),--('Repartition stock'!$F$6:$F$433="113 - 1133 Kr"),'Repartition stock'!$H$6:$H$433)))</f>
        <v>57058.09000000001</v>
      </c>
      <c r="AA9" s="8"/>
      <c r="AB9" s="8"/>
      <c r="AC9" s="7">
        <f>IF((IF(OR(COUNT(X9,X12)&lt;&gt;2,X12=0),"n.d.",X9/X12))="n.d.",0,IF(OR(COUNT(X9,X12)&lt;&gt;2,X12=0),"n.d.",X9/X12))</f>
        <v>0.37967914438502676</v>
      </c>
      <c r="AD9" s="7"/>
      <c r="AE9" s="7">
        <f>IF((IF(OR(COUNT(Z9,Z12)&lt;&gt;2,Z12=0),"n.d.",Z9/Z12))="n.d.",0,IF(OR(COUNT(Z9,Z12)&lt;&gt;2,Z12=0),"n.d.",Z9/Z12))</f>
        <v>0.3305289184252116</v>
      </c>
      <c r="AF9" s="7"/>
    </row>
    <row r="10" spans="1:32" ht="13.5" customHeight="1">
      <c r="A10" s="13"/>
      <c r="R10" s="4"/>
      <c r="S10" s="4"/>
      <c r="T10" s="4"/>
      <c r="U10" s="16" t="s">
        <v>140</v>
      </c>
      <c r="V10" s="16"/>
      <c r="W10" s="16"/>
      <c r="X10" s="8">
        <f>IF((IF(OR(SUMPRODUCT(--('Repartition stock'!$A$6:$A$433="2026Q3"),--('Repartition stock'!$B$6:$B$433="SE"),--('Repartition stock'!$E$6:$E$433="Tranche"),--('Repartition stock'!$F$6:$F$433="1133 - 11331 Kr"))=0,SUMPRODUCT(--('Repartition stock'!$A$6:$A$433="2026Q3"),--('Repartition stock'!$B$6:$B$433="SE"),--('Repartition stock'!$E$6:$E$433="Tranche"),--('Repartition stock'!$F$6:$F$433="1133 - 11331 Kr"),--('Repartition stock'!$G$6:$G$433="n.d."))&gt;0),"n.d.",SUMPRODUCT(--('Repartition stock'!$A$6:$A$433="2026Q3"),--('Repartition stock'!$B$6:$B$433="SE"),--('Repartition stock'!$E$6:$E$433="Tranche"),--('Repartition stock'!$F$6:$F$433="1133 - 11331 Kr"),'Repartition stock'!$G$6:$G$433)))="n.d.",0,IF(OR(SUMPRODUCT(--('Repartition stock'!$A$6:$A$433="2026Q3"),--('Repartition stock'!$B$6:$B$433="SE"),--('Repartition stock'!$E$6:$E$433="Tranche"),--('Repartition stock'!$F$6:$F$433="1133 - 11331 Kr"))=0,SUMPRODUCT(--('Repartition stock'!$A$6:$A$433="2026Q3"),--('Repartition stock'!$B$6:$B$433="SE"),--('Repartition stock'!$E$6:$E$433="Tranche"),--('Repartition stock'!$F$6:$F$433="1133 - 11331 Kr"),--('Repartition stock'!$G$6:$G$433="n.d."))&gt;0),"n.d.",SUMPRODUCT(--('Repartition stock'!$A$6:$A$433="2026Q3"),--('Repartition stock'!$B$6:$B$433="SE"),--('Repartition stock'!$E$6:$E$433="Tranche"),--('Repartition stock'!$F$6:$F$433="1133 - 11331 Kr"),'Repartition stock'!$G$6:$G$433)))</f>
        <v>36</v>
      </c>
      <c r="Y10" s="8"/>
      <c r="Z10" s="8">
        <f>IF((IF(OR(SUMPRODUCT(--('Repartition stock'!$A$6:$A$433="2026Q3"),--('Repartition stock'!$B$6:$B$433="SE"),--('Repartition stock'!$E$6:$E$433="Tranche"),--('Repartition stock'!$F$6:$F$433="1133 - 11331 Kr"))=0,SUMPRODUCT(--('Repartition stock'!$A$6:$A$433="2026Q3"),--('Repartition stock'!$B$6:$B$433="SE"),--('Repartition stock'!$E$6:$E$433="Tranche"),--('Repartition stock'!$F$6:$F$433="1133 - 11331 Kr"),--('Repartition stock'!$H$6:$H$433="n.d."))&gt;0),"n.d.",SUMPRODUCT(--('Repartition stock'!$A$6:$A$433="2026Q3"),--('Repartition stock'!$B$6:$B$433="SE"),--('Repartition stock'!$E$6:$E$433="Tranche"),--('Repartition stock'!$F$6:$F$433="1133 - 11331 Kr"),'Repartition stock'!$H$6:$H$433)))="n.d.",0,IF(OR(SUMPRODUCT(--('Repartition stock'!$A$6:$A$433="2026Q3"),--('Repartition stock'!$B$6:$B$433="SE"),--('Repartition stock'!$E$6:$E$433="Tranche"),--('Repartition stock'!$F$6:$F$433="1133 - 11331 Kr"))=0,SUMPRODUCT(--('Repartition stock'!$A$6:$A$433="2026Q3"),--('Repartition stock'!$B$6:$B$433="SE"),--('Repartition stock'!$E$6:$E$433="Tranche"),--('Repartition stock'!$F$6:$F$433="1133 - 11331 Kr"),--('Repartition stock'!$H$6:$H$433="n.d."))&gt;0),"n.d.",SUMPRODUCT(--('Repartition stock'!$A$6:$A$433="2026Q3"),--('Repartition stock'!$B$6:$B$433="SE"),--('Repartition stock'!$E$6:$E$433="Tranche"),--('Repartition stock'!$F$6:$F$433="1133 - 11331 Kr"),'Repartition stock'!$H$6:$H$433)))</f>
        <v>109910.64</v>
      </c>
      <c r="AA10" s="8"/>
      <c r="AB10" s="8"/>
      <c r="AC10" s="7">
        <f>IF((IF(OR(COUNT(X10,X12)&lt;&gt;2,X12=0),"n.d.",X10/X12))="n.d.",0,IF(OR(COUNT(X10,X12)&lt;&gt;2,X12=0),"n.d.",X10/X12))</f>
        <v>0.0962566844919786</v>
      </c>
      <c r="AD10" s="7"/>
      <c r="AE10" s="7">
        <f>IF((IF(OR(COUNT(Z10,Z12)&lt;&gt;2,Z12=0),"n.d.",Z10/Z12))="n.d.",0,IF(OR(COUNT(Z10,Z12)&lt;&gt;2,Z12=0),"n.d.",Z10/Z12))</f>
        <v>0.6366957772793095</v>
      </c>
      <c r="AF10" s="7"/>
    </row>
    <row r="11" spans="1:32" ht="13.5" customHeight="1">
      <c r="A11" s="13"/>
      <c r="R11" s="4"/>
      <c r="S11" s="4"/>
      <c r="T11" s="4"/>
      <c r="U11" s="16" t="s">
        <v>141</v>
      </c>
      <c r="V11" s="16"/>
      <c r="W11" s="16"/>
      <c r="X11" s="8">
        <f>IF((IF(OR(SUMPRODUCT(--('Repartition stock'!$A$6:$A$433="2026Q3"),--('Repartition stock'!$B$6:$B$433="SE"),--('Repartition stock'!$E$6:$E$433="Tranche"),--('Repartition stock'!$F$6:$F$433="&gt;11331 Kr"))=0,SUMPRODUCT(--('Repartition stock'!$A$6:$A$433="2026Q3"),--('Repartition stock'!$B$6:$B$433="SE"),--('Repartition stock'!$E$6:$E$433="Tranche"),--('Repartition stock'!$F$6:$F$433="&gt;11331 Kr"),--('Repartition stock'!$G$6:$G$433="n.d."))&gt;0),"n.d.",SUMPRODUCT(--('Repartition stock'!$A$6:$A$433="2026Q3"),--('Repartition stock'!$B$6:$B$433="SE"),--('Repartition stock'!$E$6:$E$433="Tranche"),--('Repartition stock'!$F$6:$F$433="&gt;11331 Kr"),'Repartition stock'!$G$6:$G$433)))="n.d.",0,IF(OR(SUMPRODUCT(--('Repartition stock'!$A$6:$A$433="2026Q3"),--('Repartition stock'!$B$6:$B$433="SE"),--('Repartition stock'!$E$6:$E$433="Tranche"),--('Repartition stock'!$F$6:$F$433="&gt;11331 Kr"))=0,SUMPRODUCT(--('Repartition stock'!$A$6:$A$433="2026Q3"),--('Repartition stock'!$B$6:$B$433="SE"),--('Repartition stock'!$E$6:$E$433="Tranche"),--('Repartition stock'!$F$6:$F$433="&gt;11331 Kr"),--('Repartition stock'!$G$6:$G$433="n.d."))&gt;0),"n.d.",SUMPRODUCT(--('Repartition stock'!$A$6:$A$433="2026Q3"),--('Repartition stock'!$B$6:$B$433="SE"),--('Repartition stock'!$E$6:$E$433="Tranche"),--('Repartition stock'!$F$6:$F$433="&gt;11331 Kr"),'Repartition stock'!$G$6:$G$433)))</f>
        <v>0</v>
      </c>
      <c r="Y11" s="8"/>
      <c r="Z11" s="8">
        <f>IF((IF(OR(SUMPRODUCT(--('Repartition stock'!$A$6:$A$433="2026Q3"),--('Repartition stock'!$B$6:$B$433="SE"),--('Repartition stock'!$E$6:$E$433="Tranche"),--('Repartition stock'!$F$6:$F$433="&gt;11331 Kr"))=0,SUMPRODUCT(--('Repartition stock'!$A$6:$A$433="2026Q3"),--('Repartition stock'!$B$6:$B$433="SE"),--('Repartition stock'!$E$6:$E$433="Tranche"),--('Repartition stock'!$F$6:$F$433="&gt;11331 Kr"),--('Repartition stock'!$H$6:$H$433="n.d."))&gt;0),"n.d.",SUMPRODUCT(--('Repartition stock'!$A$6:$A$433="2026Q3"),--('Repartition stock'!$B$6:$B$433="SE"),--('Repartition stock'!$E$6:$E$433="Tranche"),--('Repartition stock'!$F$6:$F$433="&gt;11331 Kr"),'Repartition stock'!$H$6:$H$433)))="n.d.",0,IF(OR(SUMPRODUCT(--('Repartition stock'!$A$6:$A$433="2026Q3"),--('Repartition stock'!$B$6:$B$433="SE"),--('Repartition stock'!$E$6:$E$433="Tranche"),--('Repartition stock'!$F$6:$F$433="&gt;11331 Kr"))=0,SUMPRODUCT(--('Repartition stock'!$A$6:$A$433="2026Q3"),--('Repartition stock'!$B$6:$B$433="SE"),--('Repartition stock'!$E$6:$E$433="Tranche"),--('Repartition stock'!$F$6:$F$433="&gt;11331 Kr"),--('Repartition stock'!$H$6:$H$433="n.d."))&gt;0),"n.d.",SUMPRODUCT(--('Repartition stock'!$A$6:$A$433="2026Q3"),--('Repartition stock'!$B$6:$B$433="SE"),--('Repartition stock'!$E$6:$E$433="Tranche"),--('Repartition stock'!$F$6:$F$433="&gt;11331 Kr"),'Repartition stock'!$H$6:$H$433)))</f>
        <v>0</v>
      </c>
      <c r="AA11" s="8"/>
      <c r="AB11" s="8"/>
      <c r="AC11" s="7">
        <f>IF((IF(OR(COUNT(X11,X12)&lt;&gt;2,X12=0),"n.d.",X11/X12))="n.d.",0,IF(OR(COUNT(X11,X12)&lt;&gt;2,X12=0),"n.d.",X11/X12))</f>
        <v>0.0</v>
      </c>
      <c r="AD11" s="7"/>
      <c r="AE11" s="7">
        <f>IF((IF(OR(COUNT(Z11,Z12)&lt;&gt;2,Z12=0),"n.d.",Z11/Z12))="n.d.",0,IF(OR(COUNT(Z11,Z12)&lt;&gt;2,Z12=0),"n.d.",Z11/Z12))</f>
        <v>0.0</v>
      </c>
      <c r="AF11" s="7"/>
    </row>
    <row r="12" spans="1:32" ht="13.5" customHeight="1">
      <c r="A12" s="13"/>
      <c r="R12" s="17" t="s">
        <v>71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374</v>
      </c>
      <c r="Y12" s="17"/>
      <c r="Z12" s="17">
        <f>IF((IF(COUNT(Z7:Z11)=5,SUM(Z7:Z11),"n.d."))="n.d.",0,IF(COUNT(Z7:Z11)=5,SUM(Z7:Z11),"n.d."))</f>
        <v>172626.62000000002</v>
      </c>
      <c r="AA12" s="17"/>
      <c r="AB12" s="17"/>
      <c r="AC12" s="10">
        <f>IF((IF(OR(NOT(ISNUMBER(X12)),X12=0),"n.d.",1))="n.d.",0,IF(OR(NOT(ISNUMBER(X12)),X12=0),"n.d.",1))</f>
        <v>1.0</v>
      </c>
      <c r="AD12" s="10"/>
      <c r="AE12" s="10">
        <f>IF((IF(OR(NOT(ISNUMBER(Z12)),Z12=0),"n.d.",1))="n.d.",0,IF(OR(NOT(ISNUMBER(Z12)),Z12=0),"n.d.",1))</f>
        <v>1.0</v>
      </c>
      <c r="AF12" s="10"/>
    </row>
    <row r="13" spans="1:32" ht="13.5" customHeight="1">
      <c r="A13" s="13"/>
    </row>
    <row r="14" spans="1:32" ht="13.5" customHeight="1">
      <c r="A14" s="13"/>
      <c r="R14" s="4" t="s">
        <v>72</v>
      </c>
      <c r="S14" s="4"/>
      <c r="T14" s="4"/>
      <c r="U14" s="16" t="s">
        <v>73</v>
      </c>
      <c r="V14" s="16"/>
      <c r="W14" s="16"/>
      <c r="X14" s="8">
        <f>IF((IF(OR(SUMPRODUCT(--('Repartition stock'!$A$6:$A$433="2026Q3"),--('Repartition stock'!$B$6:$B$433="SE"),--('Repartition stock'!$E$6:$E$433="Millésime"),--('Repartition stock'!$F$6:$F$433="&lt;2018"))=0,SUMPRODUCT(--('Repartition stock'!$A$6:$A$433="2026Q3"),--('Repartition stock'!$B$6:$B$433="SE"),--('Repartition stock'!$E$6:$E$433="Millésime"),--('Repartition stock'!$F$6:$F$433="&lt;2018"),--('Repartition stock'!$G$6:$G$433="n.d."))&gt;0),"n.d.",SUMPRODUCT(--('Repartition stock'!$A$6:$A$433="2026Q3"),--('Repartition stock'!$B$6:$B$433="SE"),--('Repartition stock'!$E$6:$E$433="Millésime"),--('Repartition stock'!$F$6:$F$433="&lt;2018"),'Repartition stock'!$G$6:$G$433)))="n.d.",0,IF(OR(SUMPRODUCT(--('Repartition stock'!$A$6:$A$433="2026Q3"),--('Repartition stock'!$B$6:$B$433="SE"),--('Repartition stock'!$E$6:$E$433="Millésime"),--('Repartition stock'!$F$6:$F$433="&lt;2018"))=0,SUMPRODUCT(--('Repartition stock'!$A$6:$A$433="2026Q3"),--('Repartition stock'!$B$6:$B$433="SE"),--('Repartition stock'!$E$6:$E$433="Millésime"),--('Repartition stock'!$F$6:$F$433="&lt;2018"),--('Repartition stock'!$G$6:$G$433="n.d."))&gt;0),"n.d.",SUMPRODUCT(--('Repartition stock'!$A$6:$A$433="2026Q3"),--('Repartition stock'!$B$6:$B$433="SE"),--('Repartition stock'!$E$6:$E$433="Millésime"),--('Repartition stock'!$F$6:$F$433="&lt;2018"),'Repartition stock'!$G$6:$G$433)))</f>
        <v>0</v>
      </c>
      <c r="Y14" s="8"/>
      <c r="Z14" s="8">
        <f>IF((IF(OR(SUMPRODUCT(--('Repartition stock'!$A$6:$A$433="2026Q3"),--('Repartition stock'!$B$6:$B$433="SE"),--('Repartition stock'!$E$6:$E$433="Millésime"),--('Repartition stock'!$F$6:$F$433="&lt;2018"))=0,SUMPRODUCT(--('Repartition stock'!$A$6:$A$433="2026Q3"),--('Repartition stock'!$B$6:$B$433="SE"),--('Repartition stock'!$E$6:$E$433="Millésime"),--('Repartition stock'!$F$6:$F$433="&lt;2018"),--('Repartition stock'!$H$6:$H$433="n.d."))&gt;0),"n.d.",SUMPRODUCT(--('Repartition stock'!$A$6:$A$433="2026Q3"),--('Repartition stock'!$B$6:$B$433="SE"),--('Repartition stock'!$E$6:$E$433="Millésime"),--('Repartition stock'!$F$6:$F$433="&lt;2018"),'Repartition stock'!$H$6:$H$433)))="n.d.",0,IF(OR(SUMPRODUCT(--('Repartition stock'!$A$6:$A$433="2026Q3"),--('Repartition stock'!$B$6:$B$433="SE"),--('Repartition stock'!$E$6:$E$433="Millésime"),--('Repartition stock'!$F$6:$F$433="&lt;2018"))=0,SUMPRODUCT(--('Repartition stock'!$A$6:$A$433="2026Q3"),--('Repartition stock'!$B$6:$B$433="SE"),--('Repartition stock'!$E$6:$E$433="Millésime"),--('Repartition stock'!$F$6:$F$433="&lt;2018"),--('Repartition stock'!$H$6:$H$433="n.d."))&gt;0),"n.d.",SUMPRODUCT(--('Repartition stock'!$A$6:$A$433="2026Q3"),--('Repartition stock'!$B$6:$B$433="SE"),--('Repartition stock'!$E$6:$E$433="Millésime"),--('Repartition stock'!$F$6:$F$433="&lt;2018"),'Repartition stock'!$H$6:$H$433)))</f>
        <v>0</v>
      </c>
      <c r="AA14" s="8"/>
      <c r="AB14" s="8"/>
      <c r="AC14" s="7">
        <f>IF((IF(OR(COUNT(X14,X24)&lt;&gt;2,X24=0),"n.d.",X14/X24))="n.d.",0,IF(OR(COUNT(X14,X24)&lt;&gt;2,X24=0),"n.d.",X14/X24))</f>
        <v>0.0</v>
      </c>
      <c r="AD14" s="7"/>
      <c r="AE14" s="7">
        <f>IF((IF(OR(COUNT(Z14,Z24)&lt;&gt;2,Z24=0),"n.d.",Z14/Z24))="n.d.",0,IF(OR(COUNT(Z14,Z24)&lt;&gt;2,Z24=0),"n.d.",Z14/Z24))</f>
        <v>0.0</v>
      </c>
      <c r="AF14" s="7"/>
    </row>
    <row r="15" spans="1:32" ht="13.5" customHeight="1">
      <c r="A15" s="13"/>
      <c r="R15" s="4"/>
      <c r="S15" s="4"/>
      <c r="T15" s="4"/>
      <c r="U15" s="16" t="s">
        <v>74</v>
      </c>
      <c r="V15" s="16"/>
      <c r="W15" s="16"/>
      <c r="X15" s="8">
        <f>IF((IF(OR(SUMPRODUCT(--('Repartition stock'!$A$6:$A$433="2026Q3"),--('Repartition stock'!$B$6:$B$433="SE"),--('Repartition stock'!$E$6:$E$433="Millésime"),--('Repartition stock'!$F$6:$F$433="2018"))=0,SUMPRODUCT(--('Repartition stock'!$A$6:$A$433="2026Q3"),--('Repartition stock'!$B$6:$B$433="SE"),--('Repartition stock'!$E$6:$E$433="Millésime"),--('Repartition stock'!$F$6:$F$433="2018"),--('Repartition stock'!$G$6:$G$433="n.d."))&gt;0),"n.d.",SUMPRODUCT(--('Repartition stock'!$A$6:$A$433="2026Q3"),--('Repartition stock'!$B$6:$B$433="SE"),--('Repartition stock'!$E$6:$E$433="Millésime"),--('Repartition stock'!$F$6:$F$433="2018"),'Repartition stock'!$G$6:$G$433)))="n.d.",0,IF(OR(SUMPRODUCT(--('Repartition stock'!$A$6:$A$433="2026Q3"),--('Repartition stock'!$B$6:$B$433="SE"),--('Repartition stock'!$E$6:$E$433="Millésime"),--('Repartition stock'!$F$6:$F$433="2018"))=0,SUMPRODUCT(--('Repartition stock'!$A$6:$A$433="2026Q3"),--('Repartition stock'!$B$6:$B$433="SE"),--('Repartition stock'!$E$6:$E$433="Millésime"),--('Repartition stock'!$F$6:$F$433="2018"),--('Repartition stock'!$G$6:$G$433="n.d."))&gt;0),"n.d.",SUMPRODUCT(--('Repartition stock'!$A$6:$A$433="2026Q3"),--('Repartition stock'!$B$6:$B$433="SE"),--('Repartition stock'!$E$6:$E$433="Millésime"),--('Repartition stock'!$F$6:$F$433="2018"),'Repartition stock'!$G$6:$G$433)))</f>
        <v>0</v>
      </c>
      <c r="Y15" s="8"/>
      <c r="Z15" s="8">
        <f>IF((IF(OR(SUMPRODUCT(--('Repartition stock'!$A$6:$A$433="2026Q3"),--('Repartition stock'!$B$6:$B$433="SE"),--('Repartition stock'!$E$6:$E$433="Millésime"),--('Repartition stock'!$F$6:$F$433="2018"))=0,SUMPRODUCT(--('Repartition stock'!$A$6:$A$433="2026Q3"),--('Repartition stock'!$B$6:$B$433="SE"),--('Repartition stock'!$E$6:$E$433="Millésime"),--('Repartition stock'!$F$6:$F$433="2018"),--('Repartition stock'!$H$6:$H$433="n.d."))&gt;0),"n.d.",SUMPRODUCT(--('Repartition stock'!$A$6:$A$433="2026Q3"),--('Repartition stock'!$B$6:$B$433="SE"),--('Repartition stock'!$E$6:$E$433="Millésime"),--('Repartition stock'!$F$6:$F$433="2018"),'Repartition stock'!$H$6:$H$433)))="n.d.",0,IF(OR(SUMPRODUCT(--('Repartition stock'!$A$6:$A$433="2026Q3"),--('Repartition stock'!$B$6:$B$433="SE"),--('Repartition stock'!$E$6:$E$433="Millésime"),--('Repartition stock'!$F$6:$F$433="2018"))=0,SUMPRODUCT(--('Repartition stock'!$A$6:$A$433="2026Q3"),--('Repartition stock'!$B$6:$B$433="SE"),--('Repartition stock'!$E$6:$E$433="Millésime"),--('Repartition stock'!$F$6:$F$433="2018"),--('Repartition stock'!$H$6:$H$433="n.d."))&gt;0),"n.d.",SUMPRODUCT(--('Repartition stock'!$A$6:$A$433="2026Q3"),--('Repartition stock'!$B$6:$B$433="SE"),--('Repartition stock'!$E$6:$E$433="Millésime"),--('Repartition stock'!$F$6:$F$433="2018"),'Repartition stock'!$H$6:$H$433)))</f>
        <v>0</v>
      </c>
      <c r="AA15" s="8"/>
      <c r="AB15" s="8"/>
      <c r="AC15" s="7">
        <f>IF((IF(OR(COUNT(X15,X24)&lt;&gt;2,X24=0),"n.d.",X15/X24))="n.d.",0,IF(OR(COUNT(X15,X24)&lt;&gt;2,X24=0),"n.d.",X15/X24))</f>
        <v>0.0</v>
      </c>
      <c r="AD15" s="7"/>
      <c r="AE15" s="7">
        <f>IF((IF(OR(COUNT(Z15,Z24)&lt;&gt;2,Z24=0),"n.d.",Z15/Z24))="n.d.",0,IF(OR(COUNT(Z15,Z24)&lt;&gt;2,Z24=0),"n.d.",Z15/Z24))</f>
        <v>0.0</v>
      </c>
      <c r="AF15" s="7"/>
    </row>
    <row r="16" spans="1:32" ht="13.5" customHeight="1">
      <c r="A16" s="13"/>
      <c r="R16" s="4"/>
      <c r="S16" s="4"/>
      <c r="T16" s="4"/>
      <c r="U16" s="16" t="s">
        <v>75</v>
      </c>
      <c r="V16" s="16"/>
      <c r="W16" s="16"/>
      <c r="X16" s="8">
        <f>IF((IF(OR(SUMPRODUCT(--('Repartition stock'!$A$6:$A$433="2026Q3"),--('Repartition stock'!$B$6:$B$433="SE"),--('Repartition stock'!$E$6:$E$433="Millésime"),--('Repartition stock'!$F$6:$F$433="2019"))=0,SUMPRODUCT(--('Repartition stock'!$A$6:$A$433="2026Q3"),--('Repartition stock'!$B$6:$B$433="SE"),--('Repartition stock'!$E$6:$E$433="Millésime"),--('Repartition stock'!$F$6:$F$433="2019"),--('Repartition stock'!$G$6:$G$433="n.d."))&gt;0),"n.d.",SUMPRODUCT(--('Repartition stock'!$A$6:$A$433="2026Q3"),--('Repartition stock'!$B$6:$B$433="SE"),--('Repartition stock'!$E$6:$E$433="Millésime"),--('Repartition stock'!$F$6:$F$433="2019"),'Repartition stock'!$G$6:$G$433)))="n.d.",0,IF(OR(SUMPRODUCT(--('Repartition stock'!$A$6:$A$433="2026Q3"),--('Repartition stock'!$B$6:$B$433="SE"),--('Repartition stock'!$E$6:$E$433="Millésime"),--('Repartition stock'!$F$6:$F$433="2019"))=0,SUMPRODUCT(--('Repartition stock'!$A$6:$A$433="2026Q3"),--('Repartition stock'!$B$6:$B$433="SE"),--('Repartition stock'!$E$6:$E$433="Millésime"),--('Repartition stock'!$F$6:$F$433="2019"),--('Repartition stock'!$G$6:$G$433="n.d."))&gt;0),"n.d.",SUMPRODUCT(--('Repartition stock'!$A$6:$A$433="2026Q3"),--('Repartition stock'!$B$6:$B$433="SE"),--('Repartition stock'!$E$6:$E$433="Millésime"),--('Repartition stock'!$F$6:$F$433="2019"),'Repartition stock'!$G$6:$G$433)))</f>
        <v>0</v>
      </c>
      <c r="Y16" s="8"/>
      <c r="Z16" s="8">
        <f>IF((IF(OR(SUMPRODUCT(--('Repartition stock'!$A$6:$A$433="2026Q3"),--('Repartition stock'!$B$6:$B$433="SE"),--('Repartition stock'!$E$6:$E$433="Millésime"),--('Repartition stock'!$F$6:$F$433="2019"))=0,SUMPRODUCT(--('Repartition stock'!$A$6:$A$433="2026Q3"),--('Repartition stock'!$B$6:$B$433="SE"),--('Repartition stock'!$E$6:$E$433="Millésime"),--('Repartition stock'!$F$6:$F$433="2019"),--('Repartition stock'!$H$6:$H$433="n.d."))&gt;0),"n.d.",SUMPRODUCT(--('Repartition stock'!$A$6:$A$433="2026Q3"),--('Repartition stock'!$B$6:$B$433="SE"),--('Repartition stock'!$E$6:$E$433="Millésime"),--('Repartition stock'!$F$6:$F$433="2019"),'Repartition stock'!$H$6:$H$433)))="n.d.",0,IF(OR(SUMPRODUCT(--('Repartition stock'!$A$6:$A$433="2026Q3"),--('Repartition stock'!$B$6:$B$433="SE"),--('Repartition stock'!$E$6:$E$433="Millésime"),--('Repartition stock'!$F$6:$F$433="2019"))=0,SUMPRODUCT(--('Repartition stock'!$A$6:$A$433="2026Q3"),--('Repartition stock'!$B$6:$B$433="SE"),--('Repartition stock'!$E$6:$E$433="Millésime"),--('Repartition stock'!$F$6:$F$433="2019"),--('Repartition stock'!$H$6:$H$433="n.d."))&gt;0),"n.d.",SUMPRODUCT(--('Repartition stock'!$A$6:$A$433="2026Q3"),--('Repartition stock'!$B$6:$B$433="SE"),--('Repartition stock'!$E$6:$E$433="Millésime"),--('Repartition stock'!$F$6:$F$433="2019"),'Repartition stock'!$H$6:$H$433)))</f>
        <v>0</v>
      </c>
      <c r="AA16" s="8"/>
      <c r="AB16" s="8"/>
      <c r="AC16" s="7">
        <f>IF((IF(OR(COUNT(X16,X24)&lt;&gt;2,X24=0),"n.d.",X16/X24))="n.d.",0,IF(OR(COUNT(X16,X24)&lt;&gt;2,X24=0),"n.d.",X16/X24))</f>
        <v>0.0</v>
      </c>
      <c r="AD16" s="7"/>
      <c r="AE16" s="7">
        <f>IF((IF(OR(COUNT(Z16,Z24)&lt;&gt;2,Z24=0),"n.d.",Z16/Z24))="n.d.",0,IF(OR(COUNT(Z16,Z24)&lt;&gt;2,Z24=0),"n.d.",Z16/Z24))</f>
        <v>0.0</v>
      </c>
      <c r="AF16" s="7"/>
    </row>
    <row r="17" spans="1:32" ht="13.5" customHeight="1">
      <c r="A17" s="13"/>
      <c r="R17" s="4"/>
      <c r="S17" s="4"/>
      <c r="T17" s="4"/>
      <c r="U17" s="16" t="s">
        <v>76</v>
      </c>
      <c r="V17" s="16"/>
      <c r="W17" s="16"/>
      <c r="X17" s="8">
        <f>IF((IF(OR(SUMPRODUCT(--('Repartition stock'!$A$6:$A$433="2026Q3"),--('Repartition stock'!$B$6:$B$433="SE"),--('Repartition stock'!$E$6:$E$433="Millésime"),--('Repartition stock'!$F$6:$F$433="2020"))=0,SUMPRODUCT(--('Repartition stock'!$A$6:$A$433="2026Q3"),--('Repartition stock'!$B$6:$B$433="SE"),--('Repartition stock'!$E$6:$E$433="Millésime"),--('Repartition stock'!$F$6:$F$433="2020"),--('Repartition stock'!$G$6:$G$433="n.d."))&gt;0),"n.d.",SUMPRODUCT(--('Repartition stock'!$A$6:$A$433="2026Q3"),--('Repartition stock'!$B$6:$B$433="SE"),--('Repartition stock'!$E$6:$E$433="Millésime"),--('Repartition stock'!$F$6:$F$433="2020"),'Repartition stock'!$G$6:$G$433)))="n.d.",0,IF(OR(SUMPRODUCT(--('Repartition stock'!$A$6:$A$433="2026Q3"),--('Repartition stock'!$B$6:$B$433="SE"),--('Repartition stock'!$E$6:$E$433="Millésime"),--('Repartition stock'!$F$6:$F$433="2020"))=0,SUMPRODUCT(--('Repartition stock'!$A$6:$A$433="2026Q3"),--('Repartition stock'!$B$6:$B$433="SE"),--('Repartition stock'!$E$6:$E$433="Millésime"),--('Repartition stock'!$F$6:$F$433="2020"),--('Repartition stock'!$G$6:$G$433="n.d."))&gt;0),"n.d.",SUMPRODUCT(--('Repartition stock'!$A$6:$A$433="2026Q3"),--('Repartition stock'!$B$6:$B$433="SE"),--('Repartition stock'!$E$6:$E$433="Millésime"),--('Repartition stock'!$F$6:$F$433="2020"),'Repartition stock'!$G$6:$G$433)))</f>
        <v>0</v>
      </c>
      <c r="Y17" s="8"/>
      <c r="Z17" s="8">
        <f>IF((IF(OR(SUMPRODUCT(--('Repartition stock'!$A$6:$A$433="2026Q3"),--('Repartition stock'!$B$6:$B$433="SE"),--('Repartition stock'!$E$6:$E$433="Millésime"),--('Repartition stock'!$F$6:$F$433="2020"))=0,SUMPRODUCT(--('Repartition stock'!$A$6:$A$433="2026Q3"),--('Repartition stock'!$B$6:$B$433="SE"),--('Repartition stock'!$E$6:$E$433="Millésime"),--('Repartition stock'!$F$6:$F$433="2020"),--('Repartition stock'!$H$6:$H$433="n.d."))&gt;0),"n.d.",SUMPRODUCT(--('Repartition stock'!$A$6:$A$433="2026Q3"),--('Repartition stock'!$B$6:$B$433="SE"),--('Repartition stock'!$E$6:$E$433="Millésime"),--('Repartition stock'!$F$6:$F$433="2020"),'Repartition stock'!$H$6:$H$433)))="n.d.",0,IF(OR(SUMPRODUCT(--('Repartition stock'!$A$6:$A$433="2026Q3"),--('Repartition stock'!$B$6:$B$433="SE"),--('Repartition stock'!$E$6:$E$433="Millésime"),--('Repartition stock'!$F$6:$F$433="2020"))=0,SUMPRODUCT(--('Repartition stock'!$A$6:$A$433="2026Q3"),--('Repartition stock'!$B$6:$B$433="SE"),--('Repartition stock'!$E$6:$E$433="Millésime"),--('Repartition stock'!$F$6:$F$433="2020"),--('Repartition stock'!$H$6:$H$433="n.d."))&gt;0),"n.d.",SUMPRODUCT(--('Repartition stock'!$A$6:$A$433="2026Q3"),--('Repartition stock'!$B$6:$B$433="SE"),--('Repartition stock'!$E$6:$E$433="Millésime"),--('Repartition stock'!$F$6:$F$433="2020"),'Repartition stock'!$H$6:$H$433)))</f>
        <v>0</v>
      </c>
      <c r="AA17" s="8"/>
      <c r="AB17" s="8"/>
      <c r="AC17" s="7">
        <f>IF((IF(OR(COUNT(X17,X24)&lt;&gt;2,X24=0),"n.d.",X17/X24))="n.d.",0,IF(OR(COUNT(X17,X24)&lt;&gt;2,X24=0),"n.d.",X17/X24))</f>
        <v>0.0</v>
      </c>
      <c r="AD17" s="7"/>
      <c r="AE17" s="7">
        <f>IF((IF(OR(COUNT(Z17,Z24)&lt;&gt;2,Z24=0),"n.d.",Z17/Z24))="n.d.",0,IF(OR(COUNT(Z17,Z24)&lt;&gt;2,Z24=0),"n.d.",Z17/Z24))</f>
        <v>0.0</v>
      </c>
      <c r="AF17" s="7"/>
    </row>
    <row r="18" spans="1:32" ht="13.5" customHeight="1">
      <c r="A18" s="13"/>
      <c r="R18" s="4"/>
      <c r="S18" s="4"/>
      <c r="T18" s="4"/>
      <c r="U18" s="16" t="s">
        <v>77</v>
      </c>
      <c r="V18" s="16"/>
      <c r="W18" s="16"/>
      <c r="X18" s="8">
        <f>IF((IF(OR(SUMPRODUCT(--('Repartition stock'!$A$6:$A$433="2026Q3"),--('Repartition stock'!$B$6:$B$433="SE"),--('Repartition stock'!$E$6:$E$433="Millésime"),--('Repartition stock'!$F$6:$F$433="2021"))=0,SUMPRODUCT(--('Repartition stock'!$A$6:$A$433="2026Q3"),--('Repartition stock'!$B$6:$B$433="SE"),--('Repartition stock'!$E$6:$E$433="Millésime"),--('Repartition stock'!$F$6:$F$433="2021"),--('Repartition stock'!$G$6:$G$433="n.d."))&gt;0),"n.d.",SUMPRODUCT(--('Repartition stock'!$A$6:$A$433="2026Q3"),--('Repartition stock'!$B$6:$B$433="SE"),--('Repartition stock'!$E$6:$E$433="Millésime"),--('Repartition stock'!$F$6:$F$433="2021"),'Repartition stock'!$G$6:$G$433)))="n.d.",0,IF(OR(SUMPRODUCT(--('Repartition stock'!$A$6:$A$433="2026Q3"),--('Repartition stock'!$B$6:$B$433="SE"),--('Repartition stock'!$E$6:$E$433="Millésime"),--('Repartition stock'!$F$6:$F$433="2021"))=0,SUMPRODUCT(--('Repartition stock'!$A$6:$A$433="2026Q3"),--('Repartition stock'!$B$6:$B$433="SE"),--('Repartition stock'!$E$6:$E$433="Millésime"),--('Repartition stock'!$F$6:$F$433="2021"),--('Repartition stock'!$G$6:$G$433="n.d."))&gt;0),"n.d.",SUMPRODUCT(--('Repartition stock'!$A$6:$A$433="2026Q3"),--('Repartition stock'!$B$6:$B$433="SE"),--('Repartition stock'!$E$6:$E$433="Millésime"),--('Repartition stock'!$F$6:$F$433="2021"),'Repartition stock'!$G$6:$G$433)))</f>
        <v>0</v>
      </c>
      <c r="Y18" s="8"/>
      <c r="Z18" s="8">
        <f>IF((IF(OR(SUMPRODUCT(--('Repartition stock'!$A$6:$A$433="2026Q3"),--('Repartition stock'!$B$6:$B$433="SE"),--('Repartition stock'!$E$6:$E$433="Millésime"),--('Repartition stock'!$F$6:$F$433="2021"))=0,SUMPRODUCT(--('Repartition stock'!$A$6:$A$433="2026Q3"),--('Repartition stock'!$B$6:$B$433="SE"),--('Repartition stock'!$E$6:$E$433="Millésime"),--('Repartition stock'!$F$6:$F$433="2021"),--('Repartition stock'!$H$6:$H$433="n.d."))&gt;0),"n.d.",SUMPRODUCT(--('Repartition stock'!$A$6:$A$433="2026Q3"),--('Repartition stock'!$B$6:$B$433="SE"),--('Repartition stock'!$E$6:$E$433="Millésime"),--('Repartition stock'!$F$6:$F$433="2021"),'Repartition stock'!$H$6:$H$433)))="n.d.",0,IF(OR(SUMPRODUCT(--('Repartition stock'!$A$6:$A$433="2026Q3"),--('Repartition stock'!$B$6:$B$433="SE"),--('Repartition stock'!$E$6:$E$433="Millésime"),--('Repartition stock'!$F$6:$F$433="2021"))=0,SUMPRODUCT(--('Repartition stock'!$A$6:$A$433="2026Q3"),--('Repartition stock'!$B$6:$B$433="SE"),--('Repartition stock'!$E$6:$E$433="Millésime"),--('Repartition stock'!$F$6:$F$433="2021"),--('Repartition stock'!$H$6:$H$433="n.d."))&gt;0),"n.d.",SUMPRODUCT(--('Repartition stock'!$A$6:$A$433="2026Q3"),--('Repartition stock'!$B$6:$B$433="SE"),--('Repartition stock'!$E$6:$E$433="Millésime"),--('Repartition stock'!$F$6:$F$433="2021"),'Repartition stock'!$H$6:$H$433)))</f>
        <v>0</v>
      </c>
      <c r="AA18" s="8"/>
      <c r="AB18" s="8"/>
      <c r="AC18" s="7">
        <f>IF((IF(OR(COUNT(X18,X24)&lt;&gt;2,X24=0),"n.d.",X18/X24))="n.d.",0,IF(OR(COUNT(X18,X24)&lt;&gt;2,X24=0),"n.d.",X18/X24))</f>
        <v>0.0</v>
      </c>
      <c r="AD18" s="7"/>
      <c r="AE18" s="7">
        <f>IF((IF(OR(COUNT(Z18,Z24)&lt;&gt;2,Z24=0),"n.d.",Z18/Z24))="n.d.",0,IF(OR(COUNT(Z18,Z24)&lt;&gt;2,Z24=0),"n.d.",Z18/Z24))</f>
        <v>0.0</v>
      </c>
      <c r="AF18" s="7"/>
    </row>
    <row r="19" spans="1:32" ht="13.5" customHeight="1">
      <c r="A19" s="13"/>
      <c r="R19" s="4"/>
      <c r="S19" s="4"/>
      <c r="T19" s="4"/>
      <c r="U19" s="16" t="s">
        <v>78</v>
      </c>
      <c r="V19" s="16"/>
      <c r="W19" s="16"/>
      <c r="X19" s="8">
        <f>IF((IF(OR(SUMPRODUCT(--('Repartition stock'!$A$6:$A$433="2026Q3"),--('Repartition stock'!$B$6:$B$433="SE"),--('Repartition stock'!$E$6:$E$433="Millésime"),--('Repartition stock'!$F$6:$F$433="2022"))=0,SUMPRODUCT(--('Repartition stock'!$A$6:$A$433="2026Q3"),--('Repartition stock'!$B$6:$B$433="SE"),--('Repartition stock'!$E$6:$E$433="Millésime"),--('Repartition stock'!$F$6:$F$433="2022"),--('Repartition stock'!$G$6:$G$433="n.d."))&gt;0),"n.d.",SUMPRODUCT(--('Repartition stock'!$A$6:$A$433="2026Q3"),--('Repartition stock'!$B$6:$B$433="SE"),--('Repartition stock'!$E$6:$E$433="Millésime"),--('Repartition stock'!$F$6:$F$433="2022"),'Repartition stock'!$G$6:$G$433)))="n.d.",0,IF(OR(SUMPRODUCT(--('Repartition stock'!$A$6:$A$433="2026Q3"),--('Repartition stock'!$B$6:$B$433="SE"),--('Repartition stock'!$E$6:$E$433="Millésime"),--('Repartition stock'!$F$6:$F$433="2022"))=0,SUMPRODUCT(--('Repartition stock'!$A$6:$A$433="2026Q3"),--('Repartition stock'!$B$6:$B$433="SE"),--('Repartition stock'!$E$6:$E$433="Millésime"),--('Repartition stock'!$F$6:$F$433="2022"),--('Repartition stock'!$G$6:$G$433="n.d."))&gt;0),"n.d.",SUMPRODUCT(--('Repartition stock'!$A$6:$A$433="2026Q3"),--('Repartition stock'!$B$6:$B$433="SE"),--('Repartition stock'!$E$6:$E$433="Millésime"),--('Repartition stock'!$F$6:$F$433="2022"),'Repartition stock'!$G$6:$G$433)))</f>
        <v>0</v>
      </c>
      <c r="Y19" s="8"/>
      <c r="Z19" s="8">
        <f>IF((IF(OR(SUMPRODUCT(--('Repartition stock'!$A$6:$A$433="2026Q3"),--('Repartition stock'!$B$6:$B$433="SE"),--('Repartition stock'!$E$6:$E$433="Millésime"),--('Repartition stock'!$F$6:$F$433="2022"))=0,SUMPRODUCT(--('Repartition stock'!$A$6:$A$433="2026Q3"),--('Repartition stock'!$B$6:$B$433="SE"),--('Repartition stock'!$E$6:$E$433="Millésime"),--('Repartition stock'!$F$6:$F$433="2022"),--('Repartition stock'!$H$6:$H$433="n.d."))&gt;0),"n.d.",SUMPRODUCT(--('Repartition stock'!$A$6:$A$433="2026Q3"),--('Repartition stock'!$B$6:$B$433="SE"),--('Repartition stock'!$E$6:$E$433="Millésime"),--('Repartition stock'!$F$6:$F$433="2022"),'Repartition stock'!$H$6:$H$433)))="n.d.",0,IF(OR(SUMPRODUCT(--('Repartition stock'!$A$6:$A$433="2026Q3"),--('Repartition stock'!$B$6:$B$433="SE"),--('Repartition stock'!$E$6:$E$433="Millésime"),--('Repartition stock'!$F$6:$F$433="2022"))=0,SUMPRODUCT(--('Repartition stock'!$A$6:$A$433="2026Q3"),--('Repartition stock'!$B$6:$B$433="SE"),--('Repartition stock'!$E$6:$E$433="Millésime"),--('Repartition stock'!$F$6:$F$433="2022"),--('Repartition stock'!$H$6:$H$433="n.d."))&gt;0),"n.d.",SUMPRODUCT(--('Repartition stock'!$A$6:$A$433="2026Q3"),--('Repartition stock'!$B$6:$B$433="SE"),--('Repartition stock'!$E$6:$E$433="Millésime"),--('Repartition stock'!$F$6:$F$433="2022"),'Repartition stock'!$H$6:$H$433)))</f>
        <v>0</v>
      </c>
      <c r="AA19" s="8"/>
      <c r="AB19" s="8"/>
      <c r="AC19" s="7">
        <f>IF((IF(OR(COUNT(X19,X24)&lt;&gt;2,X24=0),"n.d.",X19/X24))="n.d.",0,IF(OR(COUNT(X19,X24)&lt;&gt;2,X24=0),"n.d.",X19/X24))</f>
        <v>0.0</v>
      </c>
      <c r="AD19" s="7"/>
      <c r="AE19" s="7">
        <f>IF((IF(OR(COUNT(Z19,Z24)&lt;&gt;2,Z24=0),"n.d.",Z19/Z24))="n.d.",0,IF(OR(COUNT(Z19,Z24)&lt;&gt;2,Z24=0),"n.d.",Z19/Z24))</f>
        <v>0.0</v>
      </c>
      <c r="AF19" s="7"/>
    </row>
    <row r="20" spans="1:32" ht="13.5" customHeight="1">
      <c r="A20" s="13"/>
      <c r="R20" s="4"/>
      <c r="S20" s="4"/>
      <c r="T20" s="4"/>
      <c r="U20" s="16" t="s">
        <v>79</v>
      </c>
      <c r="V20" s="16"/>
      <c r="W20" s="16"/>
      <c r="X20" s="8">
        <f>IF((IF(OR(SUMPRODUCT(--('Repartition stock'!$A$6:$A$433="2026Q3"),--('Repartition stock'!$B$6:$B$433="SE"),--('Repartition stock'!$E$6:$E$433="Millésime"),--('Repartition stock'!$F$6:$F$433="2023"))=0,SUMPRODUCT(--('Repartition stock'!$A$6:$A$433="2026Q3"),--('Repartition stock'!$B$6:$B$433="SE"),--('Repartition stock'!$E$6:$E$433="Millésime"),--('Repartition stock'!$F$6:$F$433="2023"),--('Repartition stock'!$G$6:$G$433="n.d."))&gt;0),"n.d.",SUMPRODUCT(--('Repartition stock'!$A$6:$A$433="2026Q3"),--('Repartition stock'!$B$6:$B$433="SE"),--('Repartition stock'!$E$6:$E$433="Millésime"),--('Repartition stock'!$F$6:$F$433="2023"),'Repartition stock'!$G$6:$G$433)))="n.d.",0,IF(OR(SUMPRODUCT(--('Repartition stock'!$A$6:$A$433="2026Q3"),--('Repartition stock'!$B$6:$B$433="SE"),--('Repartition stock'!$E$6:$E$433="Millésime"),--('Repartition stock'!$F$6:$F$433="2023"))=0,SUMPRODUCT(--('Repartition stock'!$A$6:$A$433="2026Q3"),--('Repartition stock'!$B$6:$B$433="SE"),--('Repartition stock'!$E$6:$E$433="Millésime"),--('Repartition stock'!$F$6:$F$433="2023"),--('Repartition stock'!$G$6:$G$433="n.d."))&gt;0),"n.d.",SUMPRODUCT(--('Repartition stock'!$A$6:$A$433="2026Q3"),--('Repartition stock'!$B$6:$B$433="SE"),--('Repartition stock'!$E$6:$E$433="Millésime"),--('Repartition stock'!$F$6:$F$433="2023"),'Repartition stock'!$G$6:$G$433)))</f>
        <v>0</v>
      </c>
      <c r="Y20" s="8"/>
      <c r="Z20" s="8">
        <f>IF((IF(OR(SUMPRODUCT(--('Repartition stock'!$A$6:$A$433="2026Q3"),--('Repartition stock'!$B$6:$B$433="SE"),--('Repartition stock'!$E$6:$E$433="Millésime"),--('Repartition stock'!$F$6:$F$433="2023"))=0,SUMPRODUCT(--('Repartition stock'!$A$6:$A$433="2026Q3"),--('Repartition stock'!$B$6:$B$433="SE"),--('Repartition stock'!$E$6:$E$433="Millésime"),--('Repartition stock'!$F$6:$F$433="2023"),--('Repartition stock'!$H$6:$H$433="n.d."))&gt;0),"n.d.",SUMPRODUCT(--('Repartition stock'!$A$6:$A$433="2026Q3"),--('Repartition stock'!$B$6:$B$433="SE"),--('Repartition stock'!$E$6:$E$433="Millésime"),--('Repartition stock'!$F$6:$F$433="2023"),'Repartition stock'!$H$6:$H$433)))="n.d.",0,IF(OR(SUMPRODUCT(--('Repartition stock'!$A$6:$A$433="2026Q3"),--('Repartition stock'!$B$6:$B$433="SE"),--('Repartition stock'!$E$6:$E$433="Millésime"),--('Repartition stock'!$F$6:$F$433="2023"))=0,SUMPRODUCT(--('Repartition stock'!$A$6:$A$433="2026Q3"),--('Repartition stock'!$B$6:$B$433="SE"),--('Repartition stock'!$E$6:$E$433="Millésime"),--('Repartition stock'!$F$6:$F$433="2023"),--('Repartition stock'!$H$6:$H$433="n.d."))&gt;0),"n.d.",SUMPRODUCT(--('Repartition stock'!$A$6:$A$433="2026Q3"),--('Repartition stock'!$B$6:$B$433="SE"),--('Repartition stock'!$E$6:$E$433="Millésime"),--('Repartition stock'!$F$6:$F$433="2023"),'Repartition stock'!$H$6:$H$433)))</f>
        <v>0</v>
      </c>
      <c r="AA20" s="8"/>
      <c r="AB20" s="8"/>
      <c r="AC20" s="7">
        <f>IF((IF(OR(COUNT(X20,X24)&lt;&gt;2,X24=0),"n.d.",X20/X24))="n.d.",0,IF(OR(COUNT(X20,X24)&lt;&gt;2,X24=0),"n.d.",X20/X24))</f>
        <v>0.0</v>
      </c>
      <c r="AD20" s="7"/>
      <c r="AE20" s="7">
        <f>IF((IF(OR(COUNT(Z20,Z24)&lt;&gt;2,Z24=0),"n.d.",Z20/Z24))="n.d.",0,IF(OR(COUNT(Z20,Z24)&lt;&gt;2,Z24=0),"n.d.",Z20/Z24))</f>
        <v>0.0</v>
      </c>
      <c r="AF20" s="7"/>
    </row>
    <row r="21" spans="1:32" ht="13.5" customHeight="1">
      <c r="A21" s="13"/>
      <c r="R21" s="4"/>
      <c r="S21" s="4"/>
      <c r="T21" s="4"/>
      <c r="U21" s="16" t="s">
        <v>80</v>
      </c>
      <c r="V21" s="16"/>
      <c r="W21" s="16"/>
      <c r="X21" s="8">
        <f>IF((IF(OR(SUMPRODUCT(--('Repartition stock'!$A$6:$A$433="2026Q3"),--('Repartition stock'!$B$6:$B$433="SE"),--('Repartition stock'!$E$6:$E$433="Millésime"),--('Repartition stock'!$F$6:$F$433="2024"))=0,SUMPRODUCT(--('Repartition stock'!$A$6:$A$433="2026Q3"),--('Repartition stock'!$B$6:$B$433="SE"),--('Repartition stock'!$E$6:$E$433="Millésime"),--('Repartition stock'!$F$6:$F$433="2024"),--('Repartition stock'!$G$6:$G$433="n.d."))&gt;0),"n.d.",SUMPRODUCT(--('Repartition stock'!$A$6:$A$433="2026Q3"),--('Repartition stock'!$B$6:$B$433="SE"),--('Repartition stock'!$E$6:$E$433="Millésime"),--('Repartition stock'!$F$6:$F$433="2024"),'Repartition stock'!$G$6:$G$433)))="n.d.",0,IF(OR(SUMPRODUCT(--('Repartition stock'!$A$6:$A$433="2026Q3"),--('Repartition stock'!$B$6:$B$433="SE"),--('Repartition stock'!$E$6:$E$433="Millésime"),--('Repartition stock'!$F$6:$F$433="2024"))=0,SUMPRODUCT(--('Repartition stock'!$A$6:$A$433="2026Q3"),--('Repartition stock'!$B$6:$B$433="SE"),--('Repartition stock'!$E$6:$E$433="Millésime"),--('Repartition stock'!$F$6:$F$433="2024"),--('Repartition stock'!$G$6:$G$433="n.d."))&gt;0),"n.d.",SUMPRODUCT(--('Repartition stock'!$A$6:$A$433="2026Q3"),--('Repartition stock'!$B$6:$B$433="SE"),--('Repartition stock'!$E$6:$E$433="Millésime"),--('Repartition stock'!$F$6:$F$433="2024"),'Repartition stock'!$G$6:$G$433)))</f>
        <v>0</v>
      </c>
      <c r="Y21" s="8"/>
      <c r="Z21" s="8">
        <f>IF((IF(OR(SUMPRODUCT(--('Repartition stock'!$A$6:$A$433="2026Q3"),--('Repartition stock'!$B$6:$B$433="SE"),--('Repartition stock'!$E$6:$E$433="Millésime"),--('Repartition stock'!$F$6:$F$433="2024"))=0,SUMPRODUCT(--('Repartition stock'!$A$6:$A$433="2026Q3"),--('Repartition stock'!$B$6:$B$433="SE"),--('Repartition stock'!$E$6:$E$433="Millésime"),--('Repartition stock'!$F$6:$F$433="2024"),--('Repartition stock'!$H$6:$H$433="n.d."))&gt;0),"n.d.",SUMPRODUCT(--('Repartition stock'!$A$6:$A$433="2026Q3"),--('Repartition stock'!$B$6:$B$433="SE"),--('Repartition stock'!$E$6:$E$433="Millésime"),--('Repartition stock'!$F$6:$F$433="2024"),'Repartition stock'!$H$6:$H$433)))="n.d.",0,IF(OR(SUMPRODUCT(--('Repartition stock'!$A$6:$A$433="2026Q3"),--('Repartition stock'!$B$6:$B$433="SE"),--('Repartition stock'!$E$6:$E$433="Millésime"),--('Repartition stock'!$F$6:$F$433="2024"))=0,SUMPRODUCT(--('Repartition stock'!$A$6:$A$433="2026Q3"),--('Repartition stock'!$B$6:$B$433="SE"),--('Repartition stock'!$E$6:$E$433="Millésime"),--('Repartition stock'!$F$6:$F$433="2024"),--('Repartition stock'!$H$6:$H$433="n.d."))&gt;0),"n.d.",SUMPRODUCT(--('Repartition stock'!$A$6:$A$433="2026Q3"),--('Repartition stock'!$B$6:$B$433="SE"),--('Repartition stock'!$E$6:$E$433="Millésime"),--('Repartition stock'!$F$6:$F$433="2024"),'Repartition stock'!$H$6:$H$433)))</f>
        <v>0</v>
      </c>
      <c r="AA21" s="8"/>
      <c r="AB21" s="8"/>
      <c r="AC21" s="7">
        <f>IF((IF(OR(COUNT(X21,X24)&lt;&gt;2,X24=0),"n.d.",X21/X24))="n.d.",0,IF(OR(COUNT(X21,X24)&lt;&gt;2,X24=0),"n.d.",X21/X24))</f>
        <v>0.0</v>
      </c>
      <c r="AD21" s="7"/>
      <c r="AE21" s="7">
        <f>IF((IF(OR(COUNT(Z21,Z24)&lt;&gt;2,Z24=0),"n.d.",Z21/Z24))="n.d.",0,IF(OR(COUNT(Z21,Z24)&lt;&gt;2,Z24=0),"n.d.",Z21/Z24))</f>
        <v>0.0</v>
      </c>
      <c r="AF21" s="7"/>
    </row>
    <row r="22" spans="1:32" ht="13.5" customHeight="1">
      <c r="A22" s="13"/>
      <c r="R22" s="4"/>
      <c r="S22" s="4"/>
      <c r="T22" s="4"/>
      <c r="U22" s="16" t="s">
        <v>50</v>
      </c>
      <c r="V22" s="16"/>
      <c r="W22" s="16"/>
      <c r="X22" s="8">
        <f>IF((IF(OR(SUMPRODUCT(--('Repartition stock'!$A$6:$A$433="2026Q3"),--('Repartition stock'!$B$6:$B$433="SE"),--('Repartition stock'!$E$6:$E$433="Millésime"),--('Repartition stock'!$F$6:$F$433="2025"))=0,SUMPRODUCT(--('Repartition stock'!$A$6:$A$433="2026Q3"),--('Repartition stock'!$B$6:$B$433="SE"),--('Repartition stock'!$E$6:$E$433="Millésime"),--('Repartition stock'!$F$6:$F$433="2025"),--('Repartition stock'!$G$6:$G$433="n.d."))&gt;0),"n.d.",SUMPRODUCT(--('Repartition stock'!$A$6:$A$433="2026Q3"),--('Repartition stock'!$B$6:$B$433="SE"),--('Repartition stock'!$E$6:$E$433="Millésime"),--('Repartition stock'!$F$6:$F$433="2025"),'Repartition stock'!$G$6:$G$433)))="n.d.",0,IF(OR(SUMPRODUCT(--('Repartition stock'!$A$6:$A$433="2026Q3"),--('Repartition stock'!$B$6:$B$433="SE"),--('Repartition stock'!$E$6:$E$433="Millésime"),--('Repartition stock'!$F$6:$F$433="2025"))=0,SUMPRODUCT(--('Repartition stock'!$A$6:$A$433="2026Q3"),--('Repartition stock'!$B$6:$B$433="SE"),--('Repartition stock'!$E$6:$E$433="Millésime"),--('Repartition stock'!$F$6:$F$433="2025"),--('Repartition stock'!$G$6:$G$433="n.d."))&gt;0),"n.d.",SUMPRODUCT(--('Repartition stock'!$A$6:$A$433="2026Q3"),--('Repartition stock'!$B$6:$B$433="SE"),--('Repartition stock'!$E$6:$E$433="Millésime"),--('Repartition stock'!$F$6:$F$433="2025"),'Repartition stock'!$G$6:$G$433)))</f>
        <v>0</v>
      </c>
      <c r="Y22" s="8"/>
      <c r="Z22" s="8">
        <f>IF((IF(OR(SUMPRODUCT(--('Repartition stock'!$A$6:$A$433="2026Q3"),--('Repartition stock'!$B$6:$B$433="SE"),--('Repartition stock'!$E$6:$E$433="Millésime"),--('Repartition stock'!$F$6:$F$433="2025"))=0,SUMPRODUCT(--('Repartition stock'!$A$6:$A$433="2026Q3"),--('Repartition stock'!$B$6:$B$433="SE"),--('Repartition stock'!$E$6:$E$433="Millésime"),--('Repartition stock'!$F$6:$F$433="2025"),--('Repartition stock'!$H$6:$H$433="n.d."))&gt;0),"n.d.",SUMPRODUCT(--('Repartition stock'!$A$6:$A$433="2026Q3"),--('Repartition stock'!$B$6:$B$433="SE"),--('Repartition stock'!$E$6:$E$433="Millésime"),--('Repartition stock'!$F$6:$F$433="2025"),'Repartition stock'!$H$6:$H$433)))="n.d.",0,IF(OR(SUMPRODUCT(--('Repartition stock'!$A$6:$A$433="2026Q3"),--('Repartition stock'!$B$6:$B$433="SE"),--('Repartition stock'!$E$6:$E$433="Millésime"),--('Repartition stock'!$F$6:$F$433="2025"))=0,SUMPRODUCT(--('Repartition stock'!$A$6:$A$433="2026Q3"),--('Repartition stock'!$B$6:$B$433="SE"),--('Repartition stock'!$E$6:$E$433="Millésime"),--('Repartition stock'!$F$6:$F$433="2025"),--('Repartition stock'!$H$6:$H$433="n.d."))&gt;0),"n.d.",SUMPRODUCT(--('Repartition stock'!$A$6:$A$433="2026Q3"),--('Repartition stock'!$B$6:$B$433="SE"),--('Repartition stock'!$E$6:$E$433="Millésime"),--('Repartition stock'!$F$6:$F$433="2025"),'Repartition stock'!$H$6:$H$433)))</f>
        <v>0</v>
      </c>
      <c r="AA22" s="8"/>
      <c r="AB22" s="8"/>
      <c r="AC22" s="7">
        <f>IF((IF(OR(COUNT(X22,X24)&lt;&gt;2,X24=0),"n.d.",X22/X24))="n.d.",0,IF(OR(COUNT(X22,X24)&lt;&gt;2,X24=0),"n.d.",X22/X24))</f>
        <v>0.0</v>
      </c>
      <c r="AD22" s="7"/>
      <c r="AE22" s="7">
        <f>IF((IF(OR(COUNT(Z22,Z24)&lt;&gt;2,Z24=0),"n.d.",Z22/Z24))="n.d.",0,IF(OR(COUNT(Z22,Z24)&lt;&gt;2,Z24=0),"n.d.",Z22/Z24))</f>
        <v>0.0</v>
      </c>
      <c r="AF22" s="7"/>
    </row>
    <row r="23" spans="1:32" ht="13.5" customHeight="1">
      <c r="A23" s="13"/>
      <c r="R23" s="4"/>
      <c r="S23" s="4"/>
      <c r="T23" s="4"/>
      <c r="U23" s="16" t="s">
        <v>51</v>
      </c>
      <c r="V23" s="16"/>
      <c r="W23" s="16"/>
      <c r="X23" s="8">
        <f>IF((IF(OR(SUMPRODUCT(--('Repartition stock'!$A$6:$A$433="2026Q3"),--('Repartition stock'!$B$6:$B$433="SE"),--('Repartition stock'!$E$6:$E$433="Millésime"),--('Repartition stock'!$F$6:$F$433="2026"))=0,SUMPRODUCT(--('Repartition stock'!$A$6:$A$433="2026Q3"),--('Repartition stock'!$B$6:$B$433="SE"),--('Repartition stock'!$E$6:$E$433="Millésime"),--('Repartition stock'!$F$6:$F$433="2026"),--('Repartition stock'!$G$6:$G$433="n.d."))&gt;0),"n.d.",SUMPRODUCT(--('Repartition stock'!$A$6:$A$433="2026Q3"),--('Repartition stock'!$B$6:$B$433="SE"),--('Repartition stock'!$E$6:$E$433="Millésime"),--('Repartition stock'!$F$6:$F$433="2026"),'Repartition stock'!$G$6:$G$433)))="n.d.",0,IF(OR(SUMPRODUCT(--('Repartition stock'!$A$6:$A$433="2026Q3"),--('Repartition stock'!$B$6:$B$433="SE"),--('Repartition stock'!$E$6:$E$433="Millésime"),--('Repartition stock'!$F$6:$F$433="2026"))=0,SUMPRODUCT(--('Repartition stock'!$A$6:$A$433="2026Q3"),--('Repartition stock'!$B$6:$B$433="SE"),--('Repartition stock'!$E$6:$E$433="Millésime"),--('Repartition stock'!$F$6:$F$433="2026"),--('Repartition stock'!$G$6:$G$433="n.d."))&gt;0),"n.d.",SUMPRODUCT(--('Repartition stock'!$A$6:$A$433="2026Q3"),--('Repartition stock'!$B$6:$B$433="SE"),--('Repartition stock'!$E$6:$E$433="Millésime"),--('Repartition stock'!$F$6:$F$433="2026"),'Repartition stock'!$G$6:$G$433)))</f>
        <v>374</v>
      </c>
      <c r="Y23" s="8"/>
      <c r="Z23" s="8">
        <f>IF((IF(OR(SUMPRODUCT(--('Repartition stock'!$A$6:$A$433="2026Q3"),--('Repartition stock'!$B$6:$B$433="SE"),--('Repartition stock'!$E$6:$E$433="Millésime"),--('Repartition stock'!$F$6:$F$433="2026"))=0,SUMPRODUCT(--('Repartition stock'!$A$6:$A$433="2026Q3"),--('Repartition stock'!$B$6:$B$433="SE"),--('Repartition stock'!$E$6:$E$433="Millésime"),--('Repartition stock'!$F$6:$F$433="2026"),--('Repartition stock'!$H$6:$H$433="n.d."))&gt;0),"n.d.",SUMPRODUCT(--('Repartition stock'!$A$6:$A$433="2026Q3"),--('Repartition stock'!$B$6:$B$433="SE"),--('Repartition stock'!$E$6:$E$433="Millésime"),--('Repartition stock'!$F$6:$F$433="2026"),'Repartition stock'!$H$6:$H$433)))="n.d.",0,IF(OR(SUMPRODUCT(--('Repartition stock'!$A$6:$A$433="2026Q3"),--('Repartition stock'!$B$6:$B$433="SE"),--('Repartition stock'!$E$6:$E$433="Millésime"),--('Repartition stock'!$F$6:$F$433="2026"))=0,SUMPRODUCT(--('Repartition stock'!$A$6:$A$433="2026Q3"),--('Repartition stock'!$B$6:$B$433="SE"),--('Repartition stock'!$E$6:$E$433="Millésime"),--('Repartition stock'!$F$6:$F$433="2026"),--('Repartition stock'!$H$6:$H$433="n.d."))&gt;0),"n.d.",SUMPRODUCT(--('Repartition stock'!$A$6:$A$433="2026Q3"),--('Repartition stock'!$B$6:$B$433="SE"),--('Repartition stock'!$E$6:$E$433="Millésime"),--('Repartition stock'!$F$6:$F$433="2026"),'Repartition stock'!$H$6:$H$433)))</f>
        <v>172626.61999999994</v>
      </c>
      <c r="AA23" s="8"/>
      <c r="AB23" s="8"/>
      <c r="AC23" s="7">
        <f>IF((IF(OR(COUNT(X23,X24)&lt;&gt;2,X24=0),"n.d.",X23/X24))="n.d.",0,IF(OR(COUNT(X23,X24)&lt;&gt;2,X24=0),"n.d.",X23/X24))</f>
        <v>1.0</v>
      </c>
      <c r="AD23" s="7"/>
      <c r="AE23" s="7">
        <f>IF((IF(OR(COUNT(Z23,Z24)&lt;&gt;2,Z24=0),"n.d.",Z23/Z24))="n.d.",0,IF(OR(COUNT(Z23,Z24)&lt;&gt;2,Z24=0),"n.d.",Z23/Z24))</f>
        <v>1.0</v>
      </c>
      <c r="AF23" s="7"/>
    </row>
    <row r="24" spans="1:32" ht="13.5" customHeight="1">
      <c r="A24" s="13"/>
      <c r="R24" s="17" t="s">
        <v>71</v>
      </c>
      <c r="S24" s="17"/>
      <c r="T24" s="17"/>
      <c r="U24" s="17"/>
      <c r="V24" s="17"/>
      <c r="W24" s="17"/>
      <c r="X24" s="17">
        <f>IF((IF(COUNT(X14:X23)=10,SUM(X14:X23),"n.d."))="n.d.",0,IF(COUNT(X14:X23)=10,SUM(X14:X23),"n.d."))</f>
        <v>374</v>
      </c>
      <c r="Y24" s="17"/>
      <c r="Z24" s="17">
        <f>IF((IF(COUNT(Z14:Z23)=10,SUM(Z14:Z23),"n.d."))="n.d.",0,IF(COUNT(Z14:Z23)=10,SUM(Z14:Z23),"n.d."))</f>
        <v>172626.61999999994</v>
      </c>
      <c r="AA24" s="17"/>
      <c r="AB24" s="17"/>
      <c r="AC24" s="10">
        <f>IF((IF(OR(NOT(ISNUMBER(X24)),X24=0),"n.d.",1))="n.d.",0,IF(OR(NOT(ISNUMBER(X24)),X24=0),"n.d.",1))</f>
        <v>1.0</v>
      </c>
      <c r="AD24" s="10"/>
      <c r="AE24" s="10">
        <f>IF((IF(OR(NOT(ISNUMBER(Z24)),Z24=0),"n.d.",1))="n.d.",0,IF(OR(NOT(ISNUMBER(Z24)),Z24=0),"n.d.",1))</f>
        <v>1.0</v>
      </c>
      <c r="AF24" s="10"/>
    </row>
    <row r="25" spans="1:32" ht="13.5" customHeight="1">
      <c r="A25" s="13"/>
    </row>
    <row r="26" spans="1:32" ht="13.5" customHeight="1">
      <c r="A26" s="13"/>
    </row>
    <row r="27" spans="1:32" ht="13.5" customHeight="1">
      <c r="A27" s="13"/>
    </row>
    <row r="28" spans="1:32" ht="13.5" customHeight="1">
      <c r="A28" s="13"/>
    </row>
    <row r="29" spans="1:32" ht="13.5" customHeight="1">
      <c r="A29" s="13"/>
    </row>
    <row r="30" spans="1:32" ht="13.5" customHeight="1">
      <c r="A30" s="13"/>
      <c r="B30" s="11" t="str">
        <f>"Average monthly new flow: "&amp;IF(ISNUMBER('GraphData'!A309),TEXT('GraphData'!A309,"#,##0"),"0")&amp;" SEK. Average balance per contract: "&amp;IF(ISNUMBER('GraphData'!B309),TEXT('GraphData'!B309,"#,##0"),"0")&amp;" SEK."</f>
        <v>Average monthly new flow: 240,570 SEK. Average balance per contract: 420 SEK.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3.5" customHeight="1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3.5" customHeight="1">
      <c r="A32" s="13"/>
      <c r="B32" s="11" t="str">
        <f>"Oldest cohort (M-5): "&amp;IF(ISNUMBER('GraphData'!C309),TEXT('GraphData'!C309,"0.0%"),"0")&amp;" treated in amount and "&amp;IF(ISNUMBER('GraphData'!D309),TEXT('GraphData'!D309,"0.0%"),"0")&amp;" in number."</f>
        <v>Oldest cohort (M-5): 100.0% treated in amount and 100.0% in number.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3.5" customHeight="1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3.5" customHeight="1">
      <c r="A34" s="13"/>
      <c r="B34" s="11" t="str">
        <f>"Stock to process: "&amp;IF(ISNUMBER('GraphData'!E309),TEXT('GraphData'!E309,"#,##0"),"0")&amp;" SEK. Identified stock: "&amp;IF(ISNUMBER('GraphData'!F309),TEXT('GraphData'!F309,"#,##0"),"0")&amp;" SEK."</f>
        <v>Stock to process: 172,627 SEK. Identified stock: 172,627 SEK.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3.5" customHeight="1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3.5" customHeight="1">
      <c r="A36" s="13"/>
      <c r="B36" s="11" t="s">
        <v>125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3.5" customHeight="1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3.5" customHeight="1">
      <c r="A38" s="13"/>
    </row>
    <row r="39" spans="1:32" ht="13.5" customHeight="1">
      <c r="A39" s="13"/>
    </row>
    <row r="40" spans="1:32" ht="13.5" customHeight="1">
      <c r="A40" s="13"/>
    </row>
    <row r="41" spans="1:32" ht="13.5" customHeight="1">
      <c r="A41" s="13"/>
    </row>
    <row r="42" spans="1:32" ht="13.5" customHeight="1">
      <c r="A42" s="13"/>
      <c r="B42" s="12" t="s">
        <v>23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4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8" customWidth="1"/>
    <col min="2" max="2" width="12.7109375" style="18" customWidth="1"/>
    <col min="3" max="3" width="23.7109375" style="18" customWidth="1"/>
    <col min="4" max="4" width="12.7109375" style="18" customWidth="1"/>
    <col min="5" max="28" width="22.7109375" style="18" customWidth="1"/>
  </cols>
  <sheetData>
    <row r="2" spans="1:28" ht="19" customHeight="1">
      <c r="A2" s="19" t="s">
        <v>142</v>
      </c>
    </row>
    <row r="3" spans="1:28" ht="19" customHeight="1">
      <c r="A3" s="20" t="s">
        <v>143</v>
      </c>
    </row>
    <row r="5" spans="1:28" ht="42" customHeight="1">
      <c r="A5" s="21" t="s">
        <v>144</v>
      </c>
      <c r="B5" s="21" t="s">
        <v>145</v>
      </c>
      <c r="C5" s="21" t="s">
        <v>146</v>
      </c>
      <c r="D5" s="21" t="s">
        <v>147</v>
      </c>
      <c r="E5" s="21" t="s">
        <v>148</v>
      </c>
      <c r="F5" s="21" t="s">
        <v>149</v>
      </c>
      <c r="G5" s="21" t="s">
        <v>150</v>
      </c>
      <c r="H5" s="21" t="s">
        <v>151</v>
      </c>
      <c r="I5" s="21" t="s">
        <v>152</v>
      </c>
      <c r="J5" s="21" t="s">
        <v>153</v>
      </c>
      <c r="K5" s="21" t="s">
        <v>154</v>
      </c>
      <c r="L5" s="21" t="s">
        <v>155</v>
      </c>
      <c r="M5" s="21" t="s">
        <v>156</v>
      </c>
      <c r="N5" s="21" t="s">
        <v>157</v>
      </c>
      <c r="O5" s="21" t="s">
        <v>158</v>
      </c>
      <c r="P5" s="21" t="s">
        <v>159</v>
      </c>
      <c r="Q5" s="21" t="s">
        <v>160</v>
      </c>
      <c r="R5" s="21" t="s">
        <v>161</v>
      </c>
      <c r="S5" s="21" t="s">
        <v>162</v>
      </c>
      <c r="T5" s="21" t="s">
        <v>163</v>
      </c>
      <c r="U5" s="21" t="s">
        <v>164</v>
      </c>
      <c r="V5" s="21" t="s">
        <v>165</v>
      </c>
      <c r="W5" s="21" t="s">
        <v>166</v>
      </c>
      <c r="X5" s="21" t="s">
        <v>167</v>
      </c>
      <c r="Y5" s="21" t="s">
        <v>168</v>
      </c>
      <c r="Z5" s="21" t="s">
        <v>169</v>
      </c>
      <c r="AA5" s="21" t="s">
        <v>170</v>
      </c>
      <c r="AB5" s="21" t="s">
        <v>171</v>
      </c>
    </row>
    <row r="6" spans="1:28" ht="19" customHeight="1">
      <c r="A6" s="18" t="s">
        <v>172</v>
      </c>
      <c r="B6" s="18" t="s">
        <v>173</v>
      </c>
      <c r="C6" s="18" t="s">
        <v>7</v>
      </c>
      <c r="D6" s="18" t="s">
        <v>174</v>
      </c>
      <c r="E6" s="22">
        <v>1</v>
      </c>
      <c r="F6" s="23" t="s">
        <v>39</v>
      </c>
      <c r="G6" s="23" t="s">
        <v>39</v>
      </c>
      <c r="H6" s="23" t="s">
        <v>39</v>
      </c>
      <c r="I6" s="23" t="s">
        <v>39</v>
      </c>
      <c r="J6" s="22">
        <v>2166528.21</v>
      </c>
      <c r="K6" s="22">
        <v>0</v>
      </c>
      <c r="L6" s="22">
        <v>2166528.21</v>
      </c>
      <c r="M6" s="23" t="s">
        <v>39</v>
      </c>
      <c r="N6" s="22">
        <v>2166528.21</v>
      </c>
      <c r="O6" s="22">
        <v>2166528.21</v>
      </c>
      <c r="P6" s="23" t="s">
        <v>39</v>
      </c>
      <c r="Q6" s="23" t="s">
        <v>39</v>
      </c>
      <c r="R6" s="23" t="s">
        <v>39</v>
      </c>
      <c r="S6" s="23" t="s">
        <v>39</v>
      </c>
      <c r="T6" s="23" t="s">
        <v>39</v>
      </c>
      <c r="U6" s="23" t="s">
        <v>39</v>
      </c>
      <c r="V6" s="23" t="s">
        <v>39</v>
      </c>
      <c r="W6" s="23" t="s">
        <v>39</v>
      </c>
      <c r="X6" s="24">
        <v>0.9802091429999999</v>
      </c>
      <c r="Y6" s="24">
        <v>0.9367893882</v>
      </c>
      <c r="Z6" s="23" t="s">
        <v>39</v>
      </c>
      <c r="AA6" s="23" t="s">
        <v>39</v>
      </c>
      <c r="AB6" s="23" t="s">
        <v>39</v>
      </c>
    </row>
    <row r="7" spans="1:28" ht="19" customHeight="1">
      <c r="A7" s="18" t="s">
        <v>172</v>
      </c>
      <c r="B7" s="18" t="s">
        <v>175</v>
      </c>
      <c r="C7" s="18" t="s">
        <v>83</v>
      </c>
      <c r="D7" s="18" t="s">
        <v>174</v>
      </c>
      <c r="E7" s="22">
        <v>1</v>
      </c>
      <c r="F7" s="23" t="s">
        <v>39</v>
      </c>
      <c r="G7" s="23" t="s">
        <v>39</v>
      </c>
      <c r="H7" s="23" t="s">
        <v>39</v>
      </c>
      <c r="I7" s="23" t="s">
        <v>39</v>
      </c>
      <c r="J7" s="22">
        <v>4144111.17</v>
      </c>
      <c r="K7" s="22">
        <v>0</v>
      </c>
      <c r="L7" s="22">
        <v>4144111.17</v>
      </c>
      <c r="M7" s="23" t="s">
        <v>39</v>
      </c>
      <c r="N7" s="22">
        <v>4144111.17</v>
      </c>
      <c r="O7" s="22">
        <v>4144111.17</v>
      </c>
      <c r="P7" s="23" t="s">
        <v>39</v>
      </c>
      <c r="Q7" s="23" t="s">
        <v>39</v>
      </c>
      <c r="R7" s="23" t="s">
        <v>39</v>
      </c>
      <c r="S7" s="23" t="s">
        <v>39</v>
      </c>
      <c r="T7" s="23" t="s">
        <v>39</v>
      </c>
      <c r="U7" s="23" t="s">
        <v>39</v>
      </c>
      <c r="V7" s="23" t="s">
        <v>39</v>
      </c>
      <c r="W7" s="23" t="s">
        <v>39</v>
      </c>
      <c r="X7" s="23" t="s">
        <v>39</v>
      </c>
      <c r="Y7" s="23" t="s">
        <v>39</v>
      </c>
      <c r="Z7" s="23" t="s">
        <v>39</v>
      </c>
      <c r="AA7" s="23" t="s">
        <v>39</v>
      </c>
      <c r="AB7" s="23" t="s">
        <v>39</v>
      </c>
    </row>
    <row r="8" spans="1:28" ht="19" customHeight="1">
      <c r="A8" s="18" t="s">
        <v>172</v>
      </c>
      <c r="B8" s="18" t="s">
        <v>176</v>
      </c>
      <c r="C8" s="18" t="s">
        <v>87</v>
      </c>
      <c r="D8" s="18" t="s">
        <v>174</v>
      </c>
      <c r="E8" s="22">
        <v>1</v>
      </c>
      <c r="F8" s="23" t="s">
        <v>39</v>
      </c>
      <c r="G8" s="23" t="s">
        <v>39</v>
      </c>
      <c r="H8" s="23" t="s">
        <v>39</v>
      </c>
      <c r="I8" s="23" t="s">
        <v>39</v>
      </c>
      <c r="J8" s="22">
        <v>40421.54</v>
      </c>
      <c r="K8" s="22">
        <v>0</v>
      </c>
      <c r="L8" s="22">
        <v>40421.54</v>
      </c>
      <c r="M8" s="23" t="s">
        <v>39</v>
      </c>
      <c r="N8" s="22">
        <v>40421.54</v>
      </c>
      <c r="O8" s="22">
        <v>40421.54</v>
      </c>
      <c r="P8" s="23" t="s">
        <v>39</v>
      </c>
      <c r="Q8" s="23" t="s">
        <v>39</v>
      </c>
      <c r="R8" s="23" t="s">
        <v>39</v>
      </c>
      <c r="S8" s="23" t="s">
        <v>39</v>
      </c>
      <c r="T8" s="23" t="s">
        <v>39</v>
      </c>
      <c r="U8" s="23" t="s">
        <v>39</v>
      </c>
      <c r="V8" s="23" t="s">
        <v>39</v>
      </c>
      <c r="W8" s="23" t="s">
        <v>39</v>
      </c>
      <c r="X8" s="23" t="s">
        <v>39</v>
      </c>
      <c r="Y8" s="23" t="s">
        <v>39</v>
      </c>
      <c r="Z8" s="23" t="s">
        <v>39</v>
      </c>
      <c r="AA8" s="23" t="s">
        <v>39</v>
      </c>
      <c r="AB8" s="23" t="s">
        <v>39</v>
      </c>
    </row>
    <row r="9" spans="1:28" ht="19" customHeight="1">
      <c r="A9" s="18" t="s">
        <v>172</v>
      </c>
      <c r="B9" s="18" t="s">
        <v>177</v>
      </c>
      <c r="C9" s="18" t="s">
        <v>9</v>
      </c>
      <c r="D9" s="18" t="s">
        <v>174</v>
      </c>
      <c r="E9" s="22">
        <v>1</v>
      </c>
      <c r="F9" s="23" t="s">
        <v>39</v>
      </c>
      <c r="G9" s="23" t="s">
        <v>39</v>
      </c>
      <c r="H9" s="23" t="s">
        <v>39</v>
      </c>
      <c r="I9" s="23" t="s">
        <v>39</v>
      </c>
      <c r="J9" s="22">
        <v>237187</v>
      </c>
      <c r="K9" s="22">
        <v>0</v>
      </c>
      <c r="L9" s="22">
        <v>237187</v>
      </c>
      <c r="M9" s="23" t="s">
        <v>39</v>
      </c>
      <c r="N9" s="22">
        <v>237187</v>
      </c>
      <c r="O9" s="22">
        <v>237187</v>
      </c>
      <c r="P9" s="23" t="s">
        <v>39</v>
      </c>
      <c r="Q9" s="23" t="s">
        <v>39</v>
      </c>
      <c r="R9" s="23" t="s">
        <v>39</v>
      </c>
      <c r="S9" s="23" t="s">
        <v>39</v>
      </c>
      <c r="T9" s="23" t="s">
        <v>39</v>
      </c>
      <c r="U9" s="23" t="s">
        <v>39</v>
      </c>
      <c r="V9" s="23" t="s">
        <v>39</v>
      </c>
      <c r="W9" s="23" t="s">
        <v>39</v>
      </c>
      <c r="X9" s="24">
        <v>0.9854512629</v>
      </c>
      <c r="Y9" s="24">
        <v>0.9529860229</v>
      </c>
      <c r="Z9" s="23" t="s">
        <v>39</v>
      </c>
      <c r="AA9" s="23" t="s">
        <v>39</v>
      </c>
      <c r="AB9" s="23" t="s">
        <v>39</v>
      </c>
    </row>
    <row r="10" spans="1:28" ht="19" customHeight="1">
      <c r="A10" s="18" t="s">
        <v>172</v>
      </c>
      <c r="B10" s="18" t="s">
        <v>178</v>
      </c>
      <c r="C10" s="18" t="s">
        <v>10</v>
      </c>
      <c r="D10" s="18" t="s">
        <v>174</v>
      </c>
      <c r="E10" s="22">
        <v>1</v>
      </c>
      <c r="F10" s="23" t="s">
        <v>39</v>
      </c>
      <c r="G10" s="23" t="s">
        <v>39</v>
      </c>
      <c r="H10" s="23" t="s">
        <v>39</v>
      </c>
      <c r="I10" s="23" t="s">
        <v>39</v>
      </c>
      <c r="J10" s="22">
        <v>3049033.32</v>
      </c>
      <c r="K10" s="22">
        <v>0</v>
      </c>
      <c r="L10" s="22">
        <v>3049033.32</v>
      </c>
      <c r="M10" s="23" t="s">
        <v>39</v>
      </c>
      <c r="N10" s="22">
        <v>3049033.32</v>
      </c>
      <c r="O10" s="22">
        <v>3049033.32</v>
      </c>
      <c r="P10" s="23" t="s">
        <v>39</v>
      </c>
      <c r="Q10" s="23" t="s">
        <v>39</v>
      </c>
      <c r="R10" s="23" t="s">
        <v>39</v>
      </c>
      <c r="S10" s="23" t="s">
        <v>39</v>
      </c>
      <c r="T10" s="23" t="s">
        <v>39</v>
      </c>
      <c r="U10" s="23" t="s">
        <v>39</v>
      </c>
      <c r="V10" s="23" t="s">
        <v>39</v>
      </c>
      <c r="W10" s="23" t="s">
        <v>39</v>
      </c>
      <c r="X10" s="24">
        <v>0.9882626718999999</v>
      </c>
      <c r="Y10" s="24">
        <v>0.876199262</v>
      </c>
      <c r="Z10" s="23" t="s">
        <v>39</v>
      </c>
      <c r="AA10" s="23" t="s">
        <v>39</v>
      </c>
      <c r="AB10" s="23" t="s">
        <v>39</v>
      </c>
    </row>
    <row r="11" spans="1:28" ht="19" customHeight="1">
      <c r="A11" s="18" t="s">
        <v>172</v>
      </c>
      <c r="B11" s="18" t="s">
        <v>179</v>
      </c>
      <c r="C11" s="18" t="s">
        <v>11</v>
      </c>
      <c r="D11" s="18" t="s">
        <v>174</v>
      </c>
      <c r="E11" s="22">
        <v>1</v>
      </c>
      <c r="F11" s="23" t="s">
        <v>39</v>
      </c>
      <c r="G11" s="23" t="s">
        <v>39</v>
      </c>
      <c r="H11" s="23" t="s">
        <v>39</v>
      </c>
      <c r="I11" s="23" t="s">
        <v>39</v>
      </c>
      <c r="J11" s="22">
        <v>544257.88</v>
      </c>
      <c r="K11" s="22">
        <v>0</v>
      </c>
      <c r="L11" s="22">
        <v>544257.88</v>
      </c>
      <c r="M11" s="23" t="s">
        <v>39</v>
      </c>
      <c r="N11" s="22">
        <v>544257.88</v>
      </c>
      <c r="O11" s="22">
        <v>544257.88</v>
      </c>
      <c r="P11" s="23" t="s">
        <v>39</v>
      </c>
      <c r="Q11" s="23" t="s">
        <v>39</v>
      </c>
      <c r="R11" s="23" t="s">
        <v>39</v>
      </c>
      <c r="S11" s="23" t="s">
        <v>39</v>
      </c>
      <c r="T11" s="23" t="s">
        <v>39</v>
      </c>
      <c r="U11" s="23" t="s">
        <v>39</v>
      </c>
      <c r="V11" s="23" t="s">
        <v>39</v>
      </c>
      <c r="W11" s="23" t="s">
        <v>39</v>
      </c>
      <c r="X11" s="24">
        <v>0.996689267</v>
      </c>
      <c r="Y11" s="24">
        <v>0.928469412</v>
      </c>
      <c r="Z11" s="23" t="s">
        <v>39</v>
      </c>
      <c r="AA11" s="23" t="s">
        <v>39</v>
      </c>
      <c r="AB11" s="23" t="s">
        <v>39</v>
      </c>
    </row>
    <row r="12" spans="1:28" ht="19" customHeight="1">
      <c r="A12" s="18" t="s">
        <v>172</v>
      </c>
      <c r="B12" s="18" t="s">
        <v>180</v>
      </c>
      <c r="C12" s="18" t="s">
        <v>12</v>
      </c>
      <c r="D12" s="18" t="s">
        <v>174</v>
      </c>
      <c r="E12" s="22">
        <v>1</v>
      </c>
      <c r="F12" s="23" t="s">
        <v>39</v>
      </c>
      <c r="G12" s="23" t="s">
        <v>39</v>
      </c>
      <c r="H12" s="23" t="s">
        <v>39</v>
      </c>
      <c r="I12" s="23" t="s">
        <v>39</v>
      </c>
      <c r="J12" s="22">
        <v>3908020.9</v>
      </c>
      <c r="K12" s="22">
        <v>0</v>
      </c>
      <c r="L12" s="22">
        <v>3908020.9</v>
      </c>
      <c r="M12" s="23" t="s">
        <v>39</v>
      </c>
      <c r="N12" s="22">
        <v>3908020.9</v>
      </c>
      <c r="O12" s="22">
        <v>3908020.9</v>
      </c>
      <c r="P12" s="23" t="s">
        <v>39</v>
      </c>
      <c r="Q12" s="23" t="s">
        <v>39</v>
      </c>
      <c r="R12" s="23" t="s">
        <v>39</v>
      </c>
      <c r="S12" s="23" t="s">
        <v>39</v>
      </c>
      <c r="T12" s="23" t="s">
        <v>39</v>
      </c>
      <c r="U12" s="23" t="s">
        <v>39</v>
      </c>
      <c r="V12" s="23" t="s">
        <v>39</v>
      </c>
      <c r="W12" s="23" t="s">
        <v>39</v>
      </c>
      <c r="X12" s="24">
        <v>0.9984478951</v>
      </c>
      <c r="Y12" s="24">
        <v>1</v>
      </c>
      <c r="Z12" s="23" t="s">
        <v>39</v>
      </c>
      <c r="AA12" s="23" t="s">
        <v>39</v>
      </c>
      <c r="AB12" s="23" t="s">
        <v>39</v>
      </c>
    </row>
    <row r="13" spans="1:28" ht="19" customHeight="1">
      <c r="A13" s="18" t="s">
        <v>172</v>
      </c>
      <c r="B13" s="18" t="s">
        <v>13</v>
      </c>
      <c r="C13" s="18" t="s">
        <v>13</v>
      </c>
      <c r="D13" s="18" t="s">
        <v>181</v>
      </c>
      <c r="E13" s="23" t="s">
        <v>39</v>
      </c>
      <c r="F13" s="23" t="s">
        <v>39</v>
      </c>
      <c r="G13" s="23" t="s">
        <v>39</v>
      </c>
      <c r="H13" s="23" t="s">
        <v>39</v>
      </c>
      <c r="I13" s="23" t="s">
        <v>39</v>
      </c>
      <c r="J13" s="23" t="s">
        <v>39</v>
      </c>
      <c r="K13" s="22">
        <v>0</v>
      </c>
      <c r="L13" s="23" t="s">
        <v>39</v>
      </c>
      <c r="M13" s="23" t="s">
        <v>39</v>
      </c>
      <c r="N13" s="22">
        <v>2874735.6081</v>
      </c>
      <c r="O13" s="22">
        <v>2874735.6081</v>
      </c>
      <c r="P13" s="23" t="s">
        <v>39</v>
      </c>
      <c r="Q13" s="23" t="s">
        <v>39</v>
      </c>
      <c r="R13" s="23" t="s">
        <v>39</v>
      </c>
      <c r="S13" s="23" t="s">
        <v>39</v>
      </c>
      <c r="T13" s="23" t="s">
        <v>39</v>
      </c>
      <c r="U13" s="23" t="s">
        <v>39</v>
      </c>
      <c r="V13" s="23" t="s">
        <v>39</v>
      </c>
      <c r="W13" s="23" t="s">
        <v>39</v>
      </c>
      <c r="X13" s="24">
        <v>1</v>
      </c>
      <c r="Y13" s="24">
        <v>1</v>
      </c>
      <c r="Z13" s="23" t="s">
        <v>39</v>
      </c>
      <c r="AA13" s="23" t="s">
        <v>39</v>
      </c>
      <c r="AB13" s="23" t="s">
        <v>39</v>
      </c>
    </row>
    <row r="14" spans="1:28" ht="19" customHeight="1">
      <c r="A14" s="18" t="s">
        <v>172</v>
      </c>
      <c r="B14" s="18" t="s">
        <v>182</v>
      </c>
      <c r="C14" s="18" t="s">
        <v>14</v>
      </c>
      <c r="D14" s="18" t="s">
        <v>183</v>
      </c>
      <c r="E14" s="23" t="s">
        <v>39</v>
      </c>
      <c r="F14" s="23" t="s">
        <v>39</v>
      </c>
      <c r="G14" s="23" t="s">
        <v>39</v>
      </c>
      <c r="H14" s="23" t="s">
        <v>39</v>
      </c>
      <c r="I14" s="23" t="s">
        <v>39</v>
      </c>
      <c r="J14" s="23" t="s">
        <v>39</v>
      </c>
      <c r="K14" s="22">
        <v>0</v>
      </c>
      <c r="L14" s="23" t="s">
        <v>39</v>
      </c>
      <c r="M14" s="23" t="s">
        <v>39</v>
      </c>
      <c r="N14" s="22">
        <v>1954760.7895</v>
      </c>
      <c r="O14" s="22">
        <v>1954760.7895</v>
      </c>
      <c r="P14" s="23" t="s">
        <v>39</v>
      </c>
      <c r="Q14" s="23" t="s">
        <v>39</v>
      </c>
      <c r="R14" s="23" t="s">
        <v>39</v>
      </c>
      <c r="S14" s="23" t="s">
        <v>39</v>
      </c>
      <c r="T14" s="23" t="s">
        <v>39</v>
      </c>
      <c r="U14" s="23" t="s">
        <v>39</v>
      </c>
      <c r="V14" s="23" t="s">
        <v>39</v>
      </c>
      <c r="W14" s="23" t="s">
        <v>39</v>
      </c>
      <c r="X14" s="24">
        <v>0.6645309376</v>
      </c>
      <c r="Y14" s="24">
        <v>0.8342387704000001</v>
      </c>
      <c r="Z14" s="23" t="s">
        <v>39</v>
      </c>
      <c r="AA14" s="23" t="s">
        <v>39</v>
      </c>
      <c r="AB14" s="23" t="s">
        <v>39</v>
      </c>
    </row>
    <row r="15" spans="1:28" ht="19" customHeight="1">
      <c r="A15" s="18" t="s">
        <v>172</v>
      </c>
      <c r="B15" s="18" t="s">
        <v>184</v>
      </c>
      <c r="C15" s="18" t="s">
        <v>15</v>
      </c>
      <c r="D15" s="18" t="s">
        <v>174</v>
      </c>
      <c r="E15" s="22">
        <v>1</v>
      </c>
      <c r="F15" s="23" t="s">
        <v>39</v>
      </c>
      <c r="G15" s="23" t="s">
        <v>39</v>
      </c>
      <c r="H15" s="22">
        <v>53725.4016</v>
      </c>
      <c r="I15" s="23" t="s">
        <v>39</v>
      </c>
      <c r="J15" s="22">
        <v>53725.4016</v>
      </c>
      <c r="K15" s="22">
        <v>0</v>
      </c>
      <c r="L15" s="22">
        <v>53725.4016</v>
      </c>
      <c r="M15" s="22">
        <v>53725.4016</v>
      </c>
      <c r="N15" s="22">
        <v>53725.4016</v>
      </c>
      <c r="O15" s="22">
        <v>53725.4016</v>
      </c>
      <c r="P15" s="23" t="s">
        <v>39</v>
      </c>
      <c r="Q15" s="23" t="s">
        <v>39</v>
      </c>
      <c r="R15" s="23" t="s">
        <v>39</v>
      </c>
      <c r="S15" s="23" t="s">
        <v>39</v>
      </c>
      <c r="T15" s="23" t="s">
        <v>39</v>
      </c>
      <c r="U15" s="23" t="s">
        <v>39</v>
      </c>
      <c r="V15" s="23" t="s">
        <v>39</v>
      </c>
      <c r="W15" s="23" t="s">
        <v>39</v>
      </c>
      <c r="X15" s="23" t="s">
        <v>39</v>
      </c>
      <c r="Y15" s="23" t="s">
        <v>39</v>
      </c>
      <c r="Z15" s="23" t="s">
        <v>39</v>
      </c>
      <c r="AA15" s="23" t="s">
        <v>39</v>
      </c>
      <c r="AB15" s="23" t="s">
        <v>39</v>
      </c>
    </row>
    <row r="16" spans="1:28" ht="19" customHeight="1">
      <c r="A16" s="18" t="s">
        <v>172</v>
      </c>
      <c r="B16" s="18" t="s">
        <v>185</v>
      </c>
      <c r="C16" s="18" t="s">
        <v>16</v>
      </c>
      <c r="D16" s="18" t="s">
        <v>186</v>
      </c>
      <c r="E16" s="23" t="s">
        <v>39</v>
      </c>
      <c r="F16" s="23" t="s">
        <v>39</v>
      </c>
      <c r="G16" s="23" t="s">
        <v>39</v>
      </c>
      <c r="H16" s="23" t="s">
        <v>39</v>
      </c>
      <c r="I16" s="23" t="s">
        <v>39</v>
      </c>
      <c r="J16" s="23" t="s">
        <v>39</v>
      </c>
      <c r="K16" s="22">
        <v>0</v>
      </c>
      <c r="L16" s="23" t="s">
        <v>39</v>
      </c>
      <c r="M16" s="22">
        <v>8543463.171700001</v>
      </c>
      <c r="N16" s="22">
        <v>8543463.171700001</v>
      </c>
      <c r="O16" s="22">
        <v>8543463.171700001</v>
      </c>
      <c r="P16" s="23" t="s">
        <v>39</v>
      </c>
      <c r="Q16" s="23" t="s">
        <v>39</v>
      </c>
      <c r="R16" s="23" t="s">
        <v>39</v>
      </c>
      <c r="S16" s="23" t="s">
        <v>39</v>
      </c>
      <c r="T16" s="23" t="s">
        <v>39</v>
      </c>
      <c r="U16" s="23" t="s">
        <v>39</v>
      </c>
      <c r="V16" s="23" t="s">
        <v>39</v>
      </c>
      <c r="W16" s="23" t="s">
        <v>39</v>
      </c>
      <c r="X16" s="23" t="s">
        <v>39</v>
      </c>
      <c r="Y16" s="23" t="s">
        <v>39</v>
      </c>
      <c r="Z16" s="23" t="s">
        <v>39</v>
      </c>
      <c r="AA16" s="23" t="s">
        <v>39</v>
      </c>
      <c r="AB16" s="23" t="s">
        <v>39</v>
      </c>
    </row>
    <row r="17" spans="1:28" ht="19" customHeight="1">
      <c r="A17" s="18" t="s">
        <v>172</v>
      </c>
      <c r="B17" s="18" t="s">
        <v>187</v>
      </c>
      <c r="C17" s="18" t="s">
        <v>17</v>
      </c>
      <c r="D17" s="18" t="s">
        <v>188</v>
      </c>
      <c r="E17" s="23" t="s">
        <v>39</v>
      </c>
      <c r="F17" s="23" t="s">
        <v>39</v>
      </c>
      <c r="G17" s="23" t="s">
        <v>39</v>
      </c>
      <c r="H17" s="23" t="s">
        <v>39</v>
      </c>
      <c r="I17" s="23" t="s">
        <v>39</v>
      </c>
      <c r="J17" s="23" t="s">
        <v>39</v>
      </c>
      <c r="K17" s="23" t="s">
        <v>39</v>
      </c>
      <c r="L17" s="23" t="s">
        <v>39</v>
      </c>
      <c r="M17" s="23" t="s">
        <v>39</v>
      </c>
      <c r="N17" s="22">
        <v>3203.2179</v>
      </c>
      <c r="O17" s="23" t="s">
        <v>39</v>
      </c>
      <c r="P17" s="23" t="s">
        <v>39</v>
      </c>
      <c r="Q17" s="23" t="s">
        <v>39</v>
      </c>
      <c r="R17" s="23" t="s">
        <v>39</v>
      </c>
      <c r="S17" s="23" t="s">
        <v>39</v>
      </c>
      <c r="T17" s="23" t="s">
        <v>39</v>
      </c>
      <c r="U17" s="23" t="s">
        <v>39</v>
      </c>
      <c r="V17" s="23" t="s">
        <v>39</v>
      </c>
      <c r="W17" s="23" t="s">
        <v>39</v>
      </c>
      <c r="X17" s="23" t="s">
        <v>39</v>
      </c>
      <c r="Y17" s="23" t="s">
        <v>39</v>
      </c>
      <c r="Z17" s="23" t="s">
        <v>39</v>
      </c>
      <c r="AA17" s="23" t="s">
        <v>39</v>
      </c>
      <c r="AB17" s="23" t="s">
        <v>39</v>
      </c>
    </row>
    <row r="18" spans="1:28" ht="19" customHeight="1">
      <c r="A18" s="18" t="s">
        <v>172</v>
      </c>
      <c r="B18" s="18" t="s">
        <v>189</v>
      </c>
      <c r="C18" s="18" t="s">
        <v>18</v>
      </c>
      <c r="D18" s="18" t="s">
        <v>190</v>
      </c>
      <c r="E18" s="23" t="s">
        <v>39</v>
      </c>
      <c r="F18" s="23" t="s">
        <v>39</v>
      </c>
      <c r="G18" s="23" t="s">
        <v>39</v>
      </c>
      <c r="H18" s="23" t="s">
        <v>39</v>
      </c>
      <c r="I18" s="23" t="s">
        <v>39</v>
      </c>
      <c r="J18" s="23" t="s">
        <v>39</v>
      </c>
      <c r="K18" s="23" t="s">
        <v>39</v>
      </c>
      <c r="L18" s="23" t="s">
        <v>39</v>
      </c>
      <c r="M18" s="23" t="s">
        <v>39</v>
      </c>
      <c r="N18" s="22">
        <v>13198.213</v>
      </c>
      <c r="O18" s="23" t="s">
        <v>39</v>
      </c>
      <c r="P18" s="23" t="s">
        <v>39</v>
      </c>
      <c r="Q18" s="23" t="s">
        <v>39</v>
      </c>
      <c r="R18" s="23" t="s">
        <v>39</v>
      </c>
      <c r="S18" s="23" t="s">
        <v>39</v>
      </c>
      <c r="T18" s="23" t="s">
        <v>39</v>
      </c>
      <c r="U18" s="23" t="s">
        <v>39</v>
      </c>
      <c r="V18" s="23" t="s">
        <v>39</v>
      </c>
      <c r="W18" s="23" t="s">
        <v>39</v>
      </c>
      <c r="X18" s="23" t="s">
        <v>39</v>
      </c>
      <c r="Y18" s="23" t="s">
        <v>39</v>
      </c>
      <c r="Z18" s="23" t="s">
        <v>39</v>
      </c>
      <c r="AA18" s="23" t="s">
        <v>39</v>
      </c>
      <c r="AB18" s="23" t="s">
        <v>39</v>
      </c>
    </row>
    <row r="19" spans="1:28" ht="19" customHeight="1">
      <c r="A19" s="18" t="s">
        <v>172</v>
      </c>
      <c r="B19" s="18" t="s">
        <v>191</v>
      </c>
      <c r="C19" s="18" t="s">
        <v>19</v>
      </c>
      <c r="D19" s="18" t="s">
        <v>192</v>
      </c>
      <c r="E19" s="23" t="s">
        <v>39</v>
      </c>
      <c r="F19" s="23" t="s">
        <v>39</v>
      </c>
      <c r="G19" s="23" t="s">
        <v>39</v>
      </c>
      <c r="H19" s="23" t="s">
        <v>39</v>
      </c>
      <c r="I19" s="23" t="s">
        <v>39</v>
      </c>
      <c r="J19" s="23" t="s">
        <v>39</v>
      </c>
      <c r="K19" s="23" t="s">
        <v>39</v>
      </c>
      <c r="L19" s="23" t="s">
        <v>39</v>
      </c>
      <c r="M19" s="23" t="s">
        <v>39</v>
      </c>
      <c r="N19" s="22">
        <v>15478.6603</v>
      </c>
      <c r="O19" s="23" t="s">
        <v>39</v>
      </c>
      <c r="P19" s="23" t="s">
        <v>39</v>
      </c>
      <c r="Q19" s="23" t="s">
        <v>39</v>
      </c>
      <c r="R19" s="23" t="s">
        <v>39</v>
      </c>
      <c r="S19" s="23" t="s">
        <v>39</v>
      </c>
      <c r="T19" s="23" t="s">
        <v>39</v>
      </c>
      <c r="U19" s="23" t="s">
        <v>39</v>
      </c>
      <c r="V19" s="23" t="s">
        <v>39</v>
      </c>
      <c r="W19" s="23" t="s">
        <v>39</v>
      </c>
      <c r="X19" s="23" t="s">
        <v>39</v>
      </c>
      <c r="Y19" s="23" t="s">
        <v>39</v>
      </c>
      <c r="Z19" s="23" t="s">
        <v>39</v>
      </c>
      <c r="AA19" s="23" t="s">
        <v>39</v>
      </c>
      <c r="AB19" s="23" t="s">
        <v>39</v>
      </c>
    </row>
    <row r="20" spans="1:28" ht="19" customHeight="1">
      <c r="A20" s="18" t="s">
        <v>38</v>
      </c>
      <c r="B20" s="18" t="s">
        <v>177</v>
      </c>
      <c r="C20" s="18" t="s">
        <v>9</v>
      </c>
      <c r="D20" s="18" t="s">
        <v>174</v>
      </c>
      <c r="E20" s="22">
        <v>1</v>
      </c>
      <c r="F20" s="22">
        <v>42047286</v>
      </c>
      <c r="G20" s="22">
        <v>41924317</v>
      </c>
      <c r="H20" s="22">
        <v>122969</v>
      </c>
      <c r="I20" s="22">
        <v>0</v>
      </c>
      <c r="J20" s="22">
        <v>136664</v>
      </c>
      <c r="K20" s="22">
        <v>0</v>
      </c>
      <c r="L20" s="22">
        <v>136664</v>
      </c>
      <c r="M20" s="22">
        <v>122969</v>
      </c>
      <c r="N20" s="22">
        <v>136664</v>
      </c>
      <c r="O20" s="22">
        <v>136664</v>
      </c>
      <c r="P20" s="22">
        <v>295</v>
      </c>
      <c r="Q20" s="22">
        <v>649444</v>
      </c>
      <c r="R20" s="22">
        <v>537284</v>
      </c>
      <c r="S20" s="22">
        <v>1391</v>
      </c>
      <c r="T20" s="22">
        <v>1156</v>
      </c>
      <c r="U20" s="24">
        <v>0.8272984275780514</v>
      </c>
      <c r="V20" s="24">
        <v>0.8310567936736161</v>
      </c>
      <c r="W20" s="22">
        <v>108240.6666666667</v>
      </c>
      <c r="X20" s="24">
        <v>1</v>
      </c>
      <c r="Y20" s="24">
        <v>1</v>
      </c>
      <c r="Z20" s="22">
        <v>277510</v>
      </c>
      <c r="AA20" s="22">
        <v>169237</v>
      </c>
      <c r="AB20" s="24">
        <v>0.6098410868076826</v>
      </c>
    </row>
    <row r="21" spans="1:28" ht="19" customHeight="1">
      <c r="A21" s="18" t="s">
        <v>38</v>
      </c>
      <c r="B21" s="18" t="s">
        <v>173</v>
      </c>
      <c r="C21" s="18" t="s">
        <v>7</v>
      </c>
      <c r="D21" s="18" t="s">
        <v>174</v>
      </c>
      <c r="E21" s="22">
        <v>1</v>
      </c>
      <c r="F21" s="22">
        <v>201645267</v>
      </c>
      <c r="G21" s="22">
        <v>200259438</v>
      </c>
      <c r="H21" s="22">
        <v>1385830</v>
      </c>
      <c r="I21" s="22">
        <v>401982</v>
      </c>
      <c r="J21" s="22">
        <v>1787812</v>
      </c>
      <c r="K21" s="22">
        <v>0</v>
      </c>
      <c r="L21" s="22">
        <v>1787812</v>
      </c>
      <c r="M21" s="22">
        <v>1385830</v>
      </c>
      <c r="N21" s="22">
        <v>1787812</v>
      </c>
      <c r="O21" s="22">
        <v>1787812</v>
      </c>
      <c r="P21" s="22">
        <v>7763</v>
      </c>
      <c r="Q21" s="22">
        <v>20624760</v>
      </c>
      <c r="R21" s="22">
        <v>19273987</v>
      </c>
      <c r="S21" s="22">
        <v>43786</v>
      </c>
      <c r="T21" s="22">
        <v>38217</v>
      </c>
      <c r="U21" s="24">
        <v>0.9345072136596984</v>
      </c>
      <c r="V21" s="24">
        <v>0.8728132279724112</v>
      </c>
      <c r="W21" s="22">
        <v>3437460</v>
      </c>
      <c r="X21" s="24">
        <v>0.9931642617902213</v>
      </c>
      <c r="Y21" s="24">
        <v>0.9894054395951929</v>
      </c>
      <c r="Z21" s="22">
        <v>10477275</v>
      </c>
      <c r="AA21" s="22">
        <v>9265568</v>
      </c>
      <c r="AB21" s="24">
        <v>0.8843490315945701</v>
      </c>
    </row>
    <row r="22" spans="1:28" ht="19" customHeight="1">
      <c r="A22" s="18" t="s">
        <v>38</v>
      </c>
      <c r="B22" s="18" t="s">
        <v>180</v>
      </c>
      <c r="C22" s="18" t="s">
        <v>12</v>
      </c>
      <c r="D22" s="18" t="s">
        <v>174</v>
      </c>
      <c r="E22" s="22">
        <v>1</v>
      </c>
      <c r="F22" s="22">
        <v>30138173</v>
      </c>
      <c r="G22" s="22">
        <v>26932418</v>
      </c>
      <c r="H22" s="22">
        <v>3205755</v>
      </c>
      <c r="I22" s="22">
        <v>111832</v>
      </c>
      <c r="J22" s="22">
        <v>3317587</v>
      </c>
      <c r="K22" s="22">
        <v>0</v>
      </c>
      <c r="L22" s="22">
        <v>3317587</v>
      </c>
      <c r="M22" s="22">
        <v>3205755</v>
      </c>
      <c r="N22" s="22">
        <v>3317587</v>
      </c>
      <c r="O22" s="22">
        <v>3317587</v>
      </c>
      <c r="P22" s="22">
        <v>14816</v>
      </c>
      <c r="Q22" s="22">
        <v>10176351</v>
      </c>
      <c r="R22" s="22">
        <v>7243846</v>
      </c>
      <c r="S22" s="22">
        <v>44566</v>
      </c>
      <c r="T22" s="22">
        <v>31141</v>
      </c>
      <c r="U22" s="24">
        <v>0.7118313823884416</v>
      </c>
      <c r="V22" s="24">
        <v>0.6987613876049006</v>
      </c>
      <c r="W22" s="22">
        <v>1696058.5</v>
      </c>
      <c r="X22" s="24">
        <v>0.9777348442295094</v>
      </c>
      <c r="Y22" s="24">
        <v>0.9403706688154714</v>
      </c>
      <c r="Z22" s="22">
        <v>4927748</v>
      </c>
      <c r="AA22" s="22">
        <v>2279806</v>
      </c>
      <c r="AB22" s="24">
        <v>0.4626466288454685</v>
      </c>
    </row>
    <row r="23" spans="1:28" ht="19" customHeight="1">
      <c r="A23" s="18" t="s">
        <v>38</v>
      </c>
      <c r="B23" s="18" t="s">
        <v>175</v>
      </c>
      <c r="C23" s="18" t="s">
        <v>83</v>
      </c>
      <c r="D23" s="18" t="s">
        <v>174</v>
      </c>
      <c r="E23" s="22">
        <v>1</v>
      </c>
      <c r="F23" s="22">
        <v>143508096</v>
      </c>
      <c r="G23" s="22">
        <v>140061431</v>
      </c>
      <c r="H23" s="22">
        <v>3446665</v>
      </c>
      <c r="I23" s="22">
        <v>26808</v>
      </c>
      <c r="J23" s="22">
        <v>3473473</v>
      </c>
      <c r="K23" s="22">
        <v>0</v>
      </c>
      <c r="L23" s="22">
        <v>3473473</v>
      </c>
      <c r="M23" s="22">
        <v>3446665</v>
      </c>
      <c r="N23" s="22">
        <v>3473473</v>
      </c>
      <c r="O23" s="22">
        <v>3473473</v>
      </c>
      <c r="P23" s="22">
        <v>23307</v>
      </c>
      <c r="Q23" s="22">
        <v>4971406</v>
      </c>
      <c r="R23" s="22">
        <v>2985031</v>
      </c>
      <c r="S23" s="22">
        <v>19174</v>
      </c>
      <c r="T23" s="22">
        <v>9091</v>
      </c>
      <c r="U23" s="24">
        <v>0.6004399962505577</v>
      </c>
      <c r="V23" s="24">
        <v>0.4741316365912173</v>
      </c>
      <c r="W23" s="22">
        <v>828567.6666666666</v>
      </c>
      <c r="X23" s="24">
        <v>0.709119326560503</v>
      </c>
      <c r="Y23" s="24">
        <v>0.598964197252871</v>
      </c>
      <c r="Z23" s="22">
        <v>2588671</v>
      </c>
      <c r="AA23" s="22">
        <v>1215099</v>
      </c>
      <c r="AB23" s="24">
        <v>0.4693910504656637</v>
      </c>
    </row>
    <row r="24" spans="1:28" ht="19" customHeight="1">
      <c r="A24" s="18" t="s">
        <v>38</v>
      </c>
      <c r="B24" s="18" t="s">
        <v>178</v>
      </c>
      <c r="C24" s="18" t="s">
        <v>10</v>
      </c>
      <c r="D24" s="18" t="s">
        <v>174</v>
      </c>
      <c r="E24" s="22">
        <v>1</v>
      </c>
      <c r="F24" s="22">
        <v>136213171</v>
      </c>
      <c r="G24" s="22">
        <v>135425744</v>
      </c>
      <c r="H24" s="22">
        <v>787426</v>
      </c>
      <c r="I24" s="22">
        <v>2235818</v>
      </c>
      <c r="J24" s="22">
        <v>3023244</v>
      </c>
      <c r="K24" s="22">
        <v>0</v>
      </c>
      <c r="L24" s="22">
        <v>3023244</v>
      </c>
      <c r="M24" s="22">
        <v>787426</v>
      </c>
      <c r="N24" s="22">
        <v>3023244</v>
      </c>
      <c r="O24" s="22">
        <v>3023244</v>
      </c>
      <c r="P24" s="22">
        <v>108473</v>
      </c>
      <c r="Q24" s="22">
        <v>6678520</v>
      </c>
      <c r="R24" s="22">
        <v>6028262</v>
      </c>
      <c r="S24" s="22">
        <v>27734</v>
      </c>
      <c r="T24" s="22">
        <v>23700</v>
      </c>
      <c r="U24" s="24">
        <v>0.9026344160083372</v>
      </c>
      <c r="V24" s="24">
        <v>0.8545467657027476</v>
      </c>
      <c r="W24" s="22">
        <v>1113086.666666667</v>
      </c>
      <c r="X24" s="24">
        <v>0.9843784652623619</v>
      </c>
      <c r="Y24" s="24">
        <v>0.9484958979033729</v>
      </c>
      <c r="Z24" s="22">
        <v>3602309</v>
      </c>
      <c r="AA24" s="22">
        <v>3004894</v>
      </c>
      <c r="AB24" s="24">
        <v>0.8341577582600493</v>
      </c>
    </row>
    <row r="25" spans="1:28" ht="19" customHeight="1">
      <c r="A25" s="18" t="s">
        <v>38</v>
      </c>
      <c r="B25" s="18" t="s">
        <v>179</v>
      </c>
      <c r="C25" s="18" t="s">
        <v>11</v>
      </c>
      <c r="D25" s="18" t="s">
        <v>174</v>
      </c>
      <c r="E25" s="22">
        <v>1</v>
      </c>
      <c r="F25" s="22">
        <v>32140258</v>
      </c>
      <c r="G25" s="22">
        <v>31559349</v>
      </c>
      <c r="H25" s="22">
        <v>580909</v>
      </c>
      <c r="I25" s="22">
        <v>12504</v>
      </c>
      <c r="J25" s="22">
        <v>593413</v>
      </c>
      <c r="K25" s="22">
        <v>0</v>
      </c>
      <c r="L25" s="22">
        <v>593413</v>
      </c>
      <c r="M25" s="22">
        <v>580909</v>
      </c>
      <c r="N25" s="22">
        <v>593413</v>
      </c>
      <c r="O25" s="22">
        <v>593413</v>
      </c>
      <c r="P25" s="22">
        <v>13641</v>
      </c>
      <c r="Q25" s="22">
        <v>14274561</v>
      </c>
      <c r="R25" s="22">
        <v>13797157</v>
      </c>
      <c r="S25" s="22">
        <v>20213</v>
      </c>
      <c r="T25" s="22">
        <v>8876</v>
      </c>
      <c r="U25" s="24">
        <v>0.9665556089605838</v>
      </c>
      <c r="V25" s="24">
        <v>0.4391233364666304</v>
      </c>
      <c r="W25" s="22">
        <v>2379093.5</v>
      </c>
      <c r="X25" s="24">
        <v>0.9911539948773356</v>
      </c>
      <c r="Y25" s="24">
        <v>0.6078777189888301</v>
      </c>
      <c r="Z25" s="22">
        <v>4013147</v>
      </c>
      <c r="AA25" s="22">
        <v>3646547</v>
      </c>
      <c r="AB25" s="24">
        <v>0.9086502438111537</v>
      </c>
    </row>
    <row r="26" spans="1:28" ht="19" customHeight="1">
      <c r="A26" s="18" t="s">
        <v>38</v>
      </c>
      <c r="B26" s="18" t="s">
        <v>13</v>
      </c>
      <c r="C26" s="18" t="s">
        <v>13</v>
      </c>
      <c r="D26" s="18" t="s">
        <v>181</v>
      </c>
      <c r="E26" s="22">
        <v>0.85443381</v>
      </c>
      <c r="F26" s="22">
        <v>4017146</v>
      </c>
      <c r="G26" s="22">
        <v>3676489</v>
      </c>
      <c r="H26" s="22">
        <v>340657</v>
      </c>
      <c r="I26" s="22">
        <v>2103546</v>
      </c>
      <c r="J26" s="22">
        <v>2444203</v>
      </c>
      <c r="K26" s="22">
        <v>0</v>
      </c>
      <c r="L26" s="22">
        <v>2444203</v>
      </c>
      <c r="M26" s="22">
        <v>398693.2586387236</v>
      </c>
      <c r="N26" s="22">
        <v>2860611.285969594</v>
      </c>
      <c r="O26" s="22">
        <v>2860611.285969594</v>
      </c>
      <c r="P26" s="22">
        <v>50963</v>
      </c>
      <c r="Q26" s="22">
        <v>941332.1319763786</v>
      </c>
      <c r="R26" s="22">
        <v>589510.8481252632</v>
      </c>
      <c r="S26" s="22">
        <v>21362</v>
      </c>
      <c r="T26" s="22">
        <v>7582</v>
      </c>
      <c r="U26" s="24">
        <v>0.6262517002235468</v>
      </c>
      <c r="V26" s="24">
        <v>0.354929313734669</v>
      </c>
      <c r="W26" s="22">
        <v>156888.6886627298</v>
      </c>
      <c r="X26" s="24">
        <v>0.6731999072202525</v>
      </c>
      <c r="Y26" s="24">
        <v>0.3012975256487628</v>
      </c>
      <c r="Z26" s="22">
        <v>231637.6033855683</v>
      </c>
      <c r="AA26" s="22">
        <v>104293.6257403016</v>
      </c>
      <c r="AB26" s="24">
        <v>0.4502447971139709</v>
      </c>
    </row>
    <row r="27" spans="1:28" ht="19" customHeight="1">
      <c r="A27" s="18" t="s">
        <v>38</v>
      </c>
      <c r="B27" s="18" t="s">
        <v>176</v>
      </c>
      <c r="C27" s="18" t="s">
        <v>87</v>
      </c>
      <c r="D27" s="18" t="s">
        <v>174</v>
      </c>
      <c r="E27" s="22">
        <v>1</v>
      </c>
      <c r="F27" s="22">
        <v>1391628.087869048</v>
      </c>
      <c r="G27" s="22">
        <v>1379635.797869048</v>
      </c>
      <c r="H27" s="22">
        <v>11992.28999999998</v>
      </c>
      <c r="I27" s="22">
        <v>0</v>
      </c>
      <c r="J27" s="22">
        <v>11992.28999999998</v>
      </c>
      <c r="K27" s="22">
        <v>0</v>
      </c>
      <c r="L27" s="22">
        <v>11992.28999999998</v>
      </c>
      <c r="M27" s="22">
        <v>11992.28999999998</v>
      </c>
      <c r="N27" s="22">
        <v>11992.28999999998</v>
      </c>
      <c r="O27" s="22">
        <v>11992.28999999998</v>
      </c>
      <c r="P27" s="22">
        <v>74</v>
      </c>
      <c r="Q27" s="22">
        <v>54745.46000000001</v>
      </c>
      <c r="R27" s="22">
        <v>49360.14000000001</v>
      </c>
      <c r="S27" s="22">
        <v>264</v>
      </c>
      <c r="T27" s="22">
        <v>199</v>
      </c>
      <c r="U27" s="24">
        <v>0.901629833779824</v>
      </c>
      <c r="V27" s="24">
        <v>0.7537878787878788</v>
      </c>
      <c r="W27" s="22">
        <v>9124.243333333334</v>
      </c>
      <c r="X27" s="24">
        <v>0.9008720336850898</v>
      </c>
      <c r="Y27" s="24">
        <v>0.7727272727272727</v>
      </c>
      <c r="Z27" s="22">
        <v>18923.63</v>
      </c>
      <c r="AA27" s="22">
        <v>15752.88</v>
      </c>
      <c r="AB27" s="24">
        <v>0.8324449378898234</v>
      </c>
    </row>
    <row r="28" spans="1:28" ht="19" customHeight="1">
      <c r="A28" s="18" t="s">
        <v>38</v>
      </c>
      <c r="B28" s="18" t="s">
        <v>187</v>
      </c>
      <c r="C28" s="18" t="s">
        <v>17</v>
      </c>
      <c r="D28" s="18" t="s">
        <v>188</v>
      </c>
      <c r="E28" s="22">
        <v>7.47595715</v>
      </c>
      <c r="F28" s="22">
        <v>1842553.28</v>
      </c>
      <c r="G28" s="22">
        <v>1660255.47</v>
      </c>
      <c r="H28" s="22">
        <v>182297.8099999998</v>
      </c>
      <c r="I28" s="23" t="s">
        <v>39</v>
      </c>
      <c r="J28" s="22">
        <v>182297.8099999998</v>
      </c>
      <c r="K28" s="23" t="s">
        <v>39</v>
      </c>
      <c r="L28" s="23" t="s">
        <v>39</v>
      </c>
      <c r="M28" s="22">
        <v>24384.54452618148</v>
      </c>
      <c r="N28" s="22">
        <v>24384.54452618148</v>
      </c>
      <c r="O28" s="23" t="s">
        <v>39</v>
      </c>
      <c r="P28" s="22">
        <v>692</v>
      </c>
      <c r="Q28" s="22">
        <v>115158.8569498422</v>
      </c>
      <c r="R28" s="22">
        <v>90774.31242366068</v>
      </c>
      <c r="S28" s="22">
        <v>2182</v>
      </c>
      <c r="T28" s="22">
        <v>1490</v>
      </c>
      <c r="U28" s="24">
        <v>0.7882529822538764</v>
      </c>
      <c r="V28" s="24">
        <v>0.6828597616865261</v>
      </c>
      <c r="W28" s="22">
        <v>19193.1428249737</v>
      </c>
      <c r="X28" s="24">
        <v>1</v>
      </c>
      <c r="Y28" s="24">
        <v>1</v>
      </c>
      <c r="Z28" s="22">
        <v>48468.83184717025</v>
      </c>
      <c r="AA28" s="22">
        <v>24580.04858949734</v>
      </c>
      <c r="AB28" s="24">
        <v>0.5071310294211762</v>
      </c>
    </row>
    <row r="29" spans="1:28" ht="19" customHeight="1">
      <c r="A29" s="18" t="s">
        <v>38</v>
      </c>
      <c r="B29" s="18" t="s">
        <v>189</v>
      </c>
      <c r="C29" s="18" t="s">
        <v>18</v>
      </c>
      <c r="D29" s="18" t="s">
        <v>190</v>
      </c>
      <c r="E29" s="22">
        <v>10.90384939</v>
      </c>
      <c r="F29" s="22">
        <v>1922879.37</v>
      </c>
      <c r="G29" s="22">
        <v>1800631.31</v>
      </c>
      <c r="H29" s="22">
        <v>122248.0599999999</v>
      </c>
      <c r="I29" s="23" t="s">
        <v>39</v>
      </c>
      <c r="J29" s="22">
        <v>122248.0599999999</v>
      </c>
      <c r="K29" s="23" t="s">
        <v>39</v>
      </c>
      <c r="L29" s="23" t="s">
        <v>39</v>
      </c>
      <c r="M29" s="22">
        <v>11211.45896531866</v>
      </c>
      <c r="N29" s="22">
        <v>11211.45896531866</v>
      </c>
      <c r="O29" s="23" t="s">
        <v>39</v>
      </c>
      <c r="P29" s="22">
        <v>461</v>
      </c>
      <c r="Q29" s="22">
        <v>63762.43701950108</v>
      </c>
      <c r="R29" s="22">
        <v>52550.97805418239</v>
      </c>
      <c r="S29" s="22">
        <v>1122</v>
      </c>
      <c r="T29" s="22">
        <v>661</v>
      </c>
      <c r="U29" s="24">
        <v>0.8241682801131052</v>
      </c>
      <c r="V29" s="24">
        <v>0.589126559714795</v>
      </c>
      <c r="W29" s="22">
        <v>10627.07283658351</v>
      </c>
      <c r="X29" s="24">
        <v>0.9410164877948007</v>
      </c>
      <c r="Y29" s="24">
        <v>0.9924812030075187</v>
      </c>
      <c r="Z29" s="22">
        <v>24446.24283278</v>
      </c>
      <c r="AA29" s="22">
        <v>15422.68275956075</v>
      </c>
      <c r="AB29" s="24">
        <v>0.6308815168472619</v>
      </c>
    </row>
    <row r="30" spans="1:28" ht="19" customHeight="1">
      <c r="A30" s="18" t="s">
        <v>38</v>
      </c>
      <c r="B30" s="18" t="s">
        <v>191</v>
      </c>
      <c r="C30" s="18" t="s">
        <v>19</v>
      </c>
      <c r="D30" s="18" t="s">
        <v>192</v>
      </c>
      <c r="E30" s="22">
        <v>11.34339828</v>
      </c>
      <c r="F30" s="22">
        <v>3486087.81</v>
      </c>
      <c r="G30" s="22">
        <v>3329443.749999999</v>
      </c>
      <c r="H30" s="22">
        <v>156644.0600000008</v>
      </c>
      <c r="I30" s="23" t="s">
        <v>39</v>
      </c>
      <c r="J30" s="22">
        <v>156644.0600000008</v>
      </c>
      <c r="K30" s="23" t="s">
        <v>39</v>
      </c>
      <c r="L30" s="23" t="s">
        <v>39</v>
      </c>
      <c r="M30" s="22">
        <v>13809.27091982534</v>
      </c>
      <c r="N30" s="22">
        <v>13809.27091982534</v>
      </c>
      <c r="O30" s="23" t="s">
        <v>39</v>
      </c>
      <c r="P30" s="22">
        <v>487</v>
      </c>
      <c r="Q30" s="22">
        <v>166433.1008573208</v>
      </c>
      <c r="R30" s="22">
        <v>152623.8299374956</v>
      </c>
      <c r="S30" s="22">
        <v>3501</v>
      </c>
      <c r="T30" s="22">
        <v>3014</v>
      </c>
      <c r="U30" s="24">
        <v>0.9170280980845056</v>
      </c>
      <c r="V30" s="24">
        <v>0.8608968866038275</v>
      </c>
      <c r="W30" s="22">
        <v>27738.8501428868</v>
      </c>
      <c r="X30" s="24">
        <v>0.9999999999999999</v>
      </c>
      <c r="Y30" s="24">
        <v>1</v>
      </c>
      <c r="Z30" s="22">
        <v>70433.48124421138</v>
      </c>
      <c r="AA30" s="22">
        <v>56793.18349738842</v>
      </c>
      <c r="AB30" s="24">
        <v>0.806337873609733</v>
      </c>
    </row>
    <row r="31" spans="1:28" ht="19" customHeight="1">
      <c r="A31" s="18" t="s">
        <v>38</v>
      </c>
      <c r="B31" s="18" t="s">
        <v>184</v>
      </c>
      <c r="C31" s="18" t="s">
        <v>15</v>
      </c>
      <c r="D31" s="18" t="s">
        <v>174</v>
      </c>
      <c r="E31" s="22">
        <v>1</v>
      </c>
      <c r="F31" s="23" t="s">
        <v>39</v>
      </c>
      <c r="G31" s="23" t="s">
        <v>39</v>
      </c>
      <c r="H31" s="22">
        <v>48887.51859338581</v>
      </c>
      <c r="I31" s="23" t="s">
        <v>39</v>
      </c>
      <c r="J31" s="22">
        <v>48887.51859338581</v>
      </c>
      <c r="K31" s="22">
        <v>0</v>
      </c>
      <c r="L31" s="22">
        <v>48887.51859338581</v>
      </c>
      <c r="M31" s="22">
        <v>48887.51859338581</v>
      </c>
      <c r="N31" s="22">
        <v>48887.51859338581</v>
      </c>
      <c r="O31" s="22">
        <v>48887.51859338581</v>
      </c>
      <c r="P31" s="22">
        <v>5153</v>
      </c>
      <c r="Q31" s="23" t="s">
        <v>39</v>
      </c>
      <c r="R31" s="23" t="s">
        <v>39</v>
      </c>
      <c r="S31" s="23" t="s">
        <v>39</v>
      </c>
      <c r="T31" s="23" t="s">
        <v>39</v>
      </c>
      <c r="U31" s="23" t="s">
        <v>39</v>
      </c>
      <c r="V31" s="23" t="s">
        <v>39</v>
      </c>
      <c r="W31" s="23" t="s">
        <v>39</v>
      </c>
      <c r="X31" s="23" t="s">
        <v>39</v>
      </c>
      <c r="Y31" s="23" t="s">
        <v>39</v>
      </c>
      <c r="Z31" s="23" t="s">
        <v>39</v>
      </c>
      <c r="AA31" s="23" t="s">
        <v>39</v>
      </c>
      <c r="AB31" s="23" t="s">
        <v>39</v>
      </c>
    </row>
    <row r="32" spans="1:28" ht="19" customHeight="1">
      <c r="A32" s="18" t="s">
        <v>38</v>
      </c>
      <c r="B32" s="18" t="s">
        <v>185</v>
      </c>
      <c r="C32" s="18" t="s">
        <v>16</v>
      </c>
      <c r="D32" s="18" t="s">
        <v>186</v>
      </c>
      <c r="E32" s="22">
        <v>5.855892595</v>
      </c>
      <c r="F32" s="23" t="s">
        <v>39</v>
      </c>
      <c r="G32" s="23" t="s">
        <v>39</v>
      </c>
      <c r="H32" s="22">
        <v>22338552.44000267</v>
      </c>
      <c r="I32" s="23" t="s">
        <v>39</v>
      </c>
      <c r="J32" s="22">
        <v>22338552.44000267</v>
      </c>
      <c r="K32" s="22">
        <v>0</v>
      </c>
      <c r="L32" s="22">
        <v>22338552.44000267</v>
      </c>
      <c r="M32" s="22">
        <v>3814713.483487767</v>
      </c>
      <c r="N32" s="22">
        <v>3814713.483487767</v>
      </c>
      <c r="O32" s="22">
        <v>3814713.483487767</v>
      </c>
      <c r="P32" s="22">
        <v>336552</v>
      </c>
      <c r="Q32" s="22">
        <v>11282.22707780043</v>
      </c>
      <c r="R32" s="23" t="s">
        <v>39</v>
      </c>
      <c r="S32" s="22">
        <v>813</v>
      </c>
      <c r="T32" s="23" t="s">
        <v>39</v>
      </c>
      <c r="U32" s="23" t="s">
        <v>39</v>
      </c>
      <c r="V32" s="23" t="s">
        <v>39</v>
      </c>
      <c r="W32" s="22">
        <v>1880.371179633404</v>
      </c>
      <c r="X32" s="23" t="s">
        <v>39</v>
      </c>
      <c r="Y32" s="23" t="s">
        <v>39</v>
      </c>
      <c r="Z32" s="22">
        <v>4585.884997776329</v>
      </c>
      <c r="AA32" s="23" t="s">
        <v>39</v>
      </c>
      <c r="AB32" s="23" t="s">
        <v>39</v>
      </c>
    </row>
    <row r="33" spans="1:28" ht="19" customHeight="1">
      <c r="A33" s="18" t="s">
        <v>38</v>
      </c>
      <c r="B33" s="18" t="s">
        <v>182</v>
      </c>
      <c r="C33" s="18" t="s">
        <v>14</v>
      </c>
      <c r="D33" s="18" t="s">
        <v>183</v>
      </c>
      <c r="E33" s="22">
        <v>18.58943911</v>
      </c>
      <c r="F33" s="22">
        <v>80670819.12999921</v>
      </c>
      <c r="G33" s="22">
        <v>49491955.92000037</v>
      </c>
      <c r="H33" s="22">
        <v>31178863.20999883</v>
      </c>
      <c r="I33" s="22">
        <v>4489640.28</v>
      </c>
      <c r="J33" s="22">
        <v>35668503.48999883</v>
      </c>
      <c r="K33" s="22">
        <v>0</v>
      </c>
      <c r="L33" s="22">
        <v>35668503.48999883</v>
      </c>
      <c r="M33" s="22">
        <v>1677235.285341475</v>
      </c>
      <c r="N33" s="22">
        <v>1918750.925132073</v>
      </c>
      <c r="O33" s="22">
        <v>1918750.925132073</v>
      </c>
      <c r="P33" s="22">
        <v>71052</v>
      </c>
      <c r="Q33" s="22">
        <v>1184281.962986021</v>
      </c>
      <c r="R33" s="22">
        <v>535919.6106482206</v>
      </c>
      <c r="S33" s="22">
        <v>114974</v>
      </c>
      <c r="T33" s="22">
        <v>76350</v>
      </c>
      <c r="U33" s="24">
        <v>0.4525270395041444</v>
      </c>
      <c r="V33" s="24">
        <v>0.6640631795014525</v>
      </c>
      <c r="W33" s="22">
        <v>197380.3271643368</v>
      </c>
      <c r="X33" s="24">
        <v>0.6493430482328113</v>
      </c>
      <c r="Y33" s="24">
        <v>0.8549981233579382</v>
      </c>
      <c r="Z33" s="22">
        <v>636467.9843210126</v>
      </c>
      <c r="AA33" s="22">
        <v>195928.8157349896</v>
      </c>
      <c r="AB33" s="24">
        <v>0.3078376612203165</v>
      </c>
    </row>
    <row r="34" spans="1:28" ht="19" customHeight="1">
      <c r="A34" s="18" t="s">
        <v>5</v>
      </c>
      <c r="B34" s="18" t="s">
        <v>177</v>
      </c>
      <c r="C34" s="18" t="s">
        <v>9</v>
      </c>
      <c r="D34" s="18" t="s">
        <v>174</v>
      </c>
      <c r="E34" s="22">
        <v>1</v>
      </c>
      <c r="F34" s="22">
        <v>42291668</v>
      </c>
      <c r="G34" s="22">
        <v>42185623</v>
      </c>
      <c r="H34" s="22">
        <v>106046</v>
      </c>
      <c r="I34" s="22">
        <v>0</v>
      </c>
      <c r="J34" s="22">
        <v>147601</v>
      </c>
      <c r="K34" s="22">
        <v>0</v>
      </c>
      <c r="L34" s="22">
        <v>147601</v>
      </c>
      <c r="M34" s="22">
        <v>106046</v>
      </c>
      <c r="N34" s="22">
        <v>147601</v>
      </c>
      <c r="O34" s="22">
        <v>147601</v>
      </c>
      <c r="P34" s="22">
        <v>237</v>
      </c>
      <c r="Q34" s="22">
        <v>521893</v>
      </c>
      <c r="R34" s="22">
        <v>421123</v>
      </c>
      <c r="S34" s="22">
        <v>1156</v>
      </c>
      <c r="T34" s="22">
        <v>926</v>
      </c>
      <c r="U34" s="24">
        <v>0.8069144441485132</v>
      </c>
      <c r="V34" s="24">
        <v>0.801038062283737</v>
      </c>
      <c r="W34" s="22">
        <v>86982.16666666667</v>
      </c>
      <c r="X34" s="24">
        <v>1</v>
      </c>
      <c r="Y34" s="24">
        <v>1</v>
      </c>
      <c r="Z34" s="22">
        <v>244383</v>
      </c>
      <c r="AA34" s="22">
        <v>145562</v>
      </c>
      <c r="AB34" s="24">
        <v>0.595630628971737</v>
      </c>
    </row>
    <row r="35" spans="1:28" ht="19" customHeight="1">
      <c r="A35" s="18" t="s">
        <v>5</v>
      </c>
      <c r="B35" s="18" t="s">
        <v>173</v>
      </c>
      <c r="C35" s="18" t="s">
        <v>7</v>
      </c>
      <c r="D35" s="18" t="s">
        <v>174</v>
      </c>
      <c r="E35" s="22">
        <v>1</v>
      </c>
      <c r="F35" s="22">
        <v>210220610</v>
      </c>
      <c r="G35" s="22">
        <v>208740292</v>
      </c>
      <c r="H35" s="22">
        <v>1480318</v>
      </c>
      <c r="I35" s="22">
        <v>312847</v>
      </c>
      <c r="J35" s="22">
        <v>1793165</v>
      </c>
      <c r="K35" s="22">
        <v>0</v>
      </c>
      <c r="L35" s="22">
        <v>1793165</v>
      </c>
      <c r="M35" s="22">
        <v>1480318</v>
      </c>
      <c r="N35" s="22">
        <v>1793165</v>
      </c>
      <c r="O35" s="22">
        <v>1793165</v>
      </c>
      <c r="P35" s="22">
        <v>7883</v>
      </c>
      <c r="Q35" s="22">
        <v>20501420</v>
      </c>
      <c r="R35" s="22">
        <v>19099468</v>
      </c>
      <c r="S35" s="22">
        <v>42672</v>
      </c>
      <c r="T35" s="22">
        <v>35418</v>
      </c>
      <c r="U35" s="24">
        <v>0.9316168343461088</v>
      </c>
      <c r="V35" s="24">
        <v>0.8300056242969629</v>
      </c>
      <c r="W35" s="22">
        <v>3416903.333333333</v>
      </c>
      <c r="X35" s="24">
        <v>0.9859807948052636</v>
      </c>
      <c r="Y35" s="24">
        <v>0.9539307475107742</v>
      </c>
      <c r="Z35" s="22">
        <v>9755957</v>
      </c>
      <c r="AA35" s="22">
        <v>8673093</v>
      </c>
      <c r="AB35" s="24">
        <v>0.8890048408372444</v>
      </c>
    </row>
    <row r="36" spans="1:28" ht="19" customHeight="1">
      <c r="A36" s="18" t="s">
        <v>5</v>
      </c>
      <c r="B36" s="18" t="s">
        <v>178</v>
      </c>
      <c r="C36" s="18" t="s">
        <v>10</v>
      </c>
      <c r="D36" s="18" t="s">
        <v>174</v>
      </c>
      <c r="E36" s="22">
        <v>1</v>
      </c>
      <c r="F36" s="22">
        <v>139165728</v>
      </c>
      <c r="G36" s="22">
        <v>137965381</v>
      </c>
      <c r="H36" s="22">
        <v>1200347</v>
      </c>
      <c r="I36" s="22">
        <v>2234056</v>
      </c>
      <c r="J36" s="22">
        <v>3434403</v>
      </c>
      <c r="K36" s="22">
        <v>0</v>
      </c>
      <c r="L36" s="22">
        <v>3434403</v>
      </c>
      <c r="M36" s="22">
        <v>1200347</v>
      </c>
      <c r="N36" s="22">
        <v>3434403</v>
      </c>
      <c r="O36" s="22">
        <v>3434403</v>
      </c>
      <c r="P36" s="22">
        <v>110056</v>
      </c>
      <c r="Q36" s="22">
        <v>6554867</v>
      </c>
      <c r="R36" s="22">
        <v>5536857</v>
      </c>
      <c r="S36" s="22">
        <v>26932</v>
      </c>
      <c r="T36" s="22">
        <v>21966</v>
      </c>
      <c r="U36" s="24">
        <v>0.8446940265912336</v>
      </c>
      <c r="V36" s="24">
        <v>0.8156096836477054</v>
      </c>
      <c r="W36" s="22">
        <v>1092477.833333333</v>
      </c>
      <c r="X36" s="24">
        <v>0.97577393004026</v>
      </c>
      <c r="Y36" s="24">
        <v>0.9370393767108866</v>
      </c>
      <c r="Z36" s="22">
        <v>2952558</v>
      </c>
      <c r="AA36" s="22">
        <v>2029240</v>
      </c>
      <c r="AB36" s="24">
        <v>0.6872820110561757</v>
      </c>
    </row>
    <row r="37" spans="1:28" ht="19" customHeight="1">
      <c r="A37" s="18" t="s">
        <v>5</v>
      </c>
      <c r="B37" s="18" t="s">
        <v>179</v>
      </c>
      <c r="C37" s="18" t="s">
        <v>11</v>
      </c>
      <c r="D37" s="18" t="s">
        <v>174</v>
      </c>
      <c r="E37" s="22">
        <v>1</v>
      </c>
      <c r="F37" s="22">
        <v>32461784</v>
      </c>
      <c r="G37" s="22">
        <v>31919651</v>
      </c>
      <c r="H37" s="22">
        <v>542133</v>
      </c>
      <c r="I37" s="22">
        <v>65461</v>
      </c>
      <c r="J37" s="22">
        <v>607594</v>
      </c>
      <c r="K37" s="22">
        <v>0</v>
      </c>
      <c r="L37" s="22">
        <v>607594</v>
      </c>
      <c r="M37" s="22">
        <v>542133</v>
      </c>
      <c r="N37" s="22">
        <v>607594</v>
      </c>
      <c r="O37" s="22">
        <v>607594</v>
      </c>
      <c r="P37" s="22">
        <v>12709</v>
      </c>
      <c r="Q37" s="22">
        <v>14131390</v>
      </c>
      <c r="R37" s="22">
        <v>13965536</v>
      </c>
      <c r="S37" s="22">
        <v>17589</v>
      </c>
      <c r="T37" s="22">
        <v>12746</v>
      </c>
      <c r="U37" s="24">
        <v>0.9882634333919027</v>
      </c>
      <c r="V37" s="24">
        <v>0.7246574563647734</v>
      </c>
      <c r="W37" s="22">
        <v>2355231.666666667</v>
      </c>
      <c r="X37" s="24">
        <v>0.996970298482982</v>
      </c>
      <c r="Y37" s="24">
        <v>0.9398592450415867</v>
      </c>
      <c r="Z37" s="22">
        <v>3885931</v>
      </c>
      <c r="AA37" s="22">
        <v>3775564</v>
      </c>
      <c r="AB37" s="24">
        <v>0.9715983119617925</v>
      </c>
    </row>
    <row r="38" spans="1:28" ht="19" customHeight="1">
      <c r="A38" s="18" t="s">
        <v>5</v>
      </c>
      <c r="B38" s="18" t="s">
        <v>13</v>
      </c>
      <c r="C38" s="18" t="s">
        <v>13</v>
      </c>
      <c r="D38" s="18" t="s">
        <v>181</v>
      </c>
      <c r="E38" s="22">
        <v>0.85443381</v>
      </c>
      <c r="F38" s="22">
        <v>4941553</v>
      </c>
      <c r="G38" s="22">
        <v>4075376</v>
      </c>
      <c r="H38" s="22">
        <v>866177</v>
      </c>
      <c r="I38" s="22">
        <v>2110597</v>
      </c>
      <c r="J38" s="22">
        <v>2976774</v>
      </c>
      <c r="K38" s="22">
        <v>0</v>
      </c>
      <c r="L38" s="22">
        <v>2976774</v>
      </c>
      <c r="M38" s="22">
        <v>1013743.826452748</v>
      </c>
      <c r="N38" s="22">
        <v>3483914.102135074</v>
      </c>
      <c r="O38" s="22">
        <v>3483914.102135074</v>
      </c>
      <c r="P38" s="22">
        <v>53697</v>
      </c>
      <c r="Q38" s="22">
        <v>1267843.087810395</v>
      </c>
      <c r="R38" s="22">
        <v>516283.4087756897</v>
      </c>
      <c r="S38" s="22">
        <v>16386</v>
      </c>
      <c r="T38" s="22">
        <v>7543</v>
      </c>
      <c r="U38" s="24">
        <v>0.4072139634150844</v>
      </c>
      <c r="V38" s="24">
        <v>0.4603319907237886</v>
      </c>
      <c r="W38" s="22">
        <v>211307.1813017324</v>
      </c>
      <c r="X38" s="24">
        <v>0.793132474166957</v>
      </c>
      <c r="Y38" s="24">
        <v>0.6951945080091533</v>
      </c>
      <c r="Z38" s="22">
        <v>882720.2191355232</v>
      </c>
      <c r="AA38" s="22">
        <v>209094.0198164677</v>
      </c>
      <c r="AB38" s="24">
        <v>0.2368746237865043</v>
      </c>
    </row>
    <row r="39" spans="1:28" ht="19" customHeight="1">
      <c r="A39" s="18" t="s">
        <v>5</v>
      </c>
      <c r="B39" s="18" t="s">
        <v>187</v>
      </c>
      <c r="C39" s="18" t="s">
        <v>17</v>
      </c>
      <c r="D39" s="18" t="s">
        <v>188</v>
      </c>
      <c r="E39" s="22">
        <v>7.47595715</v>
      </c>
      <c r="F39" s="22">
        <v>2061505.32</v>
      </c>
      <c r="G39" s="22">
        <v>2045338.61</v>
      </c>
      <c r="H39" s="22">
        <v>16166.70999999926</v>
      </c>
      <c r="I39" s="23" t="s">
        <v>39</v>
      </c>
      <c r="J39" s="22">
        <v>16166.70999999926</v>
      </c>
      <c r="K39" s="23" t="s">
        <v>39</v>
      </c>
      <c r="L39" s="23" t="s">
        <v>39</v>
      </c>
      <c r="M39" s="22">
        <v>2162.493668118371</v>
      </c>
      <c r="N39" s="22">
        <v>2162.493668118371</v>
      </c>
      <c r="O39" s="23" t="s">
        <v>39</v>
      </c>
      <c r="P39" s="22">
        <v>128</v>
      </c>
      <c r="Q39" s="22">
        <v>77710.4173209447</v>
      </c>
      <c r="R39" s="22">
        <v>75547.92365282617</v>
      </c>
      <c r="S39" s="22">
        <v>2710</v>
      </c>
      <c r="T39" s="22">
        <v>2582</v>
      </c>
      <c r="U39" s="24">
        <v>0.9721724095343945</v>
      </c>
      <c r="V39" s="24">
        <v>0.9527675276752767</v>
      </c>
      <c r="W39" s="22">
        <v>12951.73622015745</v>
      </c>
      <c r="X39" s="24">
        <v>0.9999999999999999</v>
      </c>
      <c r="Y39" s="24">
        <v>1</v>
      </c>
      <c r="Z39" s="22">
        <v>28112.50864379289</v>
      </c>
      <c r="AA39" s="22">
        <v>25950.01497567437</v>
      </c>
      <c r="AB39" s="24">
        <v>0.923077171962169</v>
      </c>
    </row>
    <row r="40" spans="1:28" ht="19" customHeight="1">
      <c r="A40" s="18" t="s">
        <v>5</v>
      </c>
      <c r="B40" s="18" t="s">
        <v>189</v>
      </c>
      <c r="C40" s="18" t="s">
        <v>18</v>
      </c>
      <c r="D40" s="18" t="s">
        <v>190</v>
      </c>
      <c r="E40" s="22">
        <v>10.90384939</v>
      </c>
      <c r="F40" s="22">
        <v>2054565.96</v>
      </c>
      <c r="G40" s="22">
        <v>2032481.87</v>
      </c>
      <c r="H40" s="22">
        <v>22084.0899999995</v>
      </c>
      <c r="I40" s="23" t="s">
        <v>39</v>
      </c>
      <c r="J40" s="22">
        <v>22084.0899999995</v>
      </c>
      <c r="K40" s="23" t="s">
        <v>39</v>
      </c>
      <c r="L40" s="23" t="s">
        <v>39</v>
      </c>
      <c r="M40" s="22">
        <v>2025.348040871968</v>
      </c>
      <c r="N40" s="22">
        <v>2025.348040871968</v>
      </c>
      <c r="O40" s="23" t="s">
        <v>39</v>
      </c>
      <c r="P40" s="22">
        <v>116</v>
      </c>
      <c r="Q40" s="22">
        <v>36327.15069994194</v>
      </c>
      <c r="R40" s="22">
        <v>34301.80265906994</v>
      </c>
      <c r="S40" s="22">
        <v>786</v>
      </c>
      <c r="T40" s="22">
        <v>670</v>
      </c>
      <c r="U40" s="24">
        <v>0.9442469887715348</v>
      </c>
      <c r="V40" s="24">
        <v>0.8524173027989822</v>
      </c>
      <c r="W40" s="22">
        <v>6054.525116656991</v>
      </c>
      <c r="X40" s="24">
        <v>0.9342711524878822</v>
      </c>
      <c r="Y40" s="24">
        <v>0.9932432432432432</v>
      </c>
      <c r="Z40" s="22">
        <v>12098.51725584042</v>
      </c>
      <c r="AA40" s="22">
        <v>10444.68296714065</v>
      </c>
      <c r="AB40" s="24">
        <v>0.8633027292744164</v>
      </c>
    </row>
    <row r="41" spans="1:28" ht="19" customHeight="1">
      <c r="A41" s="18" t="s">
        <v>5</v>
      </c>
      <c r="B41" s="18" t="s">
        <v>191</v>
      </c>
      <c r="C41" s="18" t="s">
        <v>19</v>
      </c>
      <c r="D41" s="18" t="s">
        <v>192</v>
      </c>
      <c r="E41" s="22">
        <v>11.34339828</v>
      </c>
      <c r="F41" s="22">
        <v>4130551.21</v>
      </c>
      <c r="G41" s="22">
        <v>3957924.589999999</v>
      </c>
      <c r="H41" s="22">
        <v>172626.620000001</v>
      </c>
      <c r="I41" s="23" t="s">
        <v>39</v>
      </c>
      <c r="J41" s="22">
        <v>172626.620000001</v>
      </c>
      <c r="K41" s="23" t="s">
        <v>39</v>
      </c>
      <c r="L41" s="23" t="s">
        <v>39</v>
      </c>
      <c r="M41" s="22">
        <v>15218.24551504693</v>
      </c>
      <c r="N41" s="22">
        <v>15218.24551504693</v>
      </c>
      <c r="O41" s="23" t="s">
        <v>39</v>
      </c>
      <c r="P41" s="22">
        <v>374</v>
      </c>
      <c r="Q41" s="22">
        <v>127247.4433472859</v>
      </c>
      <c r="R41" s="22">
        <v>112029.197832239</v>
      </c>
      <c r="S41" s="22">
        <v>3433</v>
      </c>
      <c r="T41" s="22">
        <v>3059</v>
      </c>
      <c r="U41" s="24">
        <v>0.8804043121439152</v>
      </c>
      <c r="V41" s="24">
        <v>0.8910573842120594</v>
      </c>
      <c r="W41" s="22">
        <v>21207.90722454765</v>
      </c>
      <c r="X41" s="24">
        <v>1.000000000000001</v>
      </c>
      <c r="Y41" s="24">
        <v>1</v>
      </c>
      <c r="Z41" s="22">
        <v>60516.95559436886</v>
      </c>
      <c r="AA41" s="22">
        <v>45794.20004284642</v>
      </c>
      <c r="AB41" s="24">
        <v>0.7567168505599378</v>
      </c>
    </row>
    <row r="42" spans="1:28" ht="19" customHeight="1">
      <c r="A42" s="18" t="s">
        <v>5</v>
      </c>
      <c r="B42" s="18" t="s">
        <v>182</v>
      </c>
      <c r="C42" s="18" t="s">
        <v>14</v>
      </c>
      <c r="D42" s="18" t="s">
        <v>183</v>
      </c>
      <c r="E42" s="22">
        <v>18.58943911</v>
      </c>
      <c r="F42" s="22">
        <v>88163871.15999918</v>
      </c>
      <c r="G42" s="22">
        <v>54572196.1700004</v>
      </c>
      <c r="H42" s="22">
        <v>33591674.98999877</v>
      </c>
      <c r="I42" s="22">
        <v>4485046.75000003</v>
      </c>
      <c r="J42" s="22">
        <v>38076721.7399988</v>
      </c>
      <c r="K42" s="22">
        <v>0</v>
      </c>
      <c r="L42" s="22">
        <v>38076721.7399988</v>
      </c>
      <c r="M42" s="22">
        <v>1807030.044920961</v>
      </c>
      <c r="N42" s="22">
        <v>2048298.580429778</v>
      </c>
      <c r="O42" s="22">
        <v>2048298.580429778</v>
      </c>
      <c r="P42" s="22">
        <v>72025</v>
      </c>
      <c r="Q42" s="22">
        <v>1236166.888308011</v>
      </c>
      <c r="R42" s="22">
        <v>529259.7308494052</v>
      </c>
      <c r="S42" s="22">
        <v>117674</v>
      </c>
      <c r="T42" s="22">
        <v>77675</v>
      </c>
      <c r="U42" s="24">
        <v>0.4281458562393814</v>
      </c>
      <c r="V42" s="24">
        <v>0.6600863402280878</v>
      </c>
      <c r="W42" s="22">
        <v>206027.8147180019</v>
      </c>
      <c r="X42" s="24">
        <v>0.6926903849986122</v>
      </c>
      <c r="Y42" s="24">
        <v>0.8571001494768311</v>
      </c>
      <c r="Z42" s="22">
        <v>682712.7104213049</v>
      </c>
      <c r="AA42" s="22">
        <v>185944.9884176739</v>
      </c>
      <c r="AB42" s="24">
        <v>0.2723619841542521</v>
      </c>
    </row>
    <row r="43" spans="1:28" ht="19" customHeight="1">
      <c r="A43" s="18" t="s">
        <v>5</v>
      </c>
      <c r="B43" s="18" t="s">
        <v>185</v>
      </c>
      <c r="C43" s="18" t="s">
        <v>16</v>
      </c>
      <c r="D43" s="18" t="s">
        <v>186</v>
      </c>
      <c r="E43" s="22">
        <v>5.855892595</v>
      </c>
      <c r="F43" s="23" t="s">
        <v>39</v>
      </c>
      <c r="G43" s="23" t="s">
        <v>39</v>
      </c>
      <c r="H43" s="22">
        <v>22106987.68000206</v>
      </c>
      <c r="I43" s="23" t="s">
        <v>39</v>
      </c>
      <c r="J43" s="22">
        <v>22106987.68000206</v>
      </c>
      <c r="K43" s="22">
        <v>0</v>
      </c>
      <c r="L43" s="22">
        <v>22106987.68000206</v>
      </c>
      <c r="M43" s="22">
        <v>3775169.595644208</v>
      </c>
      <c r="N43" s="22">
        <v>3775169.595644208</v>
      </c>
      <c r="O43" s="22">
        <v>3775169.595644208</v>
      </c>
      <c r="P43" s="22">
        <v>330516</v>
      </c>
      <c r="Q43" s="22">
        <v>12565.79228635938</v>
      </c>
      <c r="R43" s="23" t="s">
        <v>39</v>
      </c>
      <c r="S43" s="22">
        <v>725</v>
      </c>
      <c r="T43" s="23" t="s">
        <v>39</v>
      </c>
      <c r="U43" s="23" t="s">
        <v>39</v>
      </c>
      <c r="V43" s="23" t="s">
        <v>39</v>
      </c>
      <c r="W43" s="22">
        <v>2094.298714393231</v>
      </c>
      <c r="X43" s="23" t="s">
        <v>39</v>
      </c>
      <c r="Y43" s="23" t="s">
        <v>39</v>
      </c>
      <c r="Z43" s="22">
        <v>4560.109251798872</v>
      </c>
      <c r="AA43" s="23" t="s">
        <v>39</v>
      </c>
      <c r="AB43" s="23" t="s">
        <v>39</v>
      </c>
    </row>
    <row r="44" spans="1:28" ht="19" customHeight="1">
      <c r="A44" s="18" t="s">
        <v>5</v>
      </c>
      <c r="B44" s="18" t="s">
        <v>176</v>
      </c>
      <c r="C44" s="18" t="s">
        <v>87</v>
      </c>
      <c r="D44" s="18" t="s">
        <v>174</v>
      </c>
      <c r="E44" s="22">
        <v>1</v>
      </c>
      <c r="F44" s="22">
        <v>1424685</v>
      </c>
      <c r="G44" s="22">
        <v>1410575</v>
      </c>
      <c r="H44" s="22">
        <v>14110</v>
      </c>
      <c r="I44" s="22">
        <v>0</v>
      </c>
      <c r="J44" s="22">
        <v>14110</v>
      </c>
      <c r="K44" s="22">
        <v>0</v>
      </c>
      <c r="L44" s="22">
        <v>14110</v>
      </c>
      <c r="M44" s="22">
        <v>14110</v>
      </c>
      <c r="N44" s="22">
        <v>14110</v>
      </c>
      <c r="O44" s="22">
        <v>14110</v>
      </c>
      <c r="P44" s="22">
        <v>74</v>
      </c>
      <c r="Q44" s="22">
        <v>47144</v>
      </c>
      <c r="R44" s="22">
        <v>41076</v>
      </c>
      <c r="S44" s="22">
        <v>419</v>
      </c>
      <c r="T44" s="22">
        <v>362</v>
      </c>
      <c r="U44" s="24">
        <v>0.8712879687765145</v>
      </c>
      <c r="V44" s="24">
        <v>0.8639618138424821</v>
      </c>
      <c r="W44" s="22">
        <v>7857.333333333333</v>
      </c>
      <c r="X44" s="24">
        <v>1</v>
      </c>
      <c r="Y44" s="24">
        <v>1</v>
      </c>
      <c r="Z44" s="22">
        <v>22636</v>
      </c>
      <c r="AA44" s="22">
        <v>16568</v>
      </c>
      <c r="AB44" s="24">
        <v>0.7319314366495847</v>
      </c>
    </row>
    <row r="45" spans="1:28" ht="19" customHeight="1">
      <c r="A45" s="18" t="s">
        <v>5</v>
      </c>
      <c r="B45" s="18" t="s">
        <v>175</v>
      </c>
      <c r="C45" s="18" t="s">
        <v>83</v>
      </c>
      <c r="D45" s="18" t="s">
        <v>174</v>
      </c>
      <c r="E45" s="22">
        <v>1</v>
      </c>
      <c r="F45" s="22">
        <v>146103720</v>
      </c>
      <c r="G45" s="22">
        <v>143354468</v>
      </c>
      <c r="H45" s="22">
        <v>2749252</v>
      </c>
      <c r="I45" s="22">
        <v>29674</v>
      </c>
      <c r="J45" s="22">
        <v>2778926</v>
      </c>
      <c r="K45" s="22">
        <v>0</v>
      </c>
      <c r="L45" s="22">
        <v>2778926</v>
      </c>
      <c r="M45" s="22">
        <v>2749252</v>
      </c>
      <c r="N45" s="22">
        <v>2778926</v>
      </c>
      <c r="O45" s="22">
        <v>2778926</v>
      </c>
      <c r="P45" s="22">
        <v>23478</v>
      </c>
      <c r="Q45" s="22">
        <v>5016376</v>
      </c>
      <c r="R45" s="22">
        <v>3599102</v>
      </c>
      <c r="S45" s="22">
        <v>22714</v>
      </c>
      <c r="T45" s="22">
        <v>12624</v>
      </c>
      <c r="U45" s="24">
        <v>0.7174705404858009</v>
      </c>
      <c r="V45" s="24">
        <v>0.5557805758563</v>
      </c>
      <c r="W45" s="22">
        <v>836062.6666666666</v>
      </c>
      <c r="X45" s="24">
        <v>0.8526118103512769</v>
      </c>
      <c r="Y45" s="24">
        <v>0.5740216878830741</v>
      </c>
      <c r="Z45" s="22">
        <v>2761565</v>
      </c>
      <c r="AA45" s="22">
        <v>1723381</v>
      </c>
      <c r="AB45" s="24">
        <v>0.6240595459458677</v>
      </c>
    </row>
    <row r="46" spans="1:28" ht="19" customHeight="1">
      <c r="A46" s="18" t="s">
        <v>5</v>
      </c>
      <c r="B46" s="18" t="s">
        <v>180</v>
      </c>
      <c r="C46" s="18" t="s">
        <v>12</v>
      </c>
      <c r="D46" s="18" t="s">
        <v>174</v>
      </c>
      <c r="E46" s="22">
        <v>1</v>
      </c>
      <c r="F46" s="22">
        <v>12115187</v>
      </c>
      <c r="G46" s="22">
        <v>9970145</v>
      </c>
      <c r="H46" s="22">
        <v>2145041</v>
      </c>
      <c r="I46" s="22">
        <v>738601</v>
      </c>
      <c r="J46" s="22">
        <v>2883642</v>
      </c>
      <c r="K46" s="22">
        <v>0</v>
      </c>
      <c r="L46" s="22">
        <v>2883642</v>
      </c>
      <c r="M46" s="22">
        <v>2145041</v>
      </c>
      <c r="N46" s="22">
        <v>2883642</v>
      </c>
      <c r="O46" s="22">
        <v>2883642</v>
      </c>
      <c r="P46" s="22">
        <v>16614</v>
      </c>
      <c r="Q46" s="22">
        <v>9444535</v>
      </c>
      <c r="R46" s="22">
        <v>7276344</v>
      </c>
      <c r="S46" s="22">
        <v>46681</v>
      </c>
      <c r="T46" s="22">
        <v>32719</v>
      </c>
      <c r="U46" s="24">
        <v>0.7704290364745326</v>
      </c>
      <c r="V46" s="24">
        <v>0.7009061502538506</v>
      </c>
      <c r="W46" s="22">
        <v>1574089.166666667</v>
      </c>
      <c r="X46" s="24">
        <v>1</v>
      </c>
      <c r="Y46" s="24">
        <v>1</v>
      </c>
      <c r="Z46" s="22">
        <v>4485826</v>
      </c>
      <c r="AA46" s="22">
        <v>2397169</v>
      </c>
      <c r="AB46" s="24">
        <v>0.5343874238546034</v>
      </c>
    </row>
    <row r="47" spans="1:28" ht="19" customHeight="1">
      <c r="A47" s="18" t="s">
        <v>5</v>
      </c>
      <c r="B47" s="18" t="s">
        <v>184</v>
      </c>
      <c r="C47" s="18" t="s">
        <v>15</v>
      </c>
      <c r="D47" s="18" t="s">
        <v>174</v>
      </c>
      <c r="E47" s="22">
        <v>1</v>
      </c>
      <c r="F47" s="23" t="s">
        <v>39</v>
      </c>
      <c r="G47" s="23" t="s">
        <v>39</v>
      </c>
      <c r="H47" s="22">
        <v>0</v>
      </c>
      <c r="I47" s="23" t="s">
        <v>39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3" t="s">
        <v>39</v>
      </c>
      <c r="R47" s="23" t="s">
        <v>39</v>
      </c>
      <c r="S47" s="23" t="s">
        <v>39</v>
      </c>
      <c r="T47" s="23" t="s">
        <v>39</v>
      </c>
      <c r="U47" s="23" t="s">
        <v>39</v>
      </c>
      <c r="V47" s="23" t="s">
        <v>39</v>
      </c>
      <c r="W47" s="23" t="s">
        <v>39</v>
      </c>
      <c r="X47" s="23" t="s">
        <v>39</v>
      </c>
      <c r="Y47" s="23" t="s">
        <v>39</v>
      </c>
      <c r="Z47" s="23" t="s">
        <v>39</v>
      </c>
      <c r="AA47" s="23" t="s">
        <v>39</v>
      </c>
      <c r="AB47" s="23" t="s">
        <v>39</v>
      </c>
    </row>
  </sheetData>
  <conditionalFormatting sqref="A6:AB47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161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8" customWidth="1"/>
    <col min="2" max="2" width="12.7109375" style="18" customWidth="1"/>
    <col min="3" max="3" width="22.7109375" style="18" customWidth="1"/>
    <col min="4" max="4" width="12.7109375" style="18" customWidth="1"/>
    <col min="5" max="5" width="20.7109375" style="18" customWidth="1"/>
    <col min="6" max="22" width="21.7109375" style="18" customWidth="1"/>
    <col min="24" max="28" width="18.7109375" style="18" customWidth="1"/>
  </cols>
  <sheetData>
    <row r="2" spans="1:23" ht="19" customHeight="1">
      <c r="A2" s="19" t="s">
        <v>193</v>
      </c>
    </row>
    <row r="3" spans="1:23" ht="19" customHeight="1">
      <c r="A3" s="20" t="s">
        <v>194</v>
      </c>
    </row>
    <row r="5" spans="1:23" ht="42" customHeight="1">
      <c r="A5" s="21" t="s">
        <v>144</v>
      </c>
      <c r="B5" s="21" t="s">
        <v>145</v>
      </c>
      <c r="C5" s="21" t="s">
        <v>146</v>
      </c>
      <c r="D5" s="21" t="s">
        <v>147</v>
      </c>
      <c r="E5" s="21" t="s">
        <v>195</v>
      </c>
      <c r="F5" s="21" t="s">
        <v>196</v>
      </c>
      <c r="G5" s="21" t="s">
        <v>197</v>
      </c>
      <c r="H5" s="21" t="s">
        <v>198</v>
      </c>
      <c r="I5" s="21" t="s">
        <v>199</v>
      </c>
      <c r="J5" s="21" t="s">
        <v>200</v>
      </c>
      <c r="K5" s="21" t="s">
        <v>201</v>
      </c>
      <c r="L5" s="21" t="s">
        <v>202</v>
      </c>
      <c r="M5" s="21" t="s">
        <v>203</v>
      </c>
      <c r="N5" s="21" t="s">
        <v>204</v>
      </c>
      <c r="O5" s="21" t="s">
        <v>205</v>
      </c>
      <c r="P5" s="21" t="s">
        <v>206</v>
      </c>
      <c r="Q5" s="21" t="s">
        <v>148</v>
      </c>
      <c r="R5" s="21" t="s">
        <v>207</v>
      </c>
      <c r="S5" s="21" t="s">
        <v>208</v>
      </c>
      <c r="T5" s="21" t="s">
        <v>209</v>
      </c>
      <c r="U5" s="21" t="s">
        <v>210</v>
      </c>
      <c r="V5" s="21" t="s">
        <v>211</v>
      </c>
    </row>
    <row r="6" spans="1:23" ht="19" customHeight="1">
      <c r="A6" s="18" t="s">
        <v>38</v>
      </c>
      <c r="B6" s="18" t="s">
        <v>177</v>
      </c>
      <c r="C6" s="18" t="s">
        <v>9</v>
      </c>
      <c r="D6" s="18" t="s">
        <v>174</v>
      </c>
      <c r="E6" s="25">
        <v>46023</v>
      </c>
      <c r="F6" s="22">
        <v>114220</v>
      </c>
      <c r="G6" s="26">
        <v>183</v>
      </c>
      <c r="H6" s="22">
        <v>114220</v>
      </c>
      <c r="I6" s="22">
        <v>0</v>
      </c>
      <c r="J6" s="23" t="s">
        <v>39</v>
      </c>
      <c r="K6" s="22">
        <v>0</v>
      </c>
      <c r="L6" s="23" t="s">
        <v>39</v>
      </c>
      <c r="M6" s="22">
        <f>V6</f>
        <v>114220.0</v>
      </c>
      <c r="N6" s="26">
        <v>183</v>
      </c>
      <c r="O6" s="22">
        <f>IF(COUNT(F6,M6)=2,F6-M6,"n.d.")</f>
        <v>0.0</v>
      </c>
      <c r="P6" s="26">
        <f>IF(COUNT(G6,N6)=2,G6-N6,"n.d.")</f>
        <v>0.0</v>
      </c>
      <c r="Q6" s="27">
        <f>IF(COUNTIFS('Taux'!$A$6:$A$20,A6,'Taux'!$B$6:$B$20,D6)=1,SUMIFS('Taux'!$D$6:$D$20,'Taux'!$A$6:$A$20,A6,'Taux'!$B$6:$B$20,D6),"n.d.")</f>
        <v>1</v>
      </c>
      <c r="R6" s="22">
        <f>IF(COUNT(F6,Q6)=2,F6/Q6,"n.d.")</f>
        <v>114220.0</v>
      </c>
      <c r="S6" s="22">
        <f>IF(COUNT(M6,Q6)=2,M6/Q6,"n.d.")</f>
        <v>114220.0</v>
      </c>
      <c r="T6" s="24">
        <f>IF(OR(COUNT(F6,M6)&lt;&gt;2,F6=0),"n.d.",M6/F6)</f>
        <v>1.0</v>
      </c>
      <c r="U6" s="24">
        <f>IF(OR(COUNT(G6,N6)&lt;&gt;2,G6=0),"n.d.",N6/G6)</f>
        <v>1.0</v>
      </c>
      <c r="V6" s="22">
        <v>114220</v>
      </c>
    </row>
    <row r="7" spans="1:23" ht="19" customHeight="1">
      <c r="A7" s="18" t="s">
        <v>38</v>
      </c>
      <c r="B7" s="18" t="s">
        <v>177</v>
      </c>
      <c r="C7" s="18" t="s">
        <v>9</v>
      </c>
      <c r="D7" s="18" t="s">
        <v>174</v>
      </c>
      <c r="E7" s="25">
        <v>46054</v>
      </c>
      <c r="F7" s="22">
        <v>112478</v>
      </c>
      <c r="G7" s="26">
        <v>239</v>
      </c>
      <c r="H7" s="22">
        <v>112468</v>
      </c>
      <c r="I7" s="22">
        <v>0</v>
      </c>
      <c r="J7" s="23" t="s">
        <v>39</v>
      </c>
      <c r="K7" s="22">
        <v>0</v>
      </c>
      <c r="L7" s="23" t="s">
        <v>39</v>
      </c>
      <c r="M7" s="22">
        <f>V7</f>
        <v>112468.0</v>
      </c>
      <c r="N7" s="26">
        <v>237</v>
      </c>
      <c r="O7" s="22">
        <f>IF(COUNT(F7,M7)=2,F7-M7,"n.d.")</f>
        <v>10.0</v>
      </c>
      <c r="P7" s="26">
        <f>IF(COUNT(G7,N7)=2,G7-N7,"n.d.")</f>
        <v>2.0</v>
      </c>
      <c r="Q7" s="27">
        <f>IF(COUNTIFS('Taux'!$A$6:$A$20,A7,'Taux'!$B$6:$B$20,D7)=1,SUMIFS('Taux'!$D$6:$D$20,'Taux'!$A$6:$A$20,A7,'Taux'!$B$6:$B$20,D7),"n.d.")</f>
        <v>1</v>
      </c>
      <c r="R7" s="22">
        <f>IF(COUNT(F7,Q7)=2,F7/Q7,"n.d.")</f>
        <v>112478.0</v>
      </c>
      <c r="S7" s="22">
        <f>IF(COUNT(M7,Q7)=2,M7/Q7,"n.d.")</f>
        <v>112468.0</v>
      </c>
      <c r="T7" s="24">
        <f>IF(OR(COUNT(F7,M7)&lt;&gt;2,F7=0),"n.d.",M7/F7)</f>
        <v>0.9999110937249951</v>
      </c>
      <c r="U7" s="24">
        <f>IF(OR(COUNT(G7,N7)&lt;&gt;2,G7=0),"n.d.",N7/G7)</f>
        <v>0.9916317991631799</v>
      </c>
      <c r="V7" s="22">
        <v>112468</v>
      </c>
    </row>
    <row r="8" spans="1:23" ht="19" customHeight="1">
      <c r="A8" s="18" t="s">
        <v>38</v>
      </c>
      <c r="B8" s="18" t="s">
        <v>177</v>
      </c>
      <c r="C8" s="18" t="s">
        <v>9</v>
      </c>
      <c r="D8" s="18" t="s">
        <v>174</v>
      </c>
      <c r="E8" s="25">
        <v>46082</v>
      </c>
      <c r="F8" s="22">
        <v>145236</v>
      </c>
      <c r="G8" s="26">
        <v>298</v>
      </c>
      <c r="H8" s="22">
        <v>141359</v>
      </c>
      <c r="I8" s="22">
        <v>0</v>
      </c>
      <c r="J8" s="23" t="s">
        <v>39</v>
      </c>
      <c r="K8" s="22">
        <v>0</v>
      </c>
      <c r="L8" s="23" t="s">
        <v>39</v>
      </c>
      <c r="M8" s="22">
        <f>V8</f>
        <v>141359.0</v>
      </c>
      <c r="N8" s="26">
        <v>296</v>
      </c>
      <c r="O8" s="22">
        <f>IF(COUNT(F8,M8)=2,F8-M8,"n.d.")</f>
        <v>3877.0</v>
      </c>
      <c r="P8" s="26">
        <f>IF(COUNT(G8,N8)=2,G8-N8,"n.d.")</f>
        <v>2.0</v>
      </c>
      <c r="Q8" s="27">
        <f>IF(COUNTIFS('Taux'!$A$6:$A$20,A8,'Taux'!$B$6:$B$20,D8)=1,SUMIFS('Taux'!$D$6:$D$20,'Taux'!$A$6:$A$20,A8,'Taux'!$B$6:$B$20,D8),"n.d.")</f>
        <v>1</v>
      </c>
      <c r="R8" s="22">
        <f>IF(COUNT(F8,Q8)=2,F8/Q8,"n.d.")</f>
        <v>145236.0</v>
      </c>
      <c r="S8" s="22">
        <f>IF(COUNT(M8,Q8)=2,M8/Q8,"n.d.")</f>
        <v>141359.0</v>
      </c>
      <c r="T8" s="24">
        <f>IF(OR(COUNT(F8,M8)&lt;&gt;2,F8=0),"n.d.",M8/F8)</f>
        <v>0.9733055165385992</v>
      </c>
      <c r="U8" s="24">
        <f>IF(OR(COUNT(G8,N8)&lt;&gt;2,G8=0),"n.d.",N8/G8)</f>
        <v>0.9932885906040269</v>
      </c>
      <c r="V8" s="22">
        <v>141359</v>
      </c>
    </row>
    <row r="9" spans="1:23" ht="19" customHeight="1">
      <c r="A9" s="18" t="s">
        <v>38</v>
      </c>
      <c r="B9" s="18" t="s">
        <v>177</v>
      </c>
      <c r="C9" s="18" t="s">
        <v>9</v>
      </c>
      <c r="D9" s="18" t="s">
        <v>174</v>
      </c>
      <c r="E9" s="25">
        <v>46113</v>
      </c>
      <c r="F9" s="22">
        <v>105005</v>
      </c>
      <c r="G9" s="26">
        <v>286</v>
      </c>
      <c r="H9" s="22">
        <v>105005</v>
      </c>
      <c r="I9" s="22">
        <v>0</v>
      </c>
      <c r="J9" s="23" t="s">
        <v>39</v>
      </c>
      <c r="K9" s="22">
        <v>0</v>
      </c>
      <c r="L9" s="23" t="s">
        <v>39</v>
      </c>
      <c r="M9" s="22">
        <f>V9</f>
        <v>105005.0</v>
      </c>
      <c r="N9" s="26">
        <v>286</v>
      </c>
      <c r="O9" s="22">
        <f>IF(COUNT(F9,M9)=2,F9-M9,"n.d.")</f>
        <v>0.0</v>
      </c>
      <c r="P9" s="26">
        <f>IF(COUNT(G9,N9)=2,G9-N9,"n.d.")</f>
        <v>0.0</v>
      </c>
      <c r="Q9" s="27">
        <f>IF(COUNTIFS('Taux'!$A$6:$A$20,A9,'Taux'!$B$6:$B$20,D9)=1,SUMIFS('Taux'!$D$6:$D$20,'Taux'!$A$6:$A$20,A9,'Taux'!$B$6:$B$20,D9),"n.d.")</f>
        <v>1</v>
      </c>
      <c r="R9" s="22">
        <f>IF(COUNT(F9,Q9)=2,F9/Q9,"n.d.")</f>
        <v>105005.0</v>
      </c>
      <c r="S9" s="22">
        <f>IF(COUNT(M9,Q9)=2,M9/Q9,"n.d.")</f>
        <v>105005.0</v>
      </c>
      <c r="T9" s="24">
        <f>IF(OR(COUNT(F9,M9)&lt;&gt;2,F9=0),"n.d.",M9/F9)</f>
        <v>1.0</v>
      </c>
      <c r="U9" s="24">
        <f>IF(OR(COUNT(G9,N9)&lt;&gt;2,G9=0),"n.d.",N9/G9)</f>
        <v>1.0</v>
      </c>
      <c r="V9" s="22">
        <v>105005</v>
      </c>
    </row>
    <row r="10" spans="1:23" ht="19" customHeight="1">
      <c r="A10" s="18" t="s">
        <v>38</v>
      </c>
      <c r="B10" s="18" t="s">
        <v>177</v>
      </c>
      <c r="C10" s="18" t="s">
        <v>9</v>
      </c>
      <c r="D10" s="18" t="s">
        <v>174</v>
      </c>
      <c r="E10" s="25">
        <v>46143</v>
      </c>
      <c r="F10" s="22">
        <v>68164</v>
      </c>
      <c r="G10" s="26">
        <v>174</v>
      </c>
      <c r="H10" s="22">
        <v>64232</v>
      </c>
      <c r="I10" s="22">
        <v>0</v>
      </c>
      <c r="J10" s="23" t="s">
        <v>39</v>
      </c>
      <c r="K10" s="22">
        <v>0</v>
      </c>
      <c r="L10" s="23" t="s">
        <v>39</v>
      </c>
      <c r="M10" s="22">
        <f>V10</f>
        <v>64232.0</v>
      </c>
      <c r="N10" s="26">
        <v>154</v>
      </c>
      <c r="O10" s="22">
        <f>IF(COUNT(F10,M10)=2,F10-M10,"n.d.")</f>
        <v>3932.0</v>
      </c>
      <c r="P10" s="26">
        <f>IF(COUNT(G10,N10)=2,G10-N10,"n.d.")</f>
        <v>20.0</v>
      </c>
      <c r="Q10" s="27">
        <f>IF(COUNTIFS('Taux'!$A$6:$A$20,A10,'Taux'!$B$6:$B$20,D10)=1,SUMIFS('Taux'!$D$6:$D$20,'Taux'!$A$6:$A$20,A10,'Taux'!$B$6:$B$20,D10),"n.d.")</f>
        <v>1</v>
      </c>
      <c r="R10" s="22">
        <f>IF(COUNT(F10,Q10)=2,F10/Q10,"n.d.")</f>
        <v>68164.0</v>
      </c>
      <c r="S10" s="22">
        <f>IF(COUNT(M10,Q10)=2,M10/Q10,"n.d.")</f>
        <v>64232.0</v>
      </c>
      <c r="T10" s="24">
        <f>IF(OR(COUNT(F10,M10)&lt;&gt;2,F10=0),"n.d.",M10/F10)</f>
        <v>0.9423155918079925</v>
      </c>
      <c r="U10" s="24">
        <f>IF(OR(COUNT(G10,N10)&lt;&gt;2,G10=0),"n.d.",N10/G10)</f>
        <v>0.8850574712643678</v>
      </c>
      <c r="V10" s="22">
        <v>64232</v>
      </c>
    </row>
    <row r="11" spans="1:23" ht="19" customHeight="1">
      <c r="A11" s="18" t="s">
        <v>38</v>
      </c>
      <c r="B11" s="18" t="s">
        <v>177</v>
      </c>
      <c r="C11" s="18" t="s">
        <v>9</v>
      </c>
      <c r="D11" s="18" t="s">
        <v>174</v>
      </c>
      <c r="E11" s="25">
        <v>46174</v>
      </c>
      <c r="F11" s="22">
        <v>104341</v>
      </c>
      <c r="G11" s="26">
        <v>211</v>
      </c>
      <c r="H11" s="22">
        <v>0</v>
      </c>
      <c r="I11" s="22">
        <v>0</v>
      </c>
      <c r="J11" s="23" t="s">
        <v>39</v>
      </c>
      <c r="K11" s="22">
        <v>0</v>
      </c>
      <c r="L11" s="23" t="s">
        <v>39</v>
      </c>
      <c r="M11" s="22">
        <f>V11</f>
        <v>0.0</v>
      </c>
      <c r="N11" s="26">
        <v>0</v>
      </c>
      <c r="O11" s="22">
        <f>IF(COUNT(F11,M11)=2,F11-M11,"n.d.")</f>
        <v>104341.0</v>
      </c>
      <c r="P11" s="26">
        <f>IF(COUNT(G11,N11)=2,G11-N11,"n.d.")</f>
        <v>211.0</v>
      </c>
      <c r="Q11" s="27">
        <f>IF(COUNTIFS('Taux'!$A$6:$A$20,A11,'Taux'!$B$6:$B$20,D11)=1,SUMIFS('Taux'!$D$6:$D$20,'Taux'!$A$6:$A$20,A11,'Taux'!$B$6:$B$20,D11),"n.d.")</f>
        <v>1</v>
      </c>
      <c r="R11" s="22">
        <f>IF(COUNT(F11,Q11)=2,F11/Q11,"n.d.")</f>
        <v>104341.0</v>
      </c>
      <c r="S11" s="22">
        <f>IF(COUNT(M11,Q11)=2,M11/Q11,"n.d.")</f>
        <v>0.0</v>
      </c>
      <c r="T11" s="24">
        <f>IF(OR(COUNT(F11,M11)&lt;&gt;2,F11=0),"n.d.",M11/F11)</f>
        <v>0.0</v>
      </c>
      <c r="U11" s="24">
        <f>IF(OR(COUNT(G11,N11)&lt;&gt;2,G11=0),"n.d.",N11/G11)</f>
        <v>0.0</v>
      </c>
      <c r="V11" s="22">
        <v>0</v>
      </c>
    </row>
    <row r="12" spans="1:23" ht="19" customHeight="1">
      <c r="A12" s="18" t="s">
        <v>38</v>
      </c>
      <c r="B12" s="18" t="s">
        <v>173</v>
      </c>
      <c r="C12" s="18" t="s">
        <v>7</v>
      </c>
      <c r="D12" s="18" t="s">
        <v>174</v>
      </c>
      <c r="E12" s="25">
        <v>46023</v>
      </c>
      <c r="F12" s="22">
        <v>2802916</v>
      </c>
      <c r="G12" s="26">
        <v>6324</v>
      </c>
      <c r="H12" s="22">
        <v>981728</v>
      </c>
      <c r="I12" s="22">
        <v>6916</v>
      </c>
      <c r="J12" s="22">
        <v>1795113</v>
      </c>
      <c r="K12" s="23" t="s">
        <v>39</v>
      </c>
      <c r="L12" s="23" t="s">
        <v>39</v>
      </c>
      <c r="M12" s="22">
        <f>V12</f>
        <v>2783756.0</v>
      </c>
      <c r="N12" s="26">
        <v>6257</v>
      </c>
      <c r="O12" s="22">
        <f>IF(COUNT(F12,M12)=2,F12-M12,"n.d.")</f>
        <v>19160.0</v>
      </c>
      <c r="P12" s="26">
        <f>IF(COUNT(G12,N12)=2,G12-N12,"n.d.")</f>
        <v>67.0</v>
      </c>
      <c r="Q12" s="27">
        <f>IF(COUNTIFS('Taux'!$A$6:$A$20,A12,'Taux'!$B$6:$B$20,D12)=1,SUMIFS('Taux'!$D$6:$D$20,'Taux'!$A$6:$A$20,A12,'Taux'!$B$6:$B$20,D12),"n.d.")</f>
        <v>1</v>
      </c>
      <c r="R12" s="22">
        <f>IF(COUNT(F12,Q12)=2,F12/Q12,"n.d.")</f>
        <v>2802916.0</v>
      </c>
      <c r="S12" s="22">
        <f>IF(COUNT(M12,Q12)=2,M12/Q12,"n.d.")</f>
        <v>2783756.0</v>
      </c>
      <c r="T12" s="24">
        <f>IF(OR(COUNT(F12,M12)&lt;&gt;2,F12=0),"n.d.",M12/F12)</f>
        <v>0.9931642617902213</v>
      </c>
      <c r="U12" s="24">
        <f>IF(OR(COUNT(G12,N12)&lt;&gt;2,G12=0),"n.d.",N12/G12)</f>
        <v>0.9894054395951929</v>
      </c>
      <c r="V12" s="22">
        <v>2783756</v>
      </c>
    </row>
    <row r="13" spans="1:23" ht="19" customHeight="1">
      <c r="A13" s="18" t="s">
        <v>38</v>
      </c>
      <c r="B13" s="18" t="s">
        <v>173</v>
      </c>
      <c r="C13" s="18" t="s">
        <v>7</v>
      </c>
      <c r="D13" s="18" t="s">
        <v>174</v>
      </c>
      <c r="E13" s="25">
        <v>46054</v>
      </c>
      <c r="F13" s="22">
        <v>3537190</v>
      </c>
      <c r="G13" s="26">
        <v>8184</v>
      </c>
      <c r="H13" s="22">
        <v>1445209</v>
      </c>
      <c r="I13" s="22">
        <v>0</v>
      </c>
      <c r="J13" s="22">
        <v>2037652</v>
      </c>
      <c r="K13" s="23" t="s">
        <v>39</v>
      </c>
      <c r="L13" s="23" t="s">
        <v>39</v>
      </c>
      <c r="M13" s="22">
        <f>V13</f>
        <v>3482861.0</v>
      </c>
      <c r="N13" s="26">
        <v>7775</v>
      </c>
      <c r="O13" s="22">
        <f>IF(COUNT(F13,M13)=2,F13-M13,"n.d.")</f>
        <v>54329.0</v>
      </c>
      <c r="P13" s="26">
        <f>IF(COUNT(G13,N13)=2,G13-N13,"n.d.")</f>
        <v>409.0</v>
      </c>
      <c r="Q13" s="27">
        <f>IF(COUNTIFS('Taux'!$A$6:$A$20,A13,'Taux'!$B$6:$B$20,D13)=1,SUMIFS('Taux'!$D$6:$D$20,'Taux'!$A$6:$A$20,A13,'Taux'!$B$6:$B$20,D13),"n.d.")</f>
        <v>1</v>
      </c>
      <c r="R13" s="22">
        <f>IF(COUNT(F13,Q13)=2,F13/Q13,"n.d.")</f>
        <v>3537190.0</v>
      </c>
      <c r="S13" s="22">
        <f>IF(COUNT(M13,Q13)=2,M13/Q13,"n.d.")</f>
        <v>3482861.0</v>
      </c>
      <c r="T13" s="24">
        <f>IF(OR(COUNT(F13,M13)&lt;&gt;2,F13=0),"n.d.",M13/F13)</f>
        <v>0.9846406328187064</v>
      </c>
      <c r="U13" s="24">
        <f>IF(OR(COUNT(G13,N13)&lt;&gt;2,G13=0),"n.d.",N13/G13)</f>
        <v>0.9500244379276638</v>
      </c>
      <c r="V13" s="22">
        <v>3482861</v>
      </c>
    </row>
    <row r="14" spans="1:23" ht="19" customHeight="1">
      <c r="A14" s="18" t="s">
        <v>38</v>
      </c>
      <c r="B14" s="18" t="s">
        <v>173</v>
      </c>
      <c r="C14" s="18" t="s">
        <v>7</v>
      </c>
      <c r="D14" s="18" t="s">
        <v>174</v>
      </c>
      <c r="E14" s="25">
        <v>46082</v>
      </c>
      <c r="F14" s="22">
        <v>3807379</v>
      </c>
      <c r="G14" s="26">
        <v>6855</v>
      </c>
      <c r="H14" s="22">
        <v>1307333</v>
      </c>
      <c r="I14" s="22">
        <v>168</v>
      </c>
      <c r="J14" s="22">
        <v>2434302</v>
      </c>
      <c r="K14" s="23" t="s">
        <v>39</v>
      </c>
      <c r="L14" s="23" t="s">
        <v>39</v>
      </c>
      <c r="M14" s="22">
        <f>V14</f>
        <v>3741802.0</v>
      </c>
      <c r="N14" s="26">
        <v>6394</v>
      </c>
      <c r="O14" s="22">
        <f>IF(COUNT(F14,M14)=2,F14-M14,"n.d.")</f>
        <v>65577.0</v>
      </c>
      <c r="P14" s="26">
        <f>IF(COUNT(G14,N14)=2,G14-N14,"n.d.")</f>
        <v>461.0</v>
      </c>
      <c r="Q14" s="27">
        <f>IF(COUNTIFS('Taux'!$A$6:$A$20,A14,'Taux'!$B$6:$B$20,D14)=1,SUMIFS('Taux'!$D$6:$D$20,'Taux'!$A$6:$A$20,A14,'Taux'!$B$6:$B$20,D14),"n.d.")</f>
        <v>1</v>
      </c>
      <c r="R14" s="22">
        <f>IF(COUNT(F14,Q14)=2,F14/Q14,"n.d.")</f>
        <v>3807379.0</v>
      </c>
      <c r="S14" s="22">
        <f>IF(COUNT(M14,Q14)=2,M14/Q14,"n.d.")</f>
        <v>3741802.0</v>
      </c>
      <c r="T14" s="24">
        <f>IF(OR(COUNT(F14,M14)&lt;&gt;2,F14=0),"n.d.",M14/F14)</f>
        <v>0.9827763403643294</v>
      </c>
      <c r="U14" s="24">
        <f>IF(OR(COUNT(G14,N14)&lt;&gt;2,G14=0),"n.d.",N14/G14)</f>
        <v>0.9327498176513493</v>
      </c>
      <c r="V14" s="22">
        <v>3741802</v>
      </c>
    </row>
    <row r="15" spans="1:23" ht="19" customHeight="1">
      <c r="A15" s="18" t="s">
        <v>38</v>
      </c>
      <c r="B15" s="18" t="s">
        <v>173</v>
      </c>
      <c r="C15" s="18" t="s">
        <v>7</v>
      </c>
      <c r="D15" s="18" t="s">
        <v>174</v>
      </c>
      <c r="E15" s="25">
        <v>46113</v>
      </c>
      <c r="F15" s="22">
        <v>3480227</v>
      </c>
      <c r="G15" s="26">
        <v>6841</v>
      </c>
      <c r="H15" s="22">
        <v>1127675</v>
      </c>
      <c r="I15" s="22">
        <v>818</v>
      </c>
      <c r="J15" s="22">
        <v>2246140</v>
      </c>
      <c r="K15" s="23" t="s">
        <v>39</v>
      </c>
      <c r="L15" s="23" t="s">
        <v>39</v>
      </c>
      <c r="M15" s="22">
        <f>V15</f>
        <v>3374633.0</v>
      </c>
      <c r="N15" s="26">
        <v>6209</v>
      </c>
      <c r="O15" s="22">
        <f>IF(COUNT(F15,M15)=2,F15-M15,"n.d.")</f>
        <v>105594.0</v>
      </c>
      <c r="P15" s="26">
        <f>IF(COUNT(G15,N15)=2,G15-N15,"n.d.")</f>
        <v>632.0</v>
      </c>
      <c r="Q15" s="27">
        <f>IF(COUNTIFS('Taux'!$A$6:$A$20,A15,'Taux'!$B$6:$B$20,D15)=1,SUMIFS('Taux'!$D$6:$D$20,'Taux'!$A$6:$A$20,A15,'Taux'!$B$6:$B$20,D15),"n.d.")</f>
        <v>1</v>
      </c>
      <c r="R15" s="22">
        <f>IF(COUNT(F15,Q15)=2,F15/Q15,"n.d.")</f>
        <v>3480227.0</v>
      </c>
      <c r="S15" s="22">
        <f>IF(COUNT(M15,Q15)=2,M15/Q15,"n.d.")</f>
        <v>3374633.0</v>
      </c>
      <c r="T15" s="24">
        <f>IF(OR(COUNT(F15,M15)&lt;&gt;2,F15=0),"n.d.",M15/F15)</f>
        <v>0.9696588756997747</v>
      </c>
      <c r="U15" s="24">
        <f>IF(OR(COUNT(G15,N15)&lt;&gt;2,G15=0),"n.d.",N15/G15)</f>
        <v>0.9076158456366028</v>
      </c>
      <c r="V15" s="22">
        <v>3374633</v>
      </c>
    </row>
    <row r="16" spans="1:23" ht="19" customHeight="1">
      <c r="A16" s="18" t="s">
        <v>38</v>
      </c>
      <c r="B16" s="18" t="s">
        <v>173</v>
      </c>
      <c r="C16" s="18" t="s">
        <v>7</v>
      </c>
      <c r="D16" s="18" t="s">
        <v>174</v>
      </c>
      <c r="E16" s="25">
        <v>46143</v>
      </c>
      <c r="F16" s="22">
        <v>3189964</v>
      </c>
      <c r="G16" s="26">
        <v>7005</v>
      </c>
      <c r="H16" s="22">
        <v>1174481</v>
      </c>
      <c r="I16" s="22">
        <v>0</v>
      </c>
      <c r="J16" s="22">
        <v>1849946</v>
      </c>
      <c r="K16" s="23" t="s">
        <v>39</v>
      </c>
      <c r="L16" s="23" t="s">
        <v>39</v>
      </c>
      <c r="M16" s="22">
        <f>V16</f>
        <v>3024427.0</v>
      </c>
      <c r="N16" s="26">
        <v>5973</v>
      </c>
      <c r="O16" s="22">
        <f>IF(COUNT(F16,M16)=2,F16-M16,"n.d.")</f>
        <v>165537.0</v>
      </c>
      <c r="P16" s="26">
        <f>IF(COUNT(G16,N16)=2,G16-N16,"n.d.")</f>
        <v>1032.0</v>
      </c>
      <c r="Q16" s="27">
        <f>IF(COUNTIFS('Taux'!$A$6:$A$20,A16,'Taux'!$B$6:$B$20,D16)=1,SUMIFS('Taux'!$D$6:$D$20,'Taux'!$A$6:$A$20,A16,'Taux'!$B$6:$B$20,D16),"n.d.")</f>
        <v>1</v>
      </c>
      <c r="R16" s="22">
        <f>IF(COUNT(F16,Q16)=2,F16/Q16,"n.d.")</f>
        <v>3189964.0</v>
      </c>
      <c r="S16" s="22">
        <f>IF(COUNT(M16,Q16)=2,M16/Q16,"n.d.")</f>
        <v>3024427.0</v>
      </c>
      <c r="T16" s="24">
        <f>IF(OR(COUNT(F16,M16)&lt;&gt;2,F16=0),"n.d.",M16/F16)</f>
        <v>0.9481069378839385</v>
      </c>
      <c r="U16" s="24">
        <f>IF(OR(COUNT(G16,N16)&lt;&gt;2,G16=0),"n.d.",N16/G16)</f>
        <v>0.8526766595289079</v>
      </c>
      <c r="V16" s="22">
        <v>3024427</v>
      </c>
    </row>
    <row r="17" spans="1:23" ht="19" customHeight="1">
      <c r="A17" s="18" t="s">
        <v>38</v>
      </c>
      <c r="B17" s="18" t="s">
        <v>173</v>
      </c>
      <c r="C17" s="18" t="s">
        <v>7</v>
      </c>
      <c r="D17" s="18" t="s">
        <v>174</v>
      </c>
      <c r="E17" s="25">
        <v>46174</v>
      </c>
      <c r="F17" s="22">
        <v>3807084</v>
      </c>
      <c r="G17" s="26">
        <v>8577</v>
      </c>
      <c r="H17" s="22">
        <v>1054596</v>
      </c>
      <c r="I17" s="22">
        <v>0</v>
      </c>
      <c r="J17" s="22">
        <v>1811911</v>
      </c>
      <c r="K17" s="23" t="s">
        <v>39</v>
      </c>
      <c r="L17" s="23" t="s">
        <v>39</v>
      </c>
      <c r="M17" s="22">
        <f>V17</f>
        <v>2866508.0</v>
      </c>
      <c r="N17" s="26">
        <v>5609</v>
      </c>
      <c r="O17" s="22">
        <f>IF(COUNT(F17,M17)=2,F17-M17,"n.d.")</f>
        <v>940576.0</v>
      </c>
      <c r="P17" s="26">
        <f>IF(COUNT(G17,N17)=2,G17-N17,"n.d.")</f>
        <v>2968.0</v>
      </c>
      <c r="Q17" s="27">
        <f>IF(COUNTIFS('Taux'!$A$6:$A$20,A17,'Taux'!$B$6:$B$20,D17)=1,SUMIFS('Taux'!$D$6:$D$20,'Taux'!$A$6:$A$20,A17,'Taux'!$B$6:$B$20,D17),"n.d.")</f>
        <v>1</v>
      </c>
      <c r="R17" s="22">
        <f>IF(COUNT(F17,Q17)=2,F17/Q17,"n.d.")</f>
        <v>3807084.0</v>
      </c>
      <c r="S17" s="22">
        <f>IF(COUNT(M17,Q17)=2,M17/Q17,"n.d.")</f>
        <v>2866508.0</v>
      </c>
      <c r="T17" s="24">
        <f>IF(OR(COUNT(F17,M17)&lt;&gt;2,F17=0),"n.d.",M17/F17)</f>
        <v>0.7529405707885616</v>
      </c>
      <c r="U17" s="24">
        <f>IF(OR(COUNT(G17,N17)&lt;&gt;2,G17=0),"n.d.",N17/G17)</f>
        <v>0.6539582604640317</v>
      </c>
      <c r="V17" s="22">
        <v>2866508</v>
      </c>
    </row>
    <row r="18" spans="1:23" ht="19" customHeight="1">
      <c r="A18" s="18" t="s">
        <v>38</v>
      </c>
      <c r="B18" s="18" t="s">
        <v>180</v>
      </c>
      <c r="C18" s="18" t="s">
        <v>12</v>
      </c>
      <c r="D18" s="18" t="s">
        <v>174</v>
      </c>
      <c r="E18" s="25">
        <v>46023</v>
      </c>
      <c r="F18" s="22">
        <v>1413554</v>
      </c>
      <c r="G18" s="26">
        <v>7446</v>
      </c>
      <c r="H18" s="22">
        <v>1382081</v>
      </c>
      <c r="I18" s="22">
        <v>0</v>
      </c>
      <c r="J18" s="22">
        <v>0</v>
      </c>
      <c r="K18" s="23" t="s">
        <v>39</v>
      </c>
      <c r="L18" s="23" t="s">
        <v>39</v>
      </c>
      <c r="M18" s="22">
        <f>V18</f>
        <v>1382081.0</v>
      </c>
      <c r="N18" s="26">
        <v>7002</v>
      </c>
      <c r="O18" s="22">
        <f>IF(COUNT(F18,M18)=2,F18-M18,"n.d.")</f>
        <v>31473.0</v>
      </c>
      <c r="P18" s="26">
        <f>IF(COUNT(G18,N18)=2,G18-N18,"n.d.")</f>
        <v>444.0</v>
      </c>
      <c r="Q18" s="27">
        <f>IF(COUNTIFS('Taux'!$A$6:$A$20,A18,'Taux'!$B$6:$B$20,D18)=1,SUMIFS('Taux'!$D$6:$D$20,'Taux'!$A$6:$A$20,A18,'Taux'!$B$6:$B$20,D18),"n.d.")</f>
        <v>1</v>
      </c>
      <c r="R18" s="22">
        <f>IF(COUNT(F18,Q18)=2,F18/Q18,"n.d.")</f>
        <v>1413554.0</v>
      </c>
      <c r="S18" s="22">
        <f>IF(COUNT(M18,Q18)=2,M18/Q18,"n.d.")</f>
        <v>1382081.0</v>
      </c>
      <c r="T18" s="24">
        <f>IF(OR(COUNT(F18,M18)&lt;&gt;2,F18=0),"n.d.",M18/F18)</f>
        <v>0.9777348442295094</v>
      </c>
      <c r="U18" s="24">
        <f>IF(OR(COUNT(G18,N18)&lt;&gt;2,G18=0),"n.d.",N18/G18)</f>
        <v>0.9403706688154714</v>
      </c>
      <c r="V18" s="22">
        <v>1382081</v>
      </c>
    </row>
    <row r="19" spans="1:23" ht="19" customHeight="1">
      <c r="A19" s="18" t="s">
        <v>38</v>
      </c>
      <c r="B19" s="18" t="s">
        <v>180</v>
      </c>
      <c r="C19" s="18" t="s">
        <v>12</v>
      </c>
      <c r="D19" s="18" t="s">
        <v>174</v>
      </c>
      <c r="E19" s="25">
        <v>46054</v>
      </c>
      <c r="F19" s="22">
        <v>1770440</v>
      </c>
      <c r="G19" s="26">
        <v>7932</v>
      </c>
      <c r="H19" s="22">
        <v>1729340</v>
      </c>
      <c r="I19" s="22">
        <v>0</v>
      </c>
      <c r="J19" s="22">
        <v>0</v>
      </c>
      <c r="K19" s="23" t="s">
        <v>39</v>
      </c>
      <c r="L19" s="23" t="s">
        <v>39</v>
      </c>
      <c r="M19" s="22">
        <f>V19</f>
        <v>1729340.0</v>
      </c>
      <c r="N19" s="26">
        <v>7680</v>
      </c>
      <c r="O19" s="22">
        <f>IF(COUNT(F19,M19)=2,F19-M19,"n.d.")</f>
        <v>41100.0</v>
      </c>
      <c r="P19" s="26">
        <f>IF(COUNT(G19,N19)=2,G19-N19,"n.d.")</f>
        <v>252.0</v>
      </c>
      <c r="Q19" s="27">
        <f>IF(COUNTIFS('Taux'!$A$6:$A$20,A19,'Taux'!$B$6:$B$20,D19)=1,SUMIFS('Taux'!$D$6:$D$20,'Taux'!$A$6:$A$20,A19,'Taux'!$B$6:$B$20,D19),"n.d.")</f>
        <v>1</v>
      </c>
      <c r="R19" s="22">
        <f>IF(COUNT(F19,Q19)=2,F19/Q19,"n.d.")</f>
        <v>1770440.0</v>
      </c>
      <c r="S19" s="22">
        <f>IF(COUNT(M19,Q19)=2,M19/Q19,"n.d.")</f>
        <v>1729340.0</v>
      </c>
      <c r="T19" s="24">
        <f>IF(OR(COUNT(F19,M19)&lt;&gt;2,F19=0),"n.d.",M19/F19)</f>
        <v>0.9767854318700436</v>
      </c>
      <c r="U19" s="24">
        <f>IF(OR(COUNT(G19,N19)&lt;&gt;2,G19=0),"n.d.",N19/G19)</f>
        <v>0.9682299546142209</v>
      </c>
      <c r="V19" s="22">
        <v>1729340</v>
      </c>
    </row>
    <row r="20" spans="1:23" ht="19" customHeight="1">
      <c r="A20" s="18" t="s">
        <v>38</v>
      </c>
      <c r="B20" s="18" t="s">
        <v>180</v>
      </c>
      <c r="C20" s="18" t="s">
        <v>12</v>
      </c>
      <c r="D20" s="18" t="s">
        <v>174</v>
      </c>
      <c r="E20" s="25">
        <v>46082</v>
      </c>
      <c r="F20" s="22">
        <v>2064609</v>
      </c>
      <c r="G20" s="26">
        <v>8190</v>
      </c>
      <c r="H20" s="22">
        <v>1852619</v>
      </c>
      <c r="I20" s="22">
        <v>0</v>
      </c>
      <c r="J20" s="22">
        <v>0</v>
      </c>
      <c r="K20" s="23" t="s">
        <v>39</v>
      </c>
      <c r="L20" s="23" t="s">
        <v>39</v>
      </c>
      <c r="M20" s="22">
        <f>V20</f>
        <v>1852619.0</v>
      </c>
      <c r="N20" s="26">
        <v>7746</v>
      </c>
      <c r="O20" s="22">
        <f>IF(COUNT(F20,M20)=2,F20-M20,"n.d.")</f>
        <v>211990.0</v>
      </c>
      <c r="P20" s="26">
        <f>IF(COUNT(G20,N20)=2,G20-N20,"n.d.")</f>
        <v>444.0</v>
      </c>
      <c r="Q20" s="27">
        <f>IF(COUNTIFS('Taux'!$A$6:$A$20,A20,'Taux'!$B$6:$B$20,D20)=1,SUMIFS('Taux'!$D$6:$D$20,'Taux'!$A$6:$A$20,A20,'Taux'!$B$6:$B$20,D20),"n.d.")</f>
        <v>1</v>
      </c>
      <c r="R20" s="22">
        <f>IF(COUNT(F20,Q20)=2,F20/Q20,"n.d.")</f>
        <v>2064609.0</v>
      </c>
      <c r="S20" s="22">
        <f>IF(COUNT(M20,Q20)=2,M20/Q20,"n.d.")</f>
        <v>1852619.0</v>
      </c>
      <c r="T20" s="24">
        <f>IF(OR(COUNT(F20,M20)&lt;&gt;2,F20=0),"n.d.",M20/F20)</f>
        <v>0.8973219626573361</v>
      </c>
      <c r="U20" s="24">
        <f>IF(OR(COUNT(G20,N20)&lt;&gt;2,G20=0),"n.d.",N20/G20)</f>
        <v>0.9457875457875458</v>
      </c>
      <c r="V20" s="22">
        <v>1852619</v>
      </c>
    </row>
    <row r="21" spans="1:23" ht="19" customHeight="1">
      <c r="A21" s="18" t="s">
        <v>38</v>
      </c>
      <c r="B21" s="18" t="s">
        <v>180</v>
      </c>
      <c r="C21" s="18" t="s">
        <v>12</v>
      </c>
      <c r="D21" s="18" t="s">
        <v>174</v>
      </c>
      <c r="E21" s="25">
        <v>46113</v>
      </c>
      <c r="F21" s="22">
        <v>1903277</v>
      </c>
      <c r="G21" s="26">
        <v>7983</v>
      </c>
      <c r="H21" s="22">
        <v>1533214</v>
      </c>
      <c r="I21" s="22">
        <v>0</v>
      </c>
      <c r="J21" s="22">
        <v>0</v>
      </c>
      <c r="K21" s="23" t="s">
        <v>39</v>
      </c>
      <c r="L21" s="23" t="s">
        <v>39</v>
      </c>
      <c r="M21" s="22">
        <f>V21</f>
        <v>1533214.0</v>
      </c>
      <c r="N21" s="26">
        <v>6488</v>
      </c>
      <c r="O21" s="22">
        <f>IF(COUNT(F21,M21)=2,F21-M21,"n.d.")</f>
        <v>370063.0</v>
      </c>
      <c r="P21" s="26">
        <f>IF(COUNT(G21,N21)=2,G21-N21,"n.d.")</f>
        <v>1495.0</v>
      </c>
      <c r="Q21" s="27">
        <f>IF(COUNTIFS('Taux'!$A$6:$A$20,A21,'Taux'!$B$6:$B$20,D21)=1,SUMIFS('Taux'!$D$6:$D$20,'Taux'!$A$6:$A$20,A21,'Taux'!$B$6:$B$20,D21),"n.d.")</f>
        <v>1</v>
      </c>
      <c r="R21" s="22">
        <f>IF(COUNT(F21,Q21)=2,F21/Q21,"n.d.")</f>
        <v>1903277.0</v>
      </c>
      <c r="S21" s="22">
        <f>IF(COUNT(M21,Q21)=2,M21/Q21,"n.d.")</f>
        <v>1533214.0</v>
      </c>
      <c r="T21" s="24">
        <f>IF(OR(COUNT(F21,M21)&lt;&gt;2,F21=0),"n.d.",M21/F21)</f>
        <v>0.80556534860664</v>
      </c>
      <c r="U21" s="24">
        <f>IF(OR(COUNT(G21,N21)&lt;&gt;2,G21=0),"n.d.",N21/G21)</f>
        <v>0.8127270449705625</v>
      </c>
      <c r="V21" s="22">
        <v>1533214</v>
      </c>
    </row>
    <row r="22" spans="1:23" ht="19" customHeight="1">
      <c r="A22" s="18" t="s">
        <v>38</v>
      </c>
      <c r="B22" s="18" t="s">
        <v>180</v>
      </c>
      <c r="C22" s="18" t="s">
        <v>12</v>
      </c>
      <c r="D22" s="18" t="s">
        <v>174</v>
      </c>
      <c r="E22" s="25">
        <v>46143</v>
      </c>
      <c r="F22" s="22">
        <v>1439561</v>
      </c>
      <c r="G22" s="26">
        <v>7063</v>
      </c>
      <c r="H22" s="22">
        <v>716411</v>
      </c>
      <c r="I22" s="22">
        <v>0</v>
      </c>
      <c r="J22" s="22">
        <v>0</v>
      </c>
      <c r="K22" s="23" t="s">
        <v>39</v>
      </c>
      <c r="L22" s="23" t="s">
        <v>39</v>
      </c>
      <c r="M22" s="22">
        <f>V22</f>
        <v>716411.0</v>
      </c>
      <c r="N22" s="26">
        <v>2110</v>
      </c>
      <c r="O22" s="22">
        <f>IF(COUNT(F22,M22)=2,F22-M22,"n.d.")</f>
        <v>723150.0</v>
      </c>
      <c r="P22" s="26">
        <f>IF(COUNT(G22,N22)=2,G22-N22,"n.d.")</f>
        <v>4953.0</v>
      </c>
      <c r="Q22" s="27">
        <f>IF(COUNTIFS('Taux'!$A$6:$A$20,A22,'Taux'!$B$6:$B$20,D22)=1,SUMIFS('Taux'!$D$6:$D$20,'Taux'!$A$6:$A$20,A22,'Taux'!$B$6:$B$20,D22),"n.d.")</f>
        <v>1</v>
      </c>
      <c r="R22" s="22">
        <f>IF(COUNT(F22,Q22)=2,F22/Q22,"n.d.")</f>
        <v>1439561.0</v>
      </c>
      <c r="S22" s="22">
        <f>IF(COUNT(M22,Q22)=2,M22/Q22,"n.d.")</f>
        <v>716411.0</v>
      </c>
      <c r="T22" s="24">
        <f>IF(OR(COUNT(F22,M22)&lt;&gt;2,F22=0),"n.d.",M22/F22)</f>
        <v>0.4976593558730752</v>
      </c>
      <c r="U22" s="24">
        <f>IF(OR(COUNT(G22,N22)&lt;&gt;2,G22=0),"n.d.",N22/G22)</f>
        <v>0.298739912218604</v>
      </c>
      <c r="V22" s="22">
        <v>716411</v>
      </c>
    </row>
    <row r="23" spans="1:23" ht="19" customHeight="1">
      <c r="A23" s="18" t="s">
        <v>38</v>
      </c>
      <c r="B23" s="18" t="s">
        <v>180</v>
      </c>
      <c r="C23" s="18" t="s">
        <v>12</v>
      </c>
      <c r="D23" s="18" t="s">
        <v>174</v>
      </c>
      <c r="E23" s="25">
        <v>46174</v>
      </c>
      <c r="F23" s="22">
        <v>1584910</v>
      </c>
      <c r="G23" s="26">
        <v>5952</v>
      </c>
      <c r="H23" s="22">
        <v>30181</v>
      </c>
      <c r="I23" s="22">
        <v>0</v>
      </c>
      <c r="J23" s="22">
        <v>0</v>
      </c>
      <c r="K23" s="23" t="s">
        <v>39</v>
      </c>
      <c r="L23" s="23" t="s">
        <v>39</v>
      </c>
      <c r="M23" s="22">
        <f>V23</f>
        <v>30181.0</v>
      </c>
      <c r="N23" s="26">
        <v>115</v>
      </c>
      <c r="O23" s="22">
        <f>IF(COUNT(F23,M23)=2,F23-M23,"n.d.")</f>
        <v>1554729.0</v>
      </c>
      <c r="P23" s="26">
        <f>IF(COUNT(G23,N23)=2,G23-N23,"n.d.")</f>
        <v>5837.0</v>
      </c>
      <c r="Q23" s="27">
        <f>IF(COUNTIFS('Taux'!$A$6:$A$20,A23,'Taux'!$B$6:$B$20,D23)=1,SUMIFS('Taux'!$D$6:$D$20,'Taux'!$A$6:$A$20,A23,'Taux'!$B$6:$B$20,D23),"n.d.")</f>
        <v>1</v>
      </c>
      <c r="R23" s="22">
        <f>IF(COUNT(F23,Q23)=2,F23/Q23,"n.d.")</f>
        <v>1584910.0</v>
      </c>
      <c r="S23" s="22">
        <f>IF(COUNT(M23,Q23)=2,M23/Q23,"n.d.")</f>
        <v>30181.0</v>
      </c>
      <c r="T23" s="24">
        <f>IF(OR(COUNT(F23,M23)&lt;&gt;2,F23=0),"n.d.",M23/F23)</f>
        <v>0.01904272166873829</v>
      </c>
      <c r="U23" s="24">
        <f>IF(OR(COUNT(G23,N23)&lt;&gt;2,G23=0),"n.d.",N23/G23)</f>
        <v>0.019321236559139785</v>
      </c>
      <c r="V23" s="22">
        <v>30181</v>
      </c>
    </row>
    <row r="24" spans="1:23" ht="19" customHeight="1">
      <c r="A24" s="18" t="s">
        <v>38</v>
      </c>
      <c r="B24" s="18" t="s">
        <v>175</v>
      </c>
      <c r="C24" s="18" t="s">
        <v>83</v>
      </c>
      <c r="D24" s="18" t="s">
        <v>174</v>
      </c>
      <c r="E24" s="25">
        <v>46023</v>
      </c>
      <c r="F24" s="22">
        <v>600143</v>
      </c>
      <c r="G24" s="26">
        <v>4441</v>
      </c>
      <c r="H24" s="22">
        <v>417469</v>
      </c>
      <c r="I24" s="22">
        <v>0</v>
      </c>
      <c r="J24" s="22">
        <v>8104</v>
      </c>
      <c r="K24" s="23" t="s">
        <v>39</v>
      </c>
      <c r="L24" s="23" t="s">
        <v>39</v>
      </c>
      <c r="M24" s="22">
        <f>V24</f>
        <v>425573.0</v>
      </c>
      <c r="N24" s="26">
        <v>2660</v>
      </c>
      <c r="O24" s="22">
        <f>IF(COUNT(F24,M24)=2,F24-M24,"n.d.")</f>
        <v>174570.0</v>
      </c>
      <c r="P24" s="26">
        <f>IF(COUNT(G24,N24)=2,G24-N24,"n.d.")</f>
        <v>1781.0</v>
      </c>
      <c r="Q24" s="27">
        <f>IF(COUNTIFS('Taux'!$A$6:$A$20,A24,'Taux'!$B$6:$B$20,D24)=1,SUMIFS('Taux'!$D$6:$D$20,'Taux'!$A$6:$A$20,A24,'Taux'!$B$6:$B$20,D24),"n.d.")</f>
        <v>1</v>
      </c>
      <c r="R24" s="22">
        <f>IF(COUNT(F24,Q24)=2,F24/Q24,"n.d.")</f>
        <v>600143.0</v>
      </c>
      <c r="S24" s="22">
        <f>IF(COUNT(M24,Q24)=2,M24/Q24,"n.d.")</f>
        <v>425573.0</v>
      </c>
      <c r="T24" s="24">
        <f>IF(OR(COUNT(F24,M24)&lt;&gt;2,F24=0),"n.d.",M24/F24)</f>
        <v>0.709119326560503</v>
      </c>
      <c r="U24" s="24">
        <f>IF(OR(COUNT(G24,N24)&lt;&gt;2,G24=0),"n.d.",N24/G24)</f>
        <v>0.598964197252871</v>
      </c>
      <c r="V24" s="22">
        <v>425573</v>
      </c>
    </row>
    <row r="25" spans="1:23" ht="19" customHeight="1">
      <c r="A25" s="18" t="s">
        <v>38</v>
      </c>
      <c r="B25" s="18" t="s">
        <v>175</v>
      </c>
      <c r="C25" s="18" t="s">
        <v>83</v>
      </c>
      <c r="D25" s="18" t="s">
        <v>174</v>
      </c>
      <c r="E25" s="25">
        <v>46054</v>
      </c>
      <c r="F25" s="22">
        <v>980406</v>
      </c>
      <c r="G25" s="26">
        <v>3218</v>
      </c>
      <c r="H25" s="22">
        <v>708428</v>
      </c>
      <c r="I25" s="22">
        <v>436</v>
      </c>
      <c r="J25" s="22">
        <v>19731</v>
      </c>
      <c r="K25" s="23" t="s">
        <v>39</v>
      </c>
      <c r="L25" s="23" t="s">
        <v>39</v>
      </c>
      <c r="M25" s="22">
        <f>V25</f>
        <v>728595.0</v>
      </c>
      <c r="N25" s="26">
        <v>1743</v>
      </c>
      <c r="O25" s="22">
        <f>IF(COUNT(F25,M25)=2,F25-M25,"n.d.")</f>
        <v>251811.0</v>
      </c>
      <c r="P25" s="26">
        <f>IF(COUNT(G25,N25)=2,G25-N25,"n.d.")</f>
        <v>1475.0</v>
      </c>
      <c r="Q25" s="27">
        <f>IF(COUNTIFS('Taux'!$A$6:$A$20,A25,'Taux'!$B$6:$B$20,D25)=1,SUMIFS('Taux'!$D$6:$D$20,'Taux'!$A$6:$A$20,A25,'Taux'!$B$6:$B$20,D25),"n.d.")</f>
        <v>1</v>
      </c>
      <c r="R25" s="22">
        <f>IF(COUNT(F25,Q25)=2,F25/Q25,"n.d.")</f>
        <v>980406.0</v>
      </c>
      <c r="S25" s="22">
        <f>IF(COUNT(M25,Q25)=2,M25/Q25,"n.d.")</f>
        <v>728595.0</v>
      </c>
      <c r="T25" s="24">
        <f>IF(OR(COUNT(F25,M25)&lt;&gt;2,F25=0),"n.d.",M25/F25)</f>
        <v>0.7431564066315384</v>
      </c>
      <c r="U25" s="24">
        <f>IF(OR(COUNT(G25,N25)&lt;&gt;2,G25=0),"n.d.",N25/G25)</f>
        <v>0.5416407706650094</v>
      </c>
      <c r="V25" s="22">
        <v>728595</v>
      </c>
    </row>
    <row r="26" spans="1:23" ht="19" customHeight="1">
      <c r="A26" s="18" t="s">
        <v>38</v>
      </c>
      <c r="B26" s="18" t="s">
        <v>175</v>
      </c>
      <c r="C26" s="18" t="s">
        <v>83</v>
      </c>
      <c r="D26" s="18" t="s">
        <v>174</v>
      </c>
      <c r="E26" s="25">
        <v>46082</v>
      </c>
      <c r="F26" s="22">
        <v>802186</v>
      </c>
      <c r="G26" s="26">
        <v>2706</v>
      </c>
      <c r="H26" s="22">
        <v>602254</v>
      </c>
      <c r="I26" s="22">
        <v>0</v>
      </c>
      <c r="J26" s="22">
        <v>13510</v>
      </c>
      <c r="K26" s="23" t="s">
        <v>39</v>
      </c>
      <c r="L26" s="23" t="s">
        <v>39</v>
      </c>
      <c r="M26" s="22">
        <f>V26</f>
        <v>615764.0</v>
      </c>
      <c r="N26" s="26">
        <v>1539</v>
      </c>
      <c r="O26" s="22">
        <f>IF(COUNT(F26,M26)=2,F26-M26,"n.d.")</f>
        <v>186422.0</v>
      </c>
      <c r="P26" s="26">
        <f>IF(COUNT(G26,N26)=2,G26-N26,"n.d.")</f>
        <v>1167.0</v>
      </c>
      <c r="Q26" s="27">
        <f>IF(COUNTIFS('Taux'!$A$6:$A$20,A26,'Taux'!$B$6:$B$20,D26)=1,SUMIFS('Taux'!$D$6:$D$20,'Taux'!$A$6:$A$20,A26,'Taux'!$B$6:$B$20,D26),"n.d.")</f>
        <v>1</v>
      </c>
      <c r="R26" s="22">
        <f>IF(COUNT(F26,Q26)=2,F26/Q26,"n.d.")</f>
        <v>802186.0</v>
      </c>
      <c r="S26" s="22">
        <f>IF(COUNT(M26,Q26)=2,M26/Q26,"n.d.")</f>
        <v>615764.0</v>
      </c>
      <c r="T26" s="24">
        <f>IF(OR(COUNT(F26,M26)&lt;&gt;2,F26=0),"n.d.",M26/F26)</f>
        <v>0.7676075124721699</v>
      </c>
      <c r="U26" s="24">
        <f>IF(OR(COUNT(G26,N26)&lt;&gt;2,G26=0),"n.d.",N26/G26)</f>
        <v>0.5687361419068736</v>
      </c>
      <c r="V26" s="22">
        <v>615764</v>
      </c>
    </row>
    <row r="27" spans="1:23" ht="19" customHeight="1">
      <c r="A27" s="18" t="s">
        <v>38</v>
      </c>
      <c r="B27" s="18" t="s">
        <v>175</v>
      </c>
      <c r="C27" s="18" t="s">
        <v>83</v>
      </c>
      <c r="D27" s="18" t="s">
        <v>174</v>
      </c>
      <c r="E27" s="25">
        <v>46113</v>
      </c>
      <c r="F27" s="22">
        <v>713748</v>
      </c>
      <c r="G27" s="26">
        <v>2575</v>
      </c>
      <c r="H27" s="22">
        <v>443705</v>
      </c>
      <c r="I27" s="22">
        <v>0</v>
      </c>
      <c r="J27" s="22">
        <v>15292</v>
      </c>
      <c r="K27" s="23" t="s">
        <v>39</v>
      </c>
      <c r="L27" s="23" t="s">
        <v>39</v>
      </c>
      <c r="M27" s="22">
        <f>V27</f>
        <v>458997.0</v>
      </c>
      <c r="N27" s="26">
        <v>1016</v>
      </c>
      <c r="O27" s="22">
        <f>IF(COUNT(F27,M27)=2,F27-M27,"n.d.")</f>
        <v>254751.0</v>
      </c>
      <c r="P27" s="26">
        <f>IF(COUNT(G27,N27)=2,G27-N27,"n.d.")</f>
        <v>1559.0</v>
      </c>
      <c r="Q27" s="27">
        <f>IF(COUNTIFS('Taux'!$A$6:$A$20,A27,'Taux'!$B$6:$B$20,D27)=1,SUMIFS('Taux'!$D$6:$D$20,'Taux'!$A$6:$A$20,A27,'Taux'!$B$6:$B$20,D27),"n.d.")</f>
        <v>1</v>
      </c>
      <c r="R27" s="22">
        <f>IF(COUNT(F27,Q27)=2,F27/Q27,"n.d.")</f>
        <v>713748.0</v>
      </c>
      <c r="S27" s="22">
        <f>IF(COUNT(M27,Q27)=2,M27/Q27,"n.d.")</f>
        <v>458997.0</v>
      </c>
      <c r="T27" s="24">
        <f>IF(OR(COUNT(F27,M27)&lt;&gt;2,F27=0),"n.d.",M27/F27)</f>
        <v>0.643079910556667</v>
      </c>
      <c r="U27" s="24">
        <f>IF(OR(COUNT(G27,N27)&lt;&gt;2,G27=0),"n.d.",N27/G27)</f>
        <v>0.3945631067961165</v>
      </c>
      <c r="V27" s="22">
        <v>458997</v>
      </c>
    </row>
    <row r="28" spans="1:23" ht="19" customHeight="1">
      <c r="A28" s="18" t="s">
        <v>38</v>
      </c>
      <c r="B28" s="18" t="s">
        <v>175</v>
      </c>
      <c r="C28" s="18" t="s">
        <v>83</v>
      </c>
      <c r="D28" s="18" t="s">
        <v>174</v>
      </c>
      <c r="E28" s="25">
        <v>46143</v>
      </c>
      <c r="F28" s="22">
        <v>734548</v>
      </c>
      <c r="G28" s="26">
        <v>2619</v>
      </c>
      <c r="H28" s="22">
        <v>335703</v>
      </c>
      <c r="I28" s="22">
        <v>0</v>
      </c>
      <c r="J28" s="22">
        <v>111867</v>
      </c>
      <c r="K28" s="23" t="s">
        <v>39</v>
      </c>
      <c r="L28" s="23" t="s">
        <v>39</v>
      </c>
      <c r="M28" s="22">
        <f>V28</f>
        <v>447570.0</v>
      </c>
      <c r="N28" s="26">
        <v>969</v>
      </c>
      <c r="O28" s="22">
        <f>IF(COUNT(F28,M28)=2,F28-M28,"n.d.")</f>
        <v>286978.0</v>
      </c>
      <c r="P28" s="26">
        <f>IF(COUNT(G28,N28)=2,G28-N28,"n.d.")</f>
        <v>1650.0</v>
      </c>
      <c r="Q28" s="27">
        <f>IF(COUNTIFS('Taux'!$A$6:$A$20,A28,'Taux'!$B$6:$B$20,D28)=1,SUMIFS('Taux'!$D$6:$D$20,'Taux'!$A$6:$A$20,A28,'Taux'!$B$6:$B$20,D28),"n.d.")</f>
        <v>1</v>
      </c>
      <c r="R28" s="22">
        <f>IF(COUNT(F28,Q28)=2,F28/Q28,"n.d.")</f>
        <v>734548.0</v>
      </c>
      <c r="S28" s="22">
        <f>IF(COUNT(M28,Q28)=2,M28/Q28,"n.d.")</f>
        <v>447570.0</v>
      </c>
      <c r="T28" s="24">
        <f>IF(OR(COUNT(F28,M28)&lt;&gt;2,F28=0),"n.d.",M28/F28)</f>
        <v>0.6093134825770405</v>
      </c>
      <c r="U28" s="24">
        <f>IF(OR(COUNT(G28,N28)&lt;&gt;2,G28=0),"n.d.",N28/G28)</f>
        <v>0.3699885452462772</v>
      </c>
      <c r="V28" s="22">
        <v>447570</v>
      </c>
    </row>
    <row r="29" spans="1:23" ht="19" customHeight="1">
      <c r="A29" s="18" t="s">
        <v>38</v>
      </c>
      <c r="B29" s="18" t="s">
        <v>175</v>
      </c>
      <c r="C29" s="18" t="s">
        <v>83</v>
      </c>
      <c r="D29" s="18" t="s">
        <v>174</v>
      </c>
      <c r="E29" s="25">
        <v>46174</v>
      </c>
      <c r="F29" s="22">
        <v>1140375</v>
      </c>
      <c r="G29" s="26">
        <v>3615</v>
      </c>
      <c r="H29" s="22">
        <v>213697</v>
      </c>
      <c r="I29" s="22">
        <v>0</v>
      </c>
      <c r="J29" s="22">
        <v>94835</v>
      </c>
      <c r="K29" s="23" t="s">
        <v>39</v>
      </c>
      <c r="L29" s="23" t="s">
        <v>39</v>
      </c>
      <c r="M29" s="22">
        <f>V29</f>
        <v>308532.0</v>
      </c>
      <c r="N29" s="26">
        <v>1164</v>
      </c>
      <c r="O29" s="22">
        <f>IF(COUNT(F29,M29)=2,F29-M29,"n.d.")</f>
        <v>831843.0</v>
      </c>
      <c r="P29" s="26">
        <f>IF(COUNT(G29,N29)=2,G29-N29,"n.d.")</f>
        <v>2451.0</v>
      </c>
      <c r="Q29" s="27">
        <f>IF(COUNTIFS('Taux'!$A$6:$A$20,A29,'Taux'!$B$6:$B$20,D29)=1,SUMIFS('Taux'!$D$6:$D$20,'Taux'!$A$6:$A$20,A29,'Taux'!$B$6:$B$20,D29),"n.d.")</f>
        <v>1</v>
      </c>
      <c r="R29" s="22">
        <f>IF(COUNT(F29,Q29)=2,F29/Q29,"n.d.")</f>
        <v>1140375.0</v>
      </c>
      <c r="S29" s="22">
        <f>IF(COUNT(M29,Q29)=2,M29/Q29,"n.d.")</f>
        <v>308532.0</v>
      </c>
      <c r="T29" s="24">
        <f>IF(OR(COUNT(F29,M29)&lt;&gt;2,F29=0),"n.d.",M29/F29)</f>
        <v>0.2705531075304176</v>
      </c>
      <c r="U29" s="24">
        <f>IF(OR(COUNT(G29,N29)&lt;&gt;2,G29=0),"n.d.",N29/G29)</f>
        <v>0.3219917012448133</v>
      </c>
      <c r="V29" s="22">
        <v>308532</v>
      </c>
    </row>
    <row r="30" spans="1:23" ht="19" customHeight="1">
      <c r="A30" s="18" t="s">
        <v>38</v>
      </c>
      <c r="B30" s="18" t="s">
        <v>178</v>
      </c>
      <c r="C30" s="18" t="s">
        <v>10</v>
      </c>
      <c r="D30" s="18" t="s">
        <v>174</v>
      </c>
      <c r="E30" s="25">
        <v>46023</v>
      </c>
      <c r="F30" s="22">
        <v>946898</v>
      </c>
      <c r="G30" s="26">
        <v>4388</v>
      </c>
      <c r="H30" s="22">
        <v>899398</v>
      </c>
      <c r="I30" s="22">
        <v>32708</v>
      </c>
      <c r="J30" s="22">
        <v>0</v>
      </c>
      <c r="K30" s="23" t="s">
        <v>39</v>
      </c>
      <c r="L30" s="23" t="s">
        <v>39</v>
      </c>
      <c r="M30" s="22">
        <f>V30</f>
        <v>932106.0</v>
      </c>
      <c r="N30" s="26">
        <v>4162</v>
      </c>
      <c r="O30" s="22">
        <f>IF(COUNT(F30,M30)=2,F30-M30,"n.d.")</f>
        <v>14792.0</v>
      </c>
      <c r="P30" s="26">
        <f>IF(COUNT(G30,N30)=2,G30-N30,"n.d.")</f>
        <v>226.0</v>
      </c>
      <c r="Q30" s="27">
        <f>IF(COUNTIFS('Taux'!$A$6:$A$20,A30,'Taux'!$B$6:$B$20,D30)=1,SUMIFS('Taux'!$D$6:$D$20,'Taux'!$A$6:$A$20,A30,'Taux'!$B$6:$B$20,D30),"n.d.")</f>
        <v>1</v>
      </c>
      <c r="R30" s="22">
        <f>IF(COUNT(F30,Q30)=2,F30/Q30,"n.d.")</f>
        <v>946898.0</v>
      </c>
      <c r="S30" s="22">
        <f>IF(COUNT(M30,Q30)=2,M30/Q30,"n.d.")</f>
        <v>932106.0</v>
      </c>
      <c r="T30" s="24">
        <f>IF(OR(COUNT(F30,M30)&lt;&gt;2,F30=0),"n.d.",M30/F30)</f>
        <v>0.984378465262362</v>
      </c>
      <c r="U30" s="24">
        <f>IF(OR(COUNT(G30,N30)&lt;&gt;2,G30=0),"n.d.",N30/G30)</f>
        <v>0.9484958979033729</v>
      </c>
      <c r="V30" s="22">
        <v>932106</v>
      </c>
    </row>
    <row r="31" spans="1:23" ht="19" customHeight="1">
      <c r="A31" s="18" t="s">
        <v>38</v>
      </c>
      <c r="B31" s="18" t="s">
        <v>178</v>
      </c>
      <c r="C31" s="18" t="s">
        <v>10</v>
      </c>
      <c r="D31" s="18" t="s">
        <v>174</v>
      </c>
      <c r="E31" s="25">
        <v>46054</v>
      </c>
      <c r="F31" s="22">
        <v>951552</v>
      </c>
      <c r="G31" s="26">
        <v>4231</v>
      </c>
      <c r="H31" s="22">
        <v>908741</v>
      </c>
      <c r="I31" s="22">
        <v>25496</v>
      </c>
      <c r="J31" s="22">
        <v>0</v>
      </c>
      <c r="K31" s="23" t="s">
        <v>39</v>
      </c>
      <c r="L31" s="23" t="s">
        <v>39</v>
      </c>
      <c r="M31" s="22">
        <f>V31</f>
        <v>934237.0</v>
      </c>
      <c r="N31" s="26">
        <v>3816</v>
      </c>
      <c r="O31" s="22">
        <f>IF(COUNT(F31,M31)=2,F31-M31,"n.d.")</f>
        <v>17315.0</v>
      </c>
      <c r="P31" s="26">
        <f>IF(COUNT(G31,N31)=2,G31-N31,"n.d.")</f>
        <v>415.0</v>
      </c>
      <c r="Q31" s="27">
        <f>IF(COUNTIFS('Taux'!$A$6:$A$20,A31,'Taux'!$B$6:$B$20,D31)=1,SUMIFS('Taux'!$D$6:$D$20,'Taux'!$A$6:$A$20,A31,'Taux'!$B$6:$B$20,D31),"n.d.")</f>
        <v>1</v>
      </c>
      <c r="R31" s="22">
        <f>IF(COUNT(F31,Q31)=2,F31/Q31,"n.d.")</f>
        <v>951552.0</v>
      </c>
      <c r="S31" s="22">
        <f>IF(COUNT(M31,Q31)=2,M31/Q31,"n.d.")</f>
        <v>934237.0</v>
      </c>
      <c r="T31" s="24">
        <f>IF(OR(COUNT(F31,M31)&lt;&gt;2,F31=0),"n.d.",M31/F31)</f>
        <v>0.9818034116895346</v>
      </c>
      <c r="U31" s="24">
        <f>IF(OR(COUNT(G31,N31)&lt;&gt;2,G31=0),"n.d.",N31/G31)</f>
        <v>0.9019144410304892</v>
      </c>
      <c r="V31" s="22">
        <v>934237</v>
      </c>
    </row>
    <row r="32" spans="1:23" ht="19" customHeight="1">
      <c r="A32" s="18" t="s">
        <v>38</v>
      </c>
      <c r="B32" s="18" t="s">
        <v>178</v>
      </c>
      <c r="C32" s="18" t="s">
        <v>10</v>
      </c>
      <c r="D32" s="18" t="s">
        <v>174</v>
      </c>
      <c r="E32" s="25">
        <v>46082</v>
      </c>
      <c r="F32" s="22">
        <v>1177761</v>
      </c>
      <c r="G32" s="26">
        <v>4606</v>
      </c>
      <c r="H32" s="22">
        <v>1127453</v>
      </c>
      <c r="I32" s="22">
        <v>29572</v>
      </c>
      <c r="J32" s="22">
        <v>0</v>
      </c>
      <c r="K32" s="23" t="s">
        <v>39</v>
      </c>
      <c r="L32" s="23" t="s">
        <v>39</v>
      </c>
      <c r="M32" s="22">
        <f>V32</f>
        <v>1157025.0</v>
      </c>
      <c r="N32" s="26">
        <v>4303</v>
      </c>
      <c r="O32" s="22">
        <f>IF(COUNT(F32,M32)=2,F32-M32,"n.d.")</f>
        <v>20736.0</v>
      </c>
      <c r="P32" s="26">
        <f>IF(COUNT(G32,N32)=2,G32-N32,"n.d.")</f>
        <v>303.0</v>
      </c>
      <c r="Q32" s="27">
        <f>IF(COUNTIFS('Taux'!$A$6:$A$20,A32,'Taux'!$B$6:$B$20,D32)=1,SUMIFS('Taux'!$D$6:$D$20,'Taux'!$A$6:$A$20,A32,'Taux'!$B$6:$B$20,D32),"n.d.")</f>
        <v>1</v>
      </c>
      <c r="R32" s="22">
        <f>IF(COUNT(F32,Q32)=2,F32/Q32,"n.d.")</f>
        <v>1177761.0</v>
      </c>
      <c r="S32" s="22">
        <f>IF(COUNT(M32,Q32)=2,M32/Q32,"n.d.")</f>
        <v>1157025.0</v>
      </c>
      <c r="T32" s="24">
        <f>IF(OR(COUNT(F32,M32)&lt;&gt;2,F32=0),"n.d.",M32/F32)</f>
        <v>0.9823937114575877</v>
      </c>
      <c r="U32" s="24">
        <f>IF(OR(COUNT(G32,N32)&lt;&gt;2,G32=0),"n.d.",N32/G32)</f>
        <v>0.9342162396873643</v>
      </c>
      <c r="V32" s="22">
        <v>1157025</v>
      </c>
    </row>
    <row r="33" spans="1:23" ht="19" customHeight="1">
      <c r="A33" s="18" t="s">
        <v>38</v>
      </c>
      <c r="B33" s="18" t="s">
        <v>178</v>
      </c>
      <c r="C33" s="18" t="s">
        <v>10</v>
      </c>
      <c r="D33" s="18" t="s">
        <v>174</v>
      </c>
      <c r="E33" s="25">
        <v>46113</v>
      </c>
      <c r="F33" s="22">
        <v>1199204</v>
      </c>
      <c r="G33" s="26">
        <v>4749</v>
      </c>
      <c r="H33" s="22">
        <v>1134296</v>
      </c>
      <c r="I33" s="22">
        <v>26471</v>
      </c>
      <c r="J33" s="22">
        <v>0</v>
      </c>
      <c r="K33" s="23" t="s">
        <v>39</v>
      </c>
      <c r="L33" s="23" t="s">
        <v>39</v>
      </c>
      <c r="M33" s="22">
        <f>V33</f>
        <v>1160767.0</v>
      </c>
      <c r="N33" s="26">
        <v>4424</v>
      </c>
      <c r="O33" s="22">
        <f>IF(COUNT(F33,M33)=2,F33-M33,"n.d.")</f>
        <v>38437.0</v>
      </c>
      <c r="P33" s="26">
        <f>IF(COUNT(G33,N33)=2,G33-N33,"n.d.")</f>
        <v>325.0</v>
      </c>
      <c r="Q33" s="27">
        <f>IF(COUNTIFS('Taux'!$A$6:$A$20,A33,'Taux'!$B$6:$B$20,D33)=1,SUMIFS('Taux'!$D$6:$D$20,'Taux'!$A$6:$A$20,A33,'Taux'!$B$6:$B$20,D33),"n.d.")</f>
        <v>1</v>
      </c>
      <c r="R33" s="22">
        <f>IF(COUNT(F33,Q33)=2,F33/Q33,"n.d.")</f>
        <v>1199204.0</v>
      </c>
      <c r="S33" s="22">
        <f>IF(COUNT(M33,Q33)=2,M33/Q33,"n.d.")</f>
        <v>1160767.0</v>
      </c>
      <c r="T33" s="24">
        <f>IF(OR(COUNT(F33,M33)&lt;&gt;2,F33=0),"n.d.",M33/F33)</f>
        <v>0.9679479054439445</v>
      </c>
      <c r="U33" s="24">
        <f>IF(OR(COUNT(G33,N33)&lt;&gt;2,G33=0),"n.d.",N33/G33)</f>
        <v>0.9315645399031375</v>
      </c>
      <c r="V33" s="22">
        <v>1160767</v>
      </c>
    </row>
    <row r="34" spans="1:23" ht="19" customHeight="1">
      <c r="A34" s="18" t="s">
        <v>38</v>
      </c>
      <c r="B34" s="18" t="s">
        <v>178</v>
      </c>
      <c r="C34" s="18" t="s">
        <v>10</v>
      </c>
      <c r="D34" s="18" t="s">
        <v>174</v>
      </c>
      <c r="E34" s="25">
        <v>46143</v>
      </c>
      <c r="F34" s="22">
        <v>1425617</v>
      </c>
      <c r="G34" s="26">
        <v>5501</v>
      </c>
      <c r="H34" s="22">
        <v>1245541</v>
      </c>
      <c r="I34" s="22">
        <v>81814</v>
      </c>
      <c r="J34" s="22">
        <v>0</v>
      </c>
      <c r="K34" s="23" t="s">
        <v>39</v>
      </c>
      <c r="L34" s="23" t="s">
        <v>39</v>
      </c>
      <c r="M34" s="22">
        <f>V34</f>
        <v>1327355.0</v>
      </c>
      <c r="N34" s="26">
        <v>4888</v>
      </c>
      <c r="O34" s="22">
        <f>IF(COUNT(F34,M34)=2,F34-M34,"n.d.")</f>
        <v>98262.0</v>
      </c>
      <c r="P34" s="26">
        <f>IF(COUNT(G34,N34)=2,G34-N34,"n.d.")</f>
        <v>613.0</v>
      </c>
      <c r="Q34" s="27">
        <f>IF(COUNTIFS('Taux'!$A$6:$A$20,A34,'Taux'!$B$6:$B$20,D34)=1,SUMIFS('Taux'!$D$6:$D$20,'Taux'!$A$6:$A$20,A34,'Taux'!$B$6:$B$20,D34),"n.d.")</f>
        <v>1</v>
      </c>
      <c r="R34" s="22">
        <f>IF(COUNT(F34,Q34)=2,F34/Q34,"n.d.")</f>
        <v>1425617.0</v>
      </c>
      <c r="S34" s="22">
        <f>IF(COUNT(M34,Q34)=2,M34/Q34,"n.d.")</f>
        <v>1327355.0</v>
      </c>
      <c r="T34" s="24">
        <f>IF(OR(COUNT(F34,M34)&lt;&gt;2,F34=0),"n.d.",M34/F34)</f>
        <v>0.9310740542515977</v>
      </c>
      <c r="U34" s="24">
        <f>IF(OR(COUNT(G34,N34)&lt;&gt;2,G34=0),"n.d.",N34/G34)</f>
        <v>0.8885657153244865</v>
      </c>
      <c r="V34" s="22">
        <v>1327355</v>
      </c>
    </row>
    <row r="35" spans="1:23" ht="19" customHeight="1">
      <c r="A35" s="18" t="s">
        <v>38</v>
      </c>
      <c r="B35" s="18" t="s">
        <v>178</v>
      </c>
      <c r="C35" s="18" t="s">
        <v>10</v>
      </c>
      <c r="D35" s="18" t="s">
        <v>174</v>
      </c>
      <c r="E35" s="25">
        <v>46174</v>
      </c>
      <c r="F35" s="22">
        <v>977488</v>
      </c>
      <c r="G35" s="26">
        <v>4259</v>
      </c>
      <c r="H35" s="22">
        <v>448643</v>
      </c>
      <c r="I35" s="22">
        <v>68129</v>
      </c>
      <c r="J35" s="22">
        <v>0</v>
      </c>
      <c r="K35" s="23" t="s">
        <v>39</v>
      </c>
      <c r="L35" s="23" t="s">
        <v>39</v>
      </c>
      <c r="M35" s="22">
        <f>V35</f>
        <v>516772.0</v>
      </c>
      <c r="N35" s="26">
        <v>2107</v>
      </c>
      <c r="O35" s="22">
        <f>IF(COUNT(F35,M35)=2,F35-M35,"n.d.")</f>
        <v>460716.0</v>
      </c>
      <c r="P35" s="26">
        <f>IF(COUNT(G35,N35)=2,G35-N35,"n.d.")</f>
        <v>2152.0</v>
      </c>
      <c r="Q35" s="27">
        <f>IF(COUNTIFS('Taux'!$A$6:$A$20,A35,'Taux'!$B$6:$B$20,D35)=1,SUMIFS('Taux'!$D$6:$D$20,'Taux'!$A$6:$A$20,A35,'Taux'!$B$6:$B$20,D35),"n.d.")</f>
        <v>1</v>
      </c>
      <c r="R35" s="22">
        <f>IF(COUNT(F35,Q35)=2,F35/Q35,"n.d.")</f>
        <v>977488.0</v>
      </c>
      <c r="S35" s="22">
        <f>IF(COUNT(M35,Q35)=2,M35/Q35,"n.d.")</f>
        <v>516772.0</v>
      </c>
      <c r="T35" s="24">
        <f>IF(OR(COUNT(F35,M35)&lt;&gt;2,F35=0),"n.d.",M35/F35)</f>
        <v>0.52867349778207</v>
      </c>
      <c r="U35" s="24">
        <f>IF(OR(COUNT(G35,N35)&lt;&gt;2,G35=0),"n.d.",N35/G35)</f>
        <v>0.4947170697346795</v>
      </c>
      <c r="V35" s="22">
        <v>516772</v>
      </c>
    </row>
    <row r="36" spans="1:23" ht="19" customHeight="1">
      <c r="A36" s="18" t="s">
        <v>38</v>
      </c>
      <c r="B36" s="18" t="s">
        <v>179</v>
      </c>
      <c r="C36" s="18" t="s">
        <v>11</v>
      </c>
      <c r="D36" s="18" t="s">
        <v>174</v>
      </c>
      <c r="E36" s="25">
        <v>46023</v>
      </c>
      <c r="F36" s="22">
        <v>4070538</v>
      </c>
      <c r="G36" s="26">
        <v>3402</v>
      </c>
      <c r="H36" s="22">
        <v>2338145</v>
      </c>
      <c r="I36" s="22">
        <v>0</v>
      </c>
      <c r="J36" s="22">
        <v>1696385</v>
      </c>
      <c r="K36" s="23" t="s">
        <v>39</v>
      </c>
      <c r="L36" s="23" t="s">
        <v>39</v>
      </c>
      <c r="M36" s="22">
        <f>V36</f>
        <v>4034530.0</v>
      </c>
      <c r="N36" s="26">
        <v>2068</v>
      </c>
      <c r="O36" s="22">
        <f>IF(COUNT(F36,M36)=2,F36-M36,"n.d.")</f>
        <v>36008.0</v>
      </c>
      <c r="P36" s="26">
        <f>IF(COUNT(G36,N36)=2,G36-N36,"n.d.")</f>
        <v>1334.0</v>
      </c>
      <c r="Q36" s="27">
        <f>IF(COUNTIFS('Taux'!$A$6:$A$20,A36,'Taux'!$B$6:$B$20,D36)=1,SUMIFS('Taux'!$D$6:$D$20,'Taux'!$A$6:$A$20,A36,'Taux'!$B$6:$B$20,D36),"n.d.")</f>
        <v>1</v>
      </c>
      <c r="R36" s="22">
        <f>IF(COUNT(F36,Q36)=2,F36/Q36,"n.d.")</f>
        <v>4070538.0</v>
      </c>
      <c r="S36" s="22">
        <f>IF(COUNT(M36,Q36)=2,M36/Q36,"n.d.")</f>
        <v>4034530.0</v>
      </c>
      <c r="T36" s="24">
        <f>IF(OR(COUNT(F36,M36)&lt;&gt;2,F36=0),"n.d.",M36/F36)</f>
        <v>0.9911539948773356</v>
      </c>
      <c r="U36" s="24">
        <f>IF(OR(COUNT(G36,N36)&lt;&gt;2,G36=0),"n.d.",N36/G36)</f>
        <v>0.6078777189888301</v>
      </c>
      <c r="V36" s="22">
        <v>4034530</v>
      </c>
    </row>
    <row r="37" spans="1:23" ht="19" customHeight="1">
      <c r="A37" s="18" t="s">
        <v>38</v>
      </c>
      <c r="B37" s="18" t="s">
        <v>179</v>
      </c>
      <c r="C37" s="18" t="s">
        <v>11</v>
      </c>
      <c r="D37" s="18" t="s">
        <v>174</v>
      </c>
      <c r="E37" s="25">
        <v>46054</v>
      </c>
      <c r="F37" s="22">
        <v>3652685</v>
      </c>
      <c r="G37" s="26">
        <v>3364</v>
      </c>
      <c r="H37" s="22">
        <v>1983731</v>
      </c>
      <c r="I37" s="22">
        <v>0</v>
      </c>
      <c r="J37" s="22">
        <v>1636488</v>
      </c>
      <c r="K37" s="23" t="s">
        <v>39</v>
      </c>
      <c r="L37" s="23" t="s">
        <v>39</v>
      </c>
      <c r="M37" s="22">
        <f>V37</f>
        <v>3620219.0</v>
      </c>
      <c r="N37" s="26">
        <v>2046</v>
      </c>
      <c r="O37" s="22">
        <f>IF(COUNT(F37,M37)=2,F37-M37,"n.d.")</f>
        <v>32466.0</v>
      </c>
      <c r="P37" s="26">
        <f>IF(COUNT(G37,N37)=2,G37-N37,"n.d.")</f>
        <v>1318.0</v>
      </c>
      <c r="Q37" s="27">
        <f>IF(COUNTIFS('Taux'!$A$6:$A$20,A37,'Taux'!$B$6:$B$20,D37)=1,SUMIFS('Taux'!$D$6:$D$20,'Taux'!$A$6:$A$20,A37,'Taux'!$B$6:$B$20,D37),"n.d.")</f>
        <v>1</v>
      </c>
      <c r="R37" s="22">
        <f>IF(COUNT(F37,Q37)=2,F37/Q37,"n.d.")</f>
        <v>3652685.0</v>
      </c>
      <c r="S37" s="22">
        <f>IF(COUNT(M37,Q37)=2,M37/Q37,"n.d.")</f>
        <v>3620219.0</v>
      </c>
      <c r="T37" s="24">
        <f>IF(OR(COUNT(F37,M37)&lt;&gt;2,F37=0),"n.d.",M37/F37)</f>
        <v>0.9911117438268013</v>
      </c>
      <c r="U37" s="24">
        <f>IF(OR(COUNT(G37,N37)&lt;&gt;2,G37=0),"n.d.",N37/G37)</f>
        <v>0.60820451843044</v>
      </c>
      <c r="V37" s="22">
        <v>3620219</v>
      </c>
    </row>
    <row r="38" spans="1:23" ht="19" customHeight="1">
      <c r="A38" s="18" t="s">
        <v>38</v>
      </c>
      <c r="B38" s="18" t="s">
        <v>179</v>
      </c>
      <c r="C38" s="18" t="s">
        <v>11</v>
      </c>
      <c r="D38" s="18" t="s">
        <v>174</v>
      </c>
      <c r="E38" s="25">
        <v>46082</v>
      </c>
      <c r="F38" s="22">
        <v>2538191</v>
      </c>
      <c r="G38" s="26">
        <v>3026</v>
      </c>
      <c r="H38" s="22">
        <v>410520</v>
      </c>
      <c r="I38" s="22">
        <v>0</v>
      </c>
      <c r="J38" s="22">
        <v>2085341</v>
      </c>
      <c r="K38" s="23" t="s">
        <v>39</v>
      </c>
      <c r="L38" s="23" t="s">
        <v>39</v>
      </c>
      <c r="M38" s="22">
        <f>V38</f>
        <v>2495861.0</v>
      </c>
      <c r="N38" s="26">
        <v>1502</v>
      </c>
      <c r="O38" s="22">
        <f>IF(COUNT(F38,M38)=2,F38-M38,"n.d.")</f>
        <v>42330.0</v>
      </c>
      <c r="P38" s="26">
        <f>IF(COUNT(G38,N38)=2,G38-N38,"n.d.")</f>
        <v>1524.0</v>
      </c>
      <c r="Q38" s="27">
        <f>IF(COUNTIFS('Taux'!$A$6:$A$20,A38,'Taux'!$B$6:$B$20,D38)=1,SUMIFS('Taux'!$D$6:$D$20,'Taux'!$A$6:$A$20,A38,'Taux'!$B$6:$B$20,D38),"n.d.")</f>
        <v>1</v>
      </c>
      <c r="R38" s="22">
        <f>IF(COUNT(F38,Q38)=2,F38/Q38,"n.d.")</f>
        <v>2538191.0</v>
      </c>
      <c r="S38" s="22">
        <f>IF(COUNT(M38,Q38)=2,M38/Q38,"n.d.")</f>
        <v>2495861.0</v>
      </c>
      <c r="T38" s="24">
        <f>IF(OR(COUNT(F38,M38)&lt;&gt;2,F38=0),"n.d.",M38/F38)</f>
        <v>0.9833227680659178</v>
      </c>
      <c r="U38" s="24">
        <f>IF(OR(COUNT(G38,N38)&lt;&gt;2,G38=0),"n.d.",N38/G38)</f>
        <v>0.4963648380700595</v>
      </c>
      <c r="V38" s="22">
        <v>2495861</v>
      </c>
    </row>
    <row r="39" spans="1:23" ht="19" customHeight="1">
      <c r="A39" s="18" t="s">
        <v>38</v>
      </c>
      <c r="B39" s="18" t="s">
        <v>179</v>
      </c>
      <c r="C39" s="18" t="s">
        <v>11</v>
      </c>
      <c r="D39" s="18" t="s">
        <v>174</v>
      </c>
      <c r="E39" s="25">
        <v>46113</v>
      </c>
      <c r="F39" s="22">
        <v>1651174</v>
      </c>
      <c r="G39" s="26">
        <v>3072</v>
      </c>
      <c r="H39" s="22">
        <v>100199</v>
      </c>
      <c r="I39" s="22">
        <v>212</v>
      </c>
      <c r="J39" s="22">
        <v>1476519</v>
      </c>
      <c r="K39" s="23" t="s">
        <v>39</v>
      </c>
      <c r="L39" s="23" t="s">
        <v>39</v>
      </c>
      <c r="M39" s="22">
        <f>V39</f>
        <v>1576931.0</v>
      </c>
      <c r="N39" s="26">
        <v>1655</v>
      </c>
      <c r="O39" s="22">
        <f>IF(COUNT(F39,M39)=2,F39-M39,"n.d.")</f>
        <v>74243.0</v>
      </c>
      <c r="P39" s="26">
        <f>IF(COUNT(G39,N39)=2,G39-N39,"n.d.")</f>
        <v>1417.0</v>
      </c>
      <c r="Q39" s="27">
        <f>IF(COUNTIFS('Taux'!$A$6:$A$20,A39,'Taux'!$B$6:$B$20,D39)=1,SUMIFS('Taux'!$D$6:$D$20,'Taux'!$A$6:$A$20,A39,'Taux'!$B$6:$B$20,D39),"n.d.")</f>
        <v>1</v>
      </c>
      <c r="R39" s="22">
        <f>IF(COUNT(F39,Q39)=2,F39/Q39,"n.d.")</f>
        <v>1651174.0</v>
      </c>
      <c r="S39" s="22">
        <f>IF(COUNT(M39,Q39)=2,M39/Q39,"n.d.")</f>
        <v>1576931.0</v>
      </c>
      <c r="T39" s="24">
        <f>IF(OR(COUNT(F39,M39)&lt;&gt;2,F39=0),"n.d.",M39/F39)</f>
        <v>0.955036234824434</v>
      </c>
      <c r="U39" s="24">
        <f>IF(OR(COUNT(G39,N39)&lt;&gt;2,G39=0),"n.d.",N39/G39)</f>
        <v>0.5387369791666666</v>
      </c>
      <c r="V39" s="22">
        <v>1576931</v>
      </c>
    </row>
    <row r="40" spans="1:23" ht="19" customHeight="1">
      <c r="A40" s="18" t="s">
        <v>38</v>
      </c>
      <c r="B40" s="18" t="s">
        <v>179</v>
      </c>
      <c r="C40" s="18" t="s">
        <v>11</v>
      </c>
      <c r="D40" s="18" t="s">
        <v>174</v>
      </c>
      <c r="E40" s="25">
        <v>46143</v>
      </c>
      <c r="F40" s="22">
        <v>1240718</v>
      </c>
      <c r="G40" s="26">
        <v>2893</v>
      </c>
      <c r="H40" s="22">
        <v>60314</v>
      </c>
      <c r="I40" s="22">
        <v>0</v>
      </c>
      <c r="J40" s="22">
        <v>1106252</v>
      </c>
      <c r="K40" s="23" t="s">
        <v>39</v>
      </c>
      <c r="L40" s="23" t="s">
        <v>39</v>
      </c>
      <c r="M40" s="22">
        <f>V40</f>
        <v>1166565.0</v>
      </c>
      <c r="N40" s="26">
        <v>1047</v>
      </c>
      <c r="O40" s="22">
        <f>IF(COUNT(F40,M40)=2,F40-M40,"n.d.")</f>
        <v>74153.0</v>
      </c>
      <c r="P40" s="26">
        <f>IF(COUNT(G40,N40)=2,G40-N40,"n.d.")</f>
        <v>1846.0</v>
      </c>
      <c r="Q40" s="27">
        <f>IF(COUNTIFS('Taux'!$A$6:$A$20,A40,'Taux'!$B$6:$B$20,D40)=1,SUMIFS('Taux'!$D$6:$D$20,'Taux'!$A$6:$A$20,A40,'Taux'!$B$6:$B$20,D40),"n.d.")</f>
        <v>1</v>
      </c>
      <c r="R40" s="22">
        <f>IF(COUNT(F40,Q40)=2,F40/Q40,"n.d.")</f>
        <v>1240718.0</v>
      </c>
      <c r="S40" s="22">
        <f>IF(COUNT(M40,Q40)=2,M40/Q40,"n.d.")</f>
        <v>1166565.0</v>
      </c>
      <c r="T40" s="24">
        <f>IF(OR(COUNT(F40,M40)&lt;&gt;2,F40=0),"n.d.",M40/F40)</f>
        <v>0.9402338001060676</v>
      </c>
      <c r="U40" s="24">
        <f>IF(OR(COUNT(G40,N40)&lt;&gt;2,G40=0),"n.d.",N40/G40)</f>
        <v>0.36190805392326303</v>
      </c>
      <c r="V40" s="22">
        <v>1166565</v>
      </c>
    </row>
    <row r="41" spans="1:23" ht="19" customHeight="1">
      <c r="A41" s="18" t="s">
        <v>38</v>
      </c>
      <c r="B41" s="18" t="s">
        <v>179</v>
      </c>
      <c r="C41" s="18" t="s">
        <v>11</v>
      </c>
      <c r="D41" s="18" t="s">
        <v>174</v>
      </c>
      <c r="E41" s="25">
        <v>46174</v>
      </c>
      <c r="F41" s="22">
        <v>1121255</v>
      </c>
      <c r="G41" s="26">
        <v>4456</v>
      </c>
      <c r="H41" s="22">
        <v>13985</v>
      </c>
      <c r="I41" s="22">
        <v>0</v>
      </c>
      <c r="J41" s="22">
        <v>889066</v>
      </c>
      <c r="K41" s="23" t="s">
        <v>39</v>
      </c>
      <c r="L41" s="23" t="s">
        <v>39</v>
      </c>
      <c r="M41" s="22">
        <f>V41</f>
        <v>903051.0</v>
      </c>
      <c r="N41" s="26">
        <v>558</v>
      </c>
      <c r="O41" s="22">
        <f>IF(COUNT(F41,M41)=2,F41-M41,"n.d.")</f>
        <v>218204.0</v>
      </c>
      <c r="P41" s="26">
        <f>IF(COUNT(G41,N41)=2,G41-N41,"n.d.")</f>
        <v>3898.0</v>
      </c>
      <c r="Q41" s="27">
        <f>IF(COUNTIFS('Taux'!$A$6:$A$20,A41,'Taux'!$B$6:$B$20,D41)=1,SUMIFS('Taux'!$D$6:$D$20,'Taux'!$A$6:$A$20,A41,'Taux'!$B$6:$B$20,D41),"n.d.")</f>
        <v>1</v>
      </c>
      <c r="R41" s="22">
        <f>IF(COUNT(F41,Q41)=2,F41/Q41,"n.d.")</f>
        <v>1121255.0</v>
      </c>
      <c r="S41" s="22">
        <f>IF(COUNT(M41,Q41)=2,M41/Q41,"n.d.")</f>
        <v>903051.0</v>
      </c>
      <c r="T41" s="24">
        <f>IF(OR(COUNT(F41,M41)&lt;&gt;2,F41=0),"n.d.",M41/F41)</f>
        <v>0.805393064022011</v>
      </c>
      <c r="U41" s="24">
        <f>IF(OR(COUNT(G41,N41)&lt;&gt;2,G41=0),"n.d.",N41/G41)</f>
        <v>0.12522441651705565</v>
      </c>
      <c r="V41" s="22">
        <v>903051</v>
      </c>
    </row>
    <row r="42" spans="1:23" ht="19" customHeight="1">
      <c r="A42" s="18" t="s">
        <v>38</v>
      </c>
      <c r="B42" s="18" t="s">
        <v>13</v>
      </c>
      <c r="C42" s="18" t="s">
        <v>13</v>
      </c>
      <c r="D42" s="18" t="s">
        <v>181</v>
      </c>
      <c r="E42" s="25">
        <v>46023</v>
      </c>
      <c r="F42" s="22">
        <v>120716</v>
      </c>
      <c r="G42" s="26">
        <v>6628</v>
      </c>
      <c r="H42" s="22">
        <v>74534</v>
      </c>
      <c r="I42" s="22">
        <v>1787</v>
      </c>
      <c r="J42" s="22">
        <v>4945</v>
      </c>
      <c r="K42" s="23" t="s">
        <v>39</v>
      </c>
      <c r="L42" s="23" t="s">
        <v>39</v>
      </c>
      <c r="M42" s="22">
        <f>V42</f>
        <v>81266.0</v>
      </c>
      <c r="N42" s="26">
        <v>1997</v>
      </c>
      <c r="O42" s="22">
        <f>IF(COUNT(F42,M42)=2,F42-M42,"n.d.")</f>
        <v>39450.0</v>
      </c>
      <c r="P42" s="26">
        <f>IF(COUNT(G42,N42)=2,G42-N42,"n.d.")</f>
        <v>4631.0</v>
      </c>
      <c r="Q42" s="27">
        <f>IF(COUNTIFS('Taux'!$A$6:$A$20,A42,'Taux'!$B$6:$B$20,D42)=1,SUMIFS('Taux'!$D$6:$D$20,'Taux'!$A$6:$A$20,A42,'Taux'!$B$6:$B$20,D42),"n.d.")</f>
        <v>0.85443381</v>
      </c>
      <c r="R42" s="22">
        <f>IF(COUNT(F42,Q42)=2,F42/Q42,"n.d.")</f>
        <v>141281.86243004593</v>
      </c>
      <c r="S42" s="22">
        <f>IF(COUNT(M42,Q42)=2,M42/Q42,"n.d.")</f>
        <v>95110.9366798114</v>
      </c>
      <c r="T42" s="24">
        <f>IF(OR(COUNT(F42,M42)&lt;&gt;2,F42=0),"n.d.",M42/F42)</f>
        <v>0.6731999072202525</v>
      </c>
      <c r="U42" s="24">
        <f>IF(OR(COUNT(G42,N42)&lt;&gt;2,G42=0),"n.d.",N42/G42)</f>
        <v>0.30129752564876283</v>
      </c>
      <c r="V42" s="22">
        <v>81266</v>
      </c>
    </row>
    <row r="43" spans="1:23" ht="19" customHeight="1">
      <c r="A43" s="18" t="s">
        <v>38</v>
      </c>
      <c r="B43" s="18" t="s">
        <v>13</v>
      </c>
      <c r="C43" s="18" t="s">
        <v>13</v>
      </c>
      <c r="D43" s="18" t="s">
        <v>181</v>
      </c>
      <c r="E43" s="25">
        <v>46054</v>
      </c>
      <c r="F43" s="22">
        <v>163584</v>
      </c>
      <c r="G43" s="26">
        <v>2794</v>
      </c>
      <c r="H43" s="22">
        <v>110208</v>
      </c>
      <c r="I43" s="22">
        <v>4596</v>
      </c>
      <c r="J43" s="22">
        <v>3156</v>
      </c>
      <c r="K43" s="23" t="s">
        <v>39</v>
      </c>
      <c r="L43" s="23" t="s">
        <v>39</v>
      </c>
      <c r="M43" s="22">
        <f>V43</f>
        <v>117960.0</v>
      </c>
      <c r="N43" s="26">
        <v>1671</v>
      </c>
      <c r="O43" s="22">
        <f>IF(COUNT(F43,M43)=2,F43-M43,"n.d.")</f>
        <v>45624.0</v>
      </c>
      <c r="P43" s="26">
        <f>IF(COUNT(G43,N43)=2,G43-N43,"n.d.")</f>
        <v>1123.0</v>
      </c>
      <c r="Q43" s="27">
        <f>IF(COUNTIFS('Taux'!$A$6:$A$20,A43,'Taux'!$B$6:$B$20,D43)=1,SUMIFS('Taux'!$D$6:$D$20,'Taux'!$A$6:$A$20,A43,'Taux'!$B$6:$B$20,D43),"n.d.")</f>
        <v>0.85443381</v>
      </c>
      <c r="R43" s="22">
        <f>IF(COUNT(F43,Q43)=2,F43/Q43,"n.d.")</f>
        <v>191453.09804629572</v>
      </c>
      <c r="S43" s="22">
        <f>IF(COUNT(M43,Q43)=2,M43/Q43,"n.d.")</f>
        <v>138056.3346387241</v>
      </c>
      <c r="T43" s="24">
        <f>IF(OR(COUNT(F43,M43)&lt;&gt;2,F43=0),"n.d.",M43/F43)</f>
        <v>0.7210974178403756</v>
      </c>
      <c r="U43" s="24">
        <f>IF(OR(COUNT(G43,N43)&lt;&gt;2,G43=0),"n.d.",N43/G43)</f>
        <v>0.598067287043665</v>
      </c>
      <c r="V43" s="22">
        <v>117960</v>
      </c>
    </row>
    <row r="44" spans="1:23" ht="19" customHeight="1">
      <c r="A44" s="18" t="s">
        <v>38</v>
      </c>
      <c r="B44" s="18" t="s">
        <v>13</v>
      </c>
      <c r="C44" s="18" t="s">
        <v>13</v>
      </c>
      <c r="D44" s="18" t="s">
        <v>181</v>
      </c>
      <c r="E44" s="25">
        <v>46082</v>
      </c>
      <c r="F44" s="22">
        <v>322087</v>
      </c>
      <c r="G44" s="26">
        <v>4508</v>
      </c>
      <c r="H44" s="22">
        <v>198328</v>
      </c>
      <c r="I44" s="22">
        <v>9551</v>
      </c>
      <c r="J44" s="22">
        <v>7481</v>
      </c>
      <c r="K44" s="23" t="s">
        <v>39</v>
      </c>
      <c r="L44" s="23" t="s">
        <v>39</v>
      </c>
      <c r="M44" s="22">
        <f>V44</f>
        <v>215360.0</v>
      </c>
      <c r="N44" s="26">
        <v>2671</v>
      </c>
      <c r="O44" s="22">
        <f>IF(COUNT(F44,M44)=2,F44-M44,"n.d.")</f>
        <v>106727.0</v>
      </c>
      <c r="P44" s="26">
        <f>IF(COUNT(G44,N44)=2,G44-N44,"n.d.")</f>
        <v>1837.0</v>
      </c>
      <c r="Q44" s="27">
        <f>IF(COUNTIFS('Taux'!$A$6:$A$20,A44,'Taux'!$B$6:$B$20,D44)=1,SUMIFS('Taux'!$D$6:$D$20,'Taux'!$A$6:$A$20,A44,'Taux'!$B$6:$B$20,D44),"n.d.")</f>
        <v>0.85443381</v>
      </c>
      <c r="R44" s="22">
        <f>IF(COUNT(F44,Q44)=2,F44/Q44,"n.d.")</f>
        <v>376959.5681144687</v>
      </c>
      <c r="S44" s="22">
        <f>IF(COUNT(M44,Q44)=2,M44/Q44,"n.d.")</f>
        <v>252049.9510664261</v>
      </c>
      <c r="T44" s="24">
        <f>IF(OR(COUNT(F44,M44)&lt;&gt;2,F44=0),"n.d.",M44/F44)</f>
        <v>0.6686392185962178</v>
      </c>
      <c r="U44" s="24">
        <f>IF(OR(COUNT(G44,N44)&lt;&gt;2,G44=0),"n.d.",N44/G44)</f>
        <v>0.5925022182786158</v>
      </c>
      <c r="V44" s="22">
        <v>215360</v>
      </c>
    </row>
    <row r="45" spans="1:23" ht="19" customHeight="1">
      <c r="A45" s="18" t="s">
        <v>38</v>
      </c>
      <c r="B45" s="18" t="s">
        <v>13</v>
      </c>
      <c r="C45" s="18" t="s">
        <v>13</v>
      </c>
      <c r="D45" s="18" t="s">
        <v>181</v>
      </c>
      <c r="E45" s="25">
        <v>46113</v>
      </c>
      <c r="F45" s="22">
        <v>88184</v>
      </c>
      <c r="G45" s="26">
        <v>1560</v>
      </c>
      <c r="H45" s="22">
        <v>54089</v>
      </c>
      <c r="I45" s="22">
        <v>2351</v>
      </c>
      <c r="J45" s="22">
        <v>1474</v>
      </c>
      <c r="K45" s="23" t="s">
        <v>39</v>
      </c>
      <c r="L45" s="23" t="s">
        <v>39</v>
      </c>
      <c r="M45" s="22">
        <f>V45</f>
        <v>57914.0</v>
      </c>
      <c r="N45" s="26">
        <v>873</v>
      </c>
      <c r="O45" s="22">
        <f>IF(COUNT(F45,M45)=2,F45-M45,"n.d.")</f>
        <v>30270.0</v>
      </c>
      <c r="P45" s="26">
        <f>IF(COUNT(G45,N45)=2,G45-N45,"n.d.")</f>
        <v>687.0</v>
      </c>
      <c r="Q45" s="27">
        <f>IF(COUNTIFS('Taux'!$A$6:$A$20,A45,'Taux'!$B$6:$B$20,D45)=1,SUMIFS('Taux'!$D$6:$D$20,'Taux'!$A$6:$A$20,A45,'Taux'!$B$6:$B$20,D45),"n.d.")</f>
        <v>0.85443381</v>
      </c>
      <c r="R45" s="22">
        <f>IF(COUNT(F45,Q45)=2,F45/Q45,"n.d.")</f>
        <v>103207.52639692478</v>
      </c>
      <c r="S45" s="22">
        <f>IF(COUNT(M45,Q45)=2,M45/Q45,"n.d.")</f>
        <v>67780.55751328473</v>
      </c>
      <c r="T45" s="24">
        <f>IF(OR(COUNT(F45,M45)&lt;&gt;2,F45=0),"n.d.",M45/F45)</f>
        <v>0.6567404517826363</v>
      </c>
      <c r="U45" s="24">
        <f>IF(OR(COUNT(G45,N45)&lt;&gt;2,G45=0),"n.d.",N45/G45)</f>
        <v>0.5596153846153846</v>
      </c>
      <c r="V45" s="22">
        <v>57914</v>
      </c>
    </row>
    <row r="46" spans="1:23" ht="19" customHeight="1">
      <c r="A46" s="18" t="s">
        <v>38</v>
      </c>
      <c r="B46" s="18" t="s">
        <v>13</v>
      </c>
      <c r="C46" s="18" t="s">
        <v>13</v>
      </c>
      <c r="D46" s="18" t="s">
        <v>181</v>
      </c>
      <c r="E46" s="25">
        <v>46143</v>
      </c>
      <c r="F46" s="22">
        <v>53856</v>
      </c>
      <c r="G46" s="26">
        <v>2385</v>
      </c>
      <c r="H46" s="22">
        <v>19392</v>
      </c>
      <c r="I46" s="22">
        <v>2283</v>
      </c>
      <c r="J46" s="22">
        <v>1879</v>
      </c>
      <c r="K46" s="23" t="s">
        <v>39</v>
      </c>
      <c r="L46" s="23" t="s">
        <v>39</v>
      </c>
      <c r="M46" s="22">
        <f>V46</f>
        <v>23554.0</v>
      </c>
      <c r="N46" s="26">
        <v>340</v>
      </c>
      <c r="O46" s="22">
        <f>IF(COUNT(F46,M46)=2,F46-M46,"n.d.")</f>
        <v>30302.0</v>
      </c>
      <c r="P46" s="26">
        <f>IF(COUNT(G46,N46)=2,G46-N46,"n.d.")</f>
        <v>2045.0</v>
      </c>
      <c r="Q46" s="27">
        <f>IF(COUNTIFS('Taux'!$A$6:$A$20,A46,'Taux'!$B$6:$B$20,D46)=1,SUMIFS('Taux'!$D$6:$D$20,'Taux'!$A$6:$A$20,A46,'Taux'!$B$6:$B$20,D46),"n.d.")</f>
        <v>0.85443381</v>
      </c>
      <c r="R46" s="22">
        <f>IF(COUNT(F46,Q46)=2,F46/Q46,"n.d.")</f>
        <v>63031.2136173544</v>
      </c>
      <c r="S46" s="22">
        <f>IF(COUNT(M46,Q46)=2,M46/Q46,"n.d.")</f>
        <v>27566.79303221861</v>
      </c>
      <c r="T46" s="24">
        <f>IF(OR(COUNT(F46,M46)&lt;&gt;2,F46=0),"n.d.",M46/F46)</f>
        <v>0.4373514557338087</v>
      </c>
      <c r="U46" s="24">
        <f>IF(OR(COUNT(G46,N46)&lt;&gt;2,G46=0),"n.d.",N46/G46)</f>
        <v>0.14255765199161424</v>
      </c>
      <c r="V46" s="22">
        <v>23554</v>
      </c>
    </row>
    <row r="47" spans="1:23" ht="19" customHeight="1">
      <c r="A47" s="18" t="s">
        <v>38</v>
      </c>
      <c r="B47" s="18" t="s">
        <v>13</v>
      </c>
      <c r="C47" s="18" t="s">
        <v>13</v>
      </c>
      <c r="D47" s="18" t="s">
        <v>181</v>
      </c>
      <c r="E47" s="25">
        <v>46174</v>
      </c>
      <c r="F47" s="22">
        <v>55879</v>
      </c>
      <c r="G47" s="26">
        <v>3487</v>
      </c>
      <c r="H47" s="22">
        <v>0</v>
      </c>
      <c r="I47" s="22">
        <v>1338</v>
      </c>
      <c r="J47" s="22">
        <v>6306</v>
      </c>
      <c r="K47" s="23" t="s">
        <v>39</v>
      </c>
      <c r="L47" s="23" t="s">
        <v>39</v>
      </c>
      <c r="M47" s="22">
        <f>V47</f>
        <v>7644.0</v>
      </c>
      <c r="N47" s="26">
        <v>30</v>
      </c>
      <c r="O47" s="22">
        <f>IF(COUNT(F47,M47)=2,F47-M47,"n.d.")</f>
        <v>48235.0</v>
      </c>
      <c r="P47" s="26">
        <f>IF(COUNT(G47,N47)=2,G47-N47,"n.d.")</f>
        <v>3457.0</v>
      </c>
      <c r="Q47" s="27">
        <f>IF(COUNTIFS('Taux'!$A$6:$A$20,A47,'Taux'!$B$6:$B$20,D47)=1,SUMIFS('Taux'!$D$6:$D$20,'Taux'!$A$6:$A$20,A47,'Taux'!$B$6:$B$20,D47),"n.d.")</f>
        <v>0.85443381</v>
      </c>
      <c r="R47" s="22">
        <f>IF(COUNT(F47,Q47)=2,F47/Q47,"n.d.")</f>
        <v>65398.86337128912</v>
      </c>
      <c r="S47" s="22">
        <f>IF(COUNT(M47,Q47)=2,M47/Q47,"n.d.")</f>
        <v>8946.275194798296</v>
      </c>
      <c r="T47" s="24">
        <f>IF(OR(COUNT(F47,M47)&lt;&gt;2,F47=0),"n.d.",M47/F47)</f>
        <v>0.13679557615562196</v>
      </c>
      <c r="U47" s="24">
        <f>IF(OR(COUNT(G47,N47)&lt;&gt;2,G47=0),"n.d.",N47/G47)</f>
        <v>0.008603383997705764</v>
      </c>
      <c r="V47" s="22">
        <v>7644</v>
      </c>
    </row>
    <row r="48" spans="1:23" ht="19" customHeight="1">
      <c r="A48" s="18" t="s">
        <v>38</v>
      </c>
      <c r="B48" s="18" t="s">
        <v>176</v>
      </c>
      <c r="C48" s="18" t="s">
        <v>87</v>
      </c>
      <c r="D48" s="18" t="s">
        <v>174</v>
      </c>
      <c r="E48" s="25">
        <v>46023</v>
      </c>
      <c r="F48" s="22">
        <v>4213.139999999999</v>
      </c>
      <c r="G48" s="26">
        <v>66</v>
      </c>
      <c r="H48" s="22">
        <v>3795.499999999999</v>
      </c>
      <c r="I48" s="22">
        <v>0</v>
      </c>
      <c r="J48" s="22">
        <v>0</v>
      </c>
      <c r="K48" s="23" t="s">
        <v>39</v>
      </c>
      <c r="L48" s="23" t="s">
        <v>39</v>
      </c>
      <c r="M48" s="22">
        <f>V48</f>
        <v>3795.4999999999986</v>
      </c>
      <c r="N48" s="26">
        <v>51</v>
      </c>
      <c r="O48" s="22">
        <f>IF(COUNT(F48,M48)=2,F48-M48,"n.d.")</f>
        <v>417.6400000000008</v>
      </c>
      <c r="P48" s="26">
        <f>IF(COUNT(G48,N48)=2,G48-N48,"n.d.")</f>
        <v>15</v>
      </c>
      <c r="Q48" s="27">
        <f>IF(COUNTIFS('Taux'!$A$6:$A$20,A48,'Taux'!$B$6:$B$20,D48)=1,SUMIFS('Taux'!$D$6:$D$20,'Taux'!$A$6:$A$20,A48,'Taux'!$B$6:$B$20,D48),"n.d.")</f>
        <v>1</v>
      </c>
      <c r="R48" s="22">
        <f>IF(COUNT(F48,Q48)=2,F48/Q48,"n.d.")</f>
        <v>4213.139999999999</v>
      </c>
      <c r="S48" s="22">
        <f>IF(COUNT(M48,Q48)=2,M48/Q48,"n.d.")</f>
        <v>3795.4999999999986</v>
      </c>
      <c r="T48" s="24">
        <f>IF(OR(COUNT(F48,M48)&lt;&gt;2,F48=0),"n.d.",M48/F48)</f>
        <v>0.9008720336850898</v>
      </c>
      <c r="U48" s="24">
        <f>IF(OR(COUNT(G48,N48)&lt;&gt;2,G48=0),"n.d.",N48/G48)</f>
        <v>0.7727272727272727</v>
      </c>
      <c r="V48" s="22">
        <v>3795.499999999999</v>
      </c>
    </row>
    <row r="49" spans="1:23" ht="19" customHeight="1">
      <c r="A49" s="18" t="s">
        <v>38</v>
      </c>
      <c r="B49" s="18" t="s">
        <v>176</v>
      </c>
      <c r="C49" s="18" t="s">
        <v>87</v>
      </c>
      <c r="D49" s="18" t="s">
        <v>174</v>
      </c>
      <c r="E49" s="25">
        <v>46054</v>
      </c>
      <c r="F49" s="22">
        <v>6335.460000000001</v>
      </c>
      <c r="G49" s="26">
        <v>67</v>
      </c>
      <c r="H49" s="22">
        <v>4538.530000000001</v>
      </c>
      <c r="I49" s="22">
        <v>0</v>
      </c>
      <c r="J49" s="22">
        <v>0</v>
      </c>
      <c r="K49" s="23" t="s">
        <v>39</v>
      </c>
      <c r="L49" s="23" t="s">
        <v>39</v>
      </c>
      <c r="M49" s="22">
        <f>V49</f>
        <v>4538.530000000001</v>
      </c>
      <c r="N49" s="26">
        <v>45</v>
      </c>
      <c r="O49" s="22">
        <f>IF(COUNT(F49,M49)=2,F49-M49,"n.d.")</f>
        <v>1796.9300000000003</v>
      </c>
      <c r="P49" s="26">
        <f>IF(COUNT(G49,N49)=2,G49-N49,"n.d.")</f>
        <v>22</v>
      </c>
      <c r="Q49" s="27">
        <f>IF(COUNTIFS('Taux'!$A$6:$A$20,A49,'Taux'!$B$6:$B$20,D49)=1,SUMIFS('Taux'!$D$6:$D$20,'Taux'!$A$6:$A$20,A49,'Taux'!$B$6:$B$20,D49),"n.d.")</f>
        <v>1</v>
      </c>
      <c r="R49" s="22">
        <f>IF(COUNT(F49,Q49)=2,F49/Q49,"n.d.")</f>
        <v>6335.460000000001</v>
      </c>
      <c r="S49" s="22">
        <f>IF(COUNT(M49,Q49)=2,M49/Q49,"n.d.")</f>
        <v>4538.530000000001</v>
      </c>
      <c r="T49" s="24">
        <f>IF(OR(COUNT(F49,M49)&lt;&gt;2,F49=0),"n.d.",M49/F49)</f>
        <v>0.716369450679193</v>
      </c>
      <c r="U49" s="24">
        <f>IF(OR(COUNT(G49,N49)&lt;&gt;2,G49=0),"n.d.",N49/G49)</f>
        <v>0.6716417910447762</v>
      </c>
      <c r="V49" s="22">
        <v>4538.530000000001</v>
      </c>
    </row>
    <row r="50" spans="1:23" ht="19" customHeight="1">
      <c r="A50" s="18" t="s">
        <v>38</v>
      </c>
      <c r="B50" s="18" t="s">
        <v>176</v>
      </c>
      <c r="C50" s="18" t="s">
        <v>87</v>
      </c>
      <c r="D50" s="18" t="s">
        <v>174</v>
      </c>
      <c r="E50" s="25">
        <v>46082</v>
      </c>
      <c r="F50" s="22">
        <v>25273.23000000001</v>
      </c>
      <c r="G50" s="26">
        <v>32</v>
      </c>
      <c r="H50" s="22">
        <v>25273.23000000001</v>
      </c>
      <c r="I50" s="22">
        <v>0</v>
      </c>
      <c r="J50" s="22">
        <v>0</v>
      </c>
      <c r="K50" s="23" t="s">
        <v>39</v>
      </c>
      <c r="L50" s="23" t="s">
        <v>39</v>
      </c>
      <c r="M50" s="22">
        <f>V50</f>
        <v>25273.230000000007</v>
      </c>
      <c r="N50" s="26">
        <v>32</v>
      </c>
      <c r="O50" s="22">
        <f>IF(COUNT(F50,M50)=2,F50-M50,"n.d.")</f>
        <v>0.0</v>
      </c>
      <c r="P50" s="26">
        <f>IF(COUNT(G50,N50)=2,G50-N50,"n.d.")</f>
        <v>0</v>
      </c>
      <c r="Q50" s="27">
        <f>IF(COUNTIFS('Taux'!$A$6:$A$20,A50,'Taux'!$B$6:$B$20,D50)=1,SUMIFS('Taux'!$D$6:$D$20,'Taux'!$A$6:$A$20,A50,'Taux'!$B$6:$B$20,D50),"n.d.")</f>
        <v>1</v>
      </c>
      <c r="R50" s="22">
        <f>IF(COUNT(F50,Q50)=2,F50/Q50,"n.d.")</f>
        <v>25273.230000000007</v>
      </c>
      <c r="S50" s="22">
        <f>IF(COUNT(M50,Q50)=2,M50/Q50,"n.d.")</f>
        <v>25273.230000000007</v>
      </c>
      <c r="T50" s="24">
        <f>IF(OR(COUNT(F50,M50)&lt;&gt;2,F50=0),"n.d.",M50/F50)</f>
        <v>1.0</v>
      </c>
      <c r="U50" s="24">
        <f>IF(OR(COUNT(G50,N50)&lt;&gt;2,G50=0),"n.d.",N50/G50)</f>
        <v>1.0</v>
      </c>
      <c r="V50" s="22">
        <v>25273.23000000001</v>
      </c>
    </row>
    <row r="51" spans="1:23" ht="19" customHeight="1">
      <c r="A51" s="18" t="s">
        <v>38</v>
      </c>
      <c r="B51" s="18" t="s">
        <v>176</v>
      </c>
      <c r="C51" s="18" t="s">
        <v>87</v>
      </c>
      <c r="D51" s="18" t="s">
        <v>174</v>
      </c>
      <c r="E51" s="25">
        <v>46113</v>
      </c>
      <c r="F51" s="22">
        <v>4747.02</v>
      </c>
      <c r="G51" s="26">
        <v>42</v>
      </c>
      <c r="H51" s="22">
        <v>4747.02</v>
      </c>
      <c r="I51" s="22">
        <v>0</v>
      </c>
      <c r="J51" s="22">
        <v>0</v>
      </c>
      <c r="K51" s="23" t="s">
        <v>39</v>
      </c>
      <c r="L51" s="23" t="s">
        <v>39</v>
      </c>
      <c r="M51" s="22">
        <f>V51</f>
        <v>4747.0199999999995</v>
      </c>
      <c r="N51" s="26">
        <v>42</v>
      </c>
      <c r="O51" s="22">
        <f>IF(COUNT(F51,M51)=2,F51-M51,"n.d.")</f>
        <v>0.0</v>
      </c>
      <c r="P51" s="26">
        <f>IF(COUNT(G51,N51)=2,G51-N51,"n.d.")</f>
        <v>0</v>
      </c>
      <c r="Q51" s="27">
        <f>IF(COUNTIFS('Taux'!$A$6:$A$20,A51,'Taux'!$B$6:$B$20,D51)=1,SUMIFS('Taux'!$D$6:$D$20,'Taux'!$A$6:$A$20,A51,'Taux'!$B$6:$B$20,D51),"n.d.")</f>
        <v>1</v>
      </c>
      <c r="R51" s="22">
        <f>IF(COUNT(F51,Q51)=2,F51/Q51,"n.d.")</f>
        <v>4747.0199999999995</v>
      </c>
      <c r="S51" s="22">
        <f>IF(COUNT(M51,Q51)=2,M51/Q51,"n.d.")</f>
        <v>4747.0199999999995</v>
      </c>
      <c r="T51" s="24">
        <f>IF(OR(COUNT(F51,M51)&lt;&gt;2,F51=0),"n.d.",M51/F51)</f>
        <v>1.0</v>
      </c>
      <c r="U51" s="24">
        <f>IF(OR(COUNT(G51,N51)&lt;&gt;2,G51=0),"n.d.",N51/G51)</f>
        <v>1.0</v>
      </c>
      <c r="V51" s="22">
        <v>4747.02</v>
      </c>
    </row>
    <row r="52" spans="1:23" ht="19" customHeight="1">
      <c r="A52" s="18" t="s">
        <v>38</v>
      </c>
      <c r="B52" s="18" t="s">
        <v>176</v>
      </c>
      <c r="C52" s="18" t="s">
        <v>87</v>
      </c>
      <c r="D52" s="18" t="s">
        <v>174</v>
      </c>
      <c r="E52" s="25">
        <v>46143</v>
      </c>
      <c r="F52" s="22">
        <v>11020.09</v>
      </c>
      <c r="G52" s="26">
        <v>30</v>
      </c>
      <c r="H52" s="22">
        <v>11005.86</v>
      </c>
      <c r="I52" s="22">
        <v>0</v>
      </c>
      <c r="J52" s="22">
        <v>0</v>
      </c>
      <c r="K52" s="23" t="s">
        <v>39</v>
      </c>
      <c r="L52" s="23" t="s">
        <v>39</v>
      </c>
      <c r="M52" s="22">
        <f>V52</f>
        <v>11005.86</v>
      </c>
      <c r="N52" s="26">
        <v>29</v>
      </c>
      <c r="O52" s="22">
        <f>IF(COUNT(F52,M52)=2,F52-M52,"n.d.")</f>
        <v>14.229999999999563</v>
      </c>
      <c r="P52" s="26">
        <f>IF(COUNT(G52,N52)=2,G52-N52,"n.d.")</f>
        <v>1</v>
      </c>
      <c r="Q52" s="27">
        <f>IF(COUNTIFS('Taux'!$A$6:$A$20,A52,'Taux'!$B$6:$B$20,D52)=1,SUMIFS('Taux'!$D$6:$D$20,'Taux'!$A$6:$A$20,A52,'Taux'!$B$6:$B$20,D52),"n.d.")</f>
        <v>1</v>
      </c>
      <c r="R52" s="22">
        <f>IF(COUNT(F52,Q52)=2,F52/Q52,"n.d.")</f>
        <v>11020.09</v>
      </c>
      <c r="S52" s="22">
        <f>IF(COUNT(M52,Q52)=2,M52/Q52,"n.d.")</f>
        <v>11005.86</v>
      </c>
      <c r="T52" s="24">
        <f>IF(OR(COUNT(F52,M52)&lt;&gt;2,F52=0),"n.d.",M52/F52)</f>
        <v>0.9987087219795846</v>
      </c>
      <c r="U52" s="24">
        <f>IF(OR(COUNT(G52,N52)&lt;&gt;2,G52=0),"n.d.",N52/G52)</f>
        <v>0.9666666666666667</v>
      </c>
      <c r="V52" s="22">
        <v>11005.86</v>
      </c>
    </row>
    <row r="53" spans="1:23" ht="19" customHeight="1">
      <c r="A53" s="18" t="s">
        <v>38</v>
      </c>
      <c r="B53" s="18" t="s">
        <v>176</v>
      </c>
      <c r="C53" s="18" t="s">
        <v>87</v>
      </c>
      <c r="D53" s="18" t="s">
        <v>174</v>
      </c>
      <c r="E53" s="25">
        <v>46174</v>
      </c>
      <c r="F53" s="22">
        <v>3156.52</v>
      </c>
      <c r="G53" s="26">
        <v>27</v>
      </c>
      <c r="H53" s="22">
        <v>0</v>
      </c>
      <c r="I53" s="22">
        <v>0</v>
      </c>
      <c r="J53" s="22">
        <v>0</v>
      </c>
      <c r="K53" s="23" t="s">
        <v>39</v>
      </c>
      <c r="L53" s="23" t="s">
        <v>39</v>
      </c>
      <c r="M53" s="22">
        <f>V53</f>
        <v>0</v>
      </c>
      <c r="N53" s="26">
        <v>0</v>
      </c>
      <c r="O53" s="22">
        <f>IF(COUNT(F53,M53)=2,F53-M53,"n.d.")</f>
        <v>3156.52</v>
      </c>
      <c r="P53" s="26">
        <f>IF(COUNT(G53,N53)=2,G53-N53,"n.d.")</f>
        <v>27</v>
      </c>
      <c r="Q53" s="27">
        <f>IF(COUNTIFS('Taux'!$A$6:$A$20,A53,'Taux'!$B$6:$B$20,D53)=1,SUMIFS('Taux'!$D$6:$D$20,'Taux'!$A$6:$A$20,A53,'Taux'!$B$6:$B$20,D53),"n.d.")</f>
        <v>1</v>
      </c>
      <c r="R53" s="22">
        <f>IF(COUNT(F53,Q53)=2,F53/Q53,"n.d.")</f>
        <v>3156.52</v>
      </c>
      <c r="S53" s="22">
        <f>IF(COUNT(M53,Q53)=2,M53/Q53,"n.d.")</f>
        <v>0.0</v>
      </c>
      <c r="T53" s="24">
        <f>IF(OR(COUNT(F53,M53)&lt;&gt;2,F53=0),"n.d.",M53/F53)</f>
        <v>0.0</v>
      </c>
      <c r="U53" s="24">
        <f>IF(OR(COUNT(G53,N53)&lt;&gt;2,G53=0),"n.d.",N53/G53)</f>
        <v>0.0</v>
      </c>
      <c r="V53" s="22">
        <v>0</v>
      </c>
    </row>
    <row r="54" spans="1:23" ht="19" customHeight="1">
      <c r="A54" s="18" t="s">
        <v>38</v>
      </c>
      <c r="B54" s="18" t="s">
        <v>187</v>
      </c>
      <c r="C54" s="18" t="s">
        <v>17</v>
      </c>
      <c r="D54" s="18" t="s">
        <v>188</v>
      </c>
      <c r="E54" s="25">
        <v>46023</v>
      </c>
      <c r="F54" s="22">
        <v>130636.08</v>
      </c>
      <c r="G54" s="26">
        <v>394</v>
      </c>
      <c r="H54" s="22">
        <v>119420</v>
      </c>
      <c r="I54" s="23" t="s">
        <v>39</v>
      </c>
      <c r="J54" s="23" t="s">
        <v>39</v>
      </c>
      <c r="K54" s="22">
        <v>0</v>
      </c>
      <c r="L54" s="22">
        <v>11216.08</v>
      </c>
      <c r="M54" s="22">
        <f>V54</f>
        <v>130636.08000000005</v>
      </c>
      <c r="N54" s="26">
        <v>394</v>
      </c>
      <c r="O54" s="22">
        <f>IF(COUNT(F54,M54)=2,F54-M54,"n.d.")</f>
        <v>0.0</v>
      </c>
      <c r="P54" s="26">
        <f>IF(COUNT(G54,N54)=2,G54-N54,"n.d.")</f>
        <v>0</v>
      </c>
      <c r="Q54" s="27">
        <f>IF(COUNTIFS('Taux'!$A$6:$A$20,A54,'Taux'!$B$6:$B$20,D54)=1,SUMIFS('Taux'!$D$6:$D$20,'Taux'!$A$6:$A$20,A54,'Taux'!$B$6:$B$20,D54),"n.d.")</f>
        <v>7.47595715</v>
      </c>
      <c r="R54" s="22">
        <f>IF(COUNT(F54,Q54)=2,F54/Q54,"n.d.")</f>
        <v>17474.161151391836</v>
      </c>
      <c r="S54" s="22">
        <f>IF(COUNT(M54,Q54)=2,M54/Q54,"n.d.")</f>
        <v>17474.161151391836</v>
      </c>
      <c r="T54" s="24">
        <f>IF(OR(COUNT(F54,M54)&lt;&gt;2,F54=0),"n.d.",M54/F54)</f>
        <v>1.0</v>
      </c>
      <c r="U54" s="24">
        <f>IF(OR(COUNT(G54,N54)&lt;&gt;2,G54=0),"n.d.",N54/G54)</f>
        <v>1.0</v>
      </c>
      <c r="V54" s="22">
        <v>130636.08</v>
      </c>
    </row>
    <row r="55" spans="1:23" ht="19" customHeight="1">
      <c r="A55" s="18" t="s">
        <v>38</v>
      </c>
      <c r="B55" s="18" t="s">
        <v>187</v>
      </c>
      <c r="C55" s="18" t="s">
        <v>17</v>
      </c>
      <c r="D55" s="18" t="s">
        <v>188</v>
      </c>
      <c r="E55" s="25">
        <v>46054</v>
      </c>
      <c r="F55" s="22">
        <v>256641.26</v>
      </c>
      <c r="G55" s="26">
        <v>400</v>
      </c>
      <c r="H55" s="22">
        <v>99095.89999999998</v>
      </c>
      <c r="I55" s="23" t="s">
        <v>39</v>
      </c>
      <c r="J55" s="23" t="s">
        <v>39</v>
      </c>
      <c r="K55" s="22">
        <v>0</v>
      </c>
      <c r="L55" s="22">
        <v>156607.86</v>
      </c>
      <c r="M55" s="22">
        <f>V55</f>
        <v>255703.75999999995</v>
      </c>
      <c r="N55" s="26">
        <v>399</v>
      </c>
      <c r="O55" s="22">
        <f>IF(COUNT(F55,M55)=2,F55-M55,"n.d.")</f>
        <v>937.5000000000873</v>
      </c>
      <c r="P55" s="26">
        <f>IF(COUNT(G55,N55)=2,G55-N55,"n.d.")</f>
        <v>1</v>
      </c>
      <c r="Q55" s="27">
        <f>IF(COUNTIFS('Taux'!$A$6:$A$20,A55,'Taux'!$B$6:$B$20,D55)=1,SUMIFS('Taux'!$D$6:$D$20,'Taux'!$A$6:$A$20,A55,'Taux'!$B$6:$B$20,D55),"n.d.")</f>
        <v>7.47595715</v>
      </c>
      <c r="R55" s="22">
        <f>IF(COUNT(F55,Q55)=2,F55/Q55,"n.d.")</f>
        <v>34328.883225340585</v>
      </c>
      <c r="S55" s="22">
        <f>IF(COUNT(M55,Q55)=2,M55/Q55,"n.d.")</f>
        <v>34203.48122246794</v>
      </c>
      <c r="T55" s="24">
        <f>IF(OR(COUNT(F55,M55)&lt;&gt;2,F55=0),"n.d.",M55/F55)</f>
        <v>0.9963470410019025</v>
      </c>
      <c r="U55" s="24">
        <f>IF(OR(COUNT(G55,N55)&lt;&gt;2,G55=0),"n.d.",N55/G55)</f>
        <v>0.9975</v>
      </c>
      <c r="V55" s="22">
        <v>255703.76</v>
      </c>
    </row>
    <row r="56" spans="1:23" ht="19" customHeight="1">
      <c r="A56" s="18" t="s">
        <v>38</v>
      </c>
      <c r="B56" s="18" t="s">
        <v>187</v>
      </c>
      <c r="C56" s="18" t="s">
        <v>17</v>
      </c>
      <c r="D56" s="18" t="s">
        <v>188</v>
      </c>
      <c r="E56" s="25">
        <v>46082</v>
      </c>
      <c r="F56" s="22">
        <v>111294.4299999999</v>
      </c>
      <c r="G56" s="26">
        <v>372</v>
      </c>
      <c r="H56" s="22">
        <v>93872.86999999992</v>
      </c>
      <c r="I56" s="23" t="s">
        <v>39</v>
      </c>
      <c r="J56" s="23" t="s">
        <v>39</v>
      </c>
      <c r="K56" s="22">
        <v>0</v>
      </c>
      <c r="L56" s="22">
        <v>14652.77</v>
      </c>
      <c r="M56" s="22">
        <f>V56</f>
        <v>108525.63999999993</v>
      </c>
      <c r="N56" s="26">
        <v>367</v>
      </c>
      <c r="O56" s="22">
        <f>IF(COUNT(F56,M56)=2,F56-M56,"n.d.")</f>
        <v>2768.7899999999936</v>
      </c>
      <c r="P56" s="26">
        <f>IF(COUNT(G56,N56)=2,G56-N56,"n.d.")</f>
        <v>5</v>
      </c>
      <c r="Q56" s="27">
        <f>IF(COUNTIFS('Taux'!$A$6:$A$20,A56,'Taux'!$B$6:$B$20,D56)=1,SUMIFS('Taux'!$D$6:$D$20,'Taux'!$A$6:$A$20,A56,'Taux'!$B$6:$B$20,D56),"n.d.")</f>
        <v>7.47595715</v>
      </c>
      <c r="R56" s="22">
        <f>IF(COUNT(F56,Q56)=2,F56/Q56,"n.d.")</f>
        <v>14886.980725939544</v>
      </c>
      <c r="S56" s="22">
        <f>IF(COUNT(M56,Q56)=2,M56/Q56,"n.d.")</f>
        <v>14516.621460303571</v>
      </c>
      <c r="T56" s="24">
        <f>IF(OR(COUNT(F56,M56)&lt;&gt;2,F56=0),"n.d.",M56/F56)</f>
        <v>0.9751219355721576</v>
      </c>
      <c r="U56" s="24">
        <f>IF(OR(COUNT(G56,N56)&lt;&gt;2,G56=0),"n.d.",N56/G56)</f>
        <v>0.9865591397849462</v>
      </c>
      <c r="V56" s="22">
        <v>108525.6399999999</v>
      </c>
    </row>
    <row r="57" spans="1:23" ht="19" customHeight="1">
      <c r="A57" s="18" t="s">
        <v>38</v>
      </c>
      <c r="B57" s="18" t="s">
        <v>187</v>
      </c>
      <c r="C57" s="18" t="s">
        <v>17</v>
      </c>
      <c r="D57" s="18" t="s">
        <v>188</v>
      </c>
      <c r="E57" s="25">
        <v>46113</v>
      </c>
      <c r="F57" s="22">
        <v>112393.3500000001</v>
      </c>
      <c r="G57" s="26">
        <v>359</v>
      </c>
      <c r="H57" s="22">
        <v>78374.69000000002</v>
      </c>
      <c r="I57" s="23" t="s">
        <v>39</v>
      </c>
      <c r="J57" s="23" t="s">
        <v>39</v>
      </c>
      <c r="K57" s="22">
        <v>0</v>
      </c>
      <c r="L57" s="22">
        <v>12653.27</v>
      </c>
      <c r="M57" s="22">
        <f>V57</f>
        <v>91027.96000000002</v>
      </c>
      <c r="N57" s="26">
        <v>223</v>
      </c>
      <c r="O57" s="22">
        <f>IF(COUNT(F57,M57)=2,F57-M57,"n.d.")</f>
        <v>21365.390000000043</v>
      </c>
      <c r="P57" s="26">
        <f>IF(COUNT(G57,N57)=2,G57-N57,"n.d.")</f>
        <v>136</v>
      </c>
      <c r="Q57" s="27">
        <f>IF(COUNTIFS('Taux'!$A$6:$A$20,A57,'Taux'!$B$6:$B$20,D57)=1,SUMIFS('Taux'!$D$6:$D$20,'Taux'!$A$6:$A$20,A57,'Taux'!$B$6:$B$20,D57),"n.d.")</f>
        <v>7.47595715</v>
      </c>
      <c r="R57" s="22">
        <f>IF(COUNT(F57,Q57)=2,F57/Q57,"n.d.")</f>
        <v>15033.974612869479</v>
      </c>
      <c r="S57" s="22">
        <f>IF(COUNT(M57,Q57)=2,M57/Q57,"n.d.")</f>
        <v>12176.094401504162</v>
      </c>
      <c r="T57" s="24">
        <f>IF(OR(COUNT(F57,M57)&lt;&gt;2,F57=0),"n.d.",M57/F57)</f>
        <v>0.8099052123635426</v>
      </c>
      <c r="U57" s="24">
        <f>IF(OR(COUNT(G57,N57)&lt;&gt;2,G57=0),"n.d.",N57/G57)</f>
        <v>0.6211699164345403</v>
      </c>
      <c r="V57" s="22">
        <v>91027.96000000002</v>
      </c>
    </row>
    <row r="58" spans="1:23" ht="19" customHeight="1">
      <c r="A58" s="18" t="s">
        <v>38</v>
      </c>
      <c r="B58" s="18" t="s">
        <v>187</v>
      </c>
      <c r="C58" s="18" t="s">
        <v>17</v>
      </c>
      <c r="D58" s="18" t="s">
        <v>188</v>
      </c>
      <c r="E58" s="25">
        <v>46143</v>
      </c>
      <c r="F58" s="22">
        <v>162509.23</v>
      </c>
      <c r="G58" s="26">
        <v>361</v>
      </c>
      <c r="H58" s="22">
        <v>28482.28</v>
      </c>
      <c r="I58" s="23" t="s">
        <v>39</v>
      </c>
      <c r="J58" s="23" t="s">
        <v>39</v>
      </c>
      <c r="K58" s="22">
        <v>0</v>
      </c>
      <c r="L58" s="22">
        <v>36540.14</v>
      </c>
      <c r="M58" s="22">
        <f>V58</f>
        <v>65022.42</v>
      </c>
      <c r="N58" s="26">
        <v>69</v>
      </c>
      <c r="O58" s="22">
        <f>IF(COUNT(F58,M58)=2,F58-M58,"n.d.")</f>
        <v>97486.80999999998</v>
      </c>
      <c r="P58" s="26">
        <f>IF(COUNT(G58,N58)=2,G58-N58,"n.d.")</f>
        <v>292</v>
      </c>
      <c r="Q58" s="27">
        <f>IF(COUNTIFS('Taux'!$A$6:$A$20,A58,'Taux'!$B$6:$B$20,D58)=1,SUMIFS('Taux'!$D$6:$D$20,'Taux'!$A$6:$A$20,A58,'Taux'!$B$6:$B$20,D58),"n.d.")</f>
        <v>7.47595715</v>
      </c>
      <c r="R58" s="22">
        <f>IF(COUNT(F58,Q58)=2,F58/Q58,"n.d.")</f>
        <v>21737.581789109103</v>
      </c>
      <c r="S58" s="22">
        <f>IF(COUNT(M58,Q58)=2,M58/Q58,"n.d.")</f>
        <v>8697.537812934093</v>
      </c>
      <c r="T58" s="24">
        <f>IF(OR(COUNT(F58,M58)&lt;&gt;2,F58=0),"n.d.",M58/F58)</f>
        <v>0.4001152426849848</v>
      </c>
      <c r="U58" s="24">
        <f>IF(OR(COUNT(G58,N58)&lt;&gt;2,G58=0),"n.d.",N58/G58)</f>
        <v>0.19113573407202217</v>
      </c>
      <c r="V58" s="22">
        <v>65022.42</v>
      </c>
    </row>
    <row r="59" spans="1:23" ht="19" customHeight="1">
      <c r="A59" s="18" t="s">
        <v>38</v>
      </c>
      <c r="B59" s="18" t="s">
        <v>187</v>
      </c>
      <c r="C59" s="18" t="s">
        <v>17</v>
      </c>
      <c r="D59" s="18" t="s">
        <v>188</v>
      </c>
      <c r="E59" s="25">
        <v>46174</v>
      </c>
      <c r="F59" s="22">
        <v>87448.33000000007</v>
      </c>
      <c r="G59" s="26">
        <v>296</v>
      </c>
      <c r="H59" s="22">
        <v>12784.95</v>
      </c>
      <c r="I59" s="23" t="s">
        <v>39</v>
      </c>
      <c r="J59" s="23" t="s">
        <v>39</v>
      </c>
      <c r="K59" s="22">
        <v>0</v>
      </c>
      <c r="L59" s="22">
        <v>14924.06</v>
      </c>
      <c r="M59" s="22">
        <f>V59</f>
        <v>27709.009999999995</v>
      </c>
      <c r="N59" s="26">
        <v>38</v>
      </c>
      <c r="O59" s="22">
        <f>IF(COUNT(F59,M59)=2,F59-M59,"n.d.")</f>
        <v>59739.32000000008</v>
      </c>
      <c r="P59" s="26">
        <f>IF(COUNT(G59,N59)=2,G59-N59,"n.d.")</f>
        <v>258</v>
      </c>
      <c r="Q59" s="27">
        <f>IF(COUNTIFS('Taux'!$A$6:$A$20,A59,'Taux'!$B$6:$B$20,D59)=1,SUMIFS('Taux'!$D$6:$D$20,'Taux'!$A$6:$A$20,A59,'Taux'!$B$6:$B$20,D59),"n.d.")</f>
        <v>7.47595715</v>
      </c>
      <c r="R59" s="22">
        <f>IF(COUNT(F59,Q59)=2,F59/Q59,"n.d.")</f>
        <v>11697.275445191666</v>
      </c>
      <c r="S59" s="22">
        <f>IF(COUNT(M59,Q59)=2,M59/Q59,"n.d.")</f>
        <v>3706.416375059078</v>
      </c>
      <c r="T59" s="24">
        <f>IF(OR(COUNT(F59,M59)&lt;&gt;2,F59=0),"n.d.",M59/F59)</f>
        <v>0.3168615112489852</v>
      </c>
      <c r="U59" s="24">
        <f>IF(OR(COUNT(G59,N59)&lt;&gt;2,G59=0),"n.d.",N59/G59)</f>
        <v>0.12837837837837837</v>
      </c>
      <c r="V59" s="22">
        <v>27709.00999999999</v>
      </c>
    </row>
    <row r="60" spans="1:23" ht="19" customHeight="1">
      <c r="A60" s="18" t="s">
        <v>38</v>
      </c>
      <c r="B60" s="18" t="s">
        <v>189</v>
      </c>
      <c r="C60" s="18" t="s">
        <v>18</v>
      </c>
      <c r="D60" s="18" t="s">
        <v>190</v>
      </c>
      <c r="E60" s="25">
        <v>46023</v>
      </c>
      <c r="F60" s="22">
        <v>112887.1400000001</v>
      </c>
      <c r="G60" s="26">
        <v>266</v>
      </c>
      <c r="H60" s="22">
        <v>93038.16000000002</v>
      </c>
      <c r="I60" s="23" t="s">
        <v>39</v>
      </c>
      <c r="J60" s="23" t="s">
        <v>39</v>
      </c>
      <c r="K60" s="22">
        <v>0</v>
      </c>
      <c r="L60" s="22">
        <v>13190.5</v>
      </c>
      <c r="M60" s="22">
        <f>V60</f>
        <v>106228.66000000002</v>
      </c>
      <c r="N60" s="26">
        <v>264</v>
      </c>
      <c r="O60" s="22">
        <f>IF(COUNT(F60,M60)=2,F60-M60,"n.d.")</f>
        <v>6658.48000000004</v>
      </c>
      <c r="P60" s="26">
        <f>IF(COUNT(G60,N60)=2,G60-N60,"n.d.")</f>
        <v>2</v>
      </c>
      <c r="Q60" s="27">
        <f>IF(COUNTIFS('Taux'!$A$6:$A$20,A60,'Taux'!$B$6:$B$20,D60)=1,SUMIFS('Taux'!$D$6:$D$20,'Taux'!$A$6:$A$20,A60,'Taux'!$B$6:$B$20,D60),"n.d.")</f>
        <v>10.90384939</v>
      </c>
      <c r="R60" s="22">
        <f>IF(COUNT(F60,Q60)=2,F60/Q60,"n.d.")</f>
        <v>10352.962147801645</v>
      </c>
      <c r="S60" s="22">
        <f>IF(COUNT(M60,Q60)=2,M60/Q60,"n.d.")</f>
        <v>9742.308078596821</v>
      </c>
      <c r="T60" s="24">
        <f>IF(OR(COUNT(F60,M60)&lt;&gt;2,F60=0),"n.d.",M60/F60)</f>
        <v>0.9410164877948007</v>
      </c>
      <c r="U60" s="24">
        <f>IF(OR(COUNT(G60,N60)&lt;&gt;2,G60=0),"n.d.",N60/G60)</f>
        <v>0.9924812030075187</v>
      </c>
      <c r="V60" s="22">
        <v>106228.66</v>
      </c>
    </row>
    <row r="61" spans="1:23" ht="19" customHeight="1">
      <c r="A61" s="18" t="s">
        <v>38</v>
      </c>
      <c r="B61" s="18" t="s">
        <v>189</v>
      </c>
      <c r="C61" s="18" t="s">
        <v>18</v>
      </c>
      <c r="D61" s="18" t="s">
        <v>190</v>
      </c>
      <c r="E61" s="25">
        <v>46054</v>
      </c>
      <c r="F61" s="22">
        <v>68143.89999999999</v>
      </c>
      <c r="G61" s="26">
        <v>166</v>
      </c>
      <c r="H61" s="22">
        <v>56302.53999999999</v>
      </c>
      <c r="I61" s="23" t="s">
        <v>39</v>
      </c>
      <c r="J61" s="23" t="s">
        <v>39</v>
      </c>
      <c r="K61" s="22">
        <v>0</v>
      </c>
      <c r="L61" s="22">
        <v>11841.36</v>
      </c>
      <c r="M61" s="22">
        <f>V61</f>
        <v>68143.9</v>
      </c>
      <c r="N61" s="26">
        <v>166</v>
      </c>
      <c r="O61" s="22">
        <f>IF(COUNT(F61,M61)=2,F61-M61,"n.d.")</f>
        <v>0.0</v>
      </c>
      <c r="P61" s="26">
        <f>IF(COUNT(G61,N61)=2,G61-N61,"n.d.")</f>
        <v>0</v>
      </c>
      <c r="Q61" s="27">
        <f>IF(COUNTIFS('Taux'!$A$6:$A$20,A61,'Taux'!$B$6:$B$20,D61)=1,SUMIFS('Taux'!$D$6:$D$20,'Taux'!$A$6:$A$20,A61,'Taux'!$B$6:$B$20,D61),"n.d.")</f>
        <v>10.90384939</v>
      </c>
      <c r="R61" s="22">
        <f>IF(COUNT(F61,Q61)=2,F61/Q61,"n.d.")</f>
        <v>6249.526892997556</v>
      </c>
      <c r="S61" s="22">
        <f>IF(COUNT(M61,Q61)=2,M61/Q61,"n.d.")</f>
        <v>6249.526892997556</v>
      </c>
      <c r="T61" s="24">
        <f>IF(OR(COUNT(F61,M61)&lt;&gt;2,F61=0),"n.d.",M61/F61)</f>
        <v>1.0</v>
      </c>
      <c r="U61" s="24">
        <f>IF(OR(COUNT(G61,N61)&lt;&gt;2,G61=0),"n.d.",N61/G61)</f>
        <v>1.0</v>
      </c>
      <c r="V61" s="22">
        <v>68143.89999999999</v>
      </c>
    </row>
    <row r="62" spans="1:23" ht="19" customHeight="1">
      <c r="A62" s="18" t="s">
        <v>38</v>
      </c>
      <c r="B62" s="18" t="s">
        <v>189</v>
      </c>
      <c r="C62" s="18" t="s">
        <v>18</v>
      </c>
      <c r="D62" s="18" t="s">
        <v>190</v>
      </c>
      <c r="E62" s="25">
        <v>46082</v>
      </c>
      <c r="F62" s="22">
        <v>247666.8200000001</v>
      </c>
      <c r="G62" s="26">
        <v>233</v>
      </c>
      <c r="H62" s="22">
        <v>220801.7900000001</v>
      </c>
      <c r="I62" s="23" t="s">
        <v>39</v>
      </c>
      <c r="J62" s="23" t="s">
        <v>39</v>
      </c>
      <c r="K62" s="22">
        <v>0</v>
      </c>
      <c r="L62" s="22">
        <v>9666.990000000002</v>
      </c>
      <c r="M62" s="22">
        <f>V62</f>
        <v>230468.78000000006</v>
      </c>
      <c r="N62" s="26">
        <v>150</v>
      </c>
      <c r="O62" s="22">
        <f>IF(COUNT(F62,M62)=2,F62-M62,"n.d.")</f>
        <v>17198.040000000037</v>
      </c>
      <c r="P62" s="26">
        <f>IF(COUNT(G62,N62)=2,G62-N62,"n.d.")</f>
        <v>83</v>
      </c>
      <c r="Q62" s="27">
        <f>IF(COUNTIFS('Taux'!$A$6:$A$20,A62,'Taux'!$B$6:$B$20,D62)=1,SUMIFS('Taux'!$D$6:$D$20,'Taux'!$A$6:$A$20,A62,'Taux'!$B$6:$B$20,D62),"n.d.")</f>
        <v>10.90384939</v>
      </c>
      <c r="R62" s="22">
        <f>IF(COUNT(F62,Q62)=2,F62/Q62,"n.d.")</f>
        <v>22713.705145921875</v>
      </c>
      <c r="S62" s="22">
        <f>IF(COUNT(M62,Q62)=2,M62/Q62,"n.d.")</f>
        <v>21136.460323027266</v>
      </c>
      <c r="T62" s="24">
        <f>IF(OR(COUNT(F62,M62)&lt;&gt;2,F62=0),"n.d.",M62/F62)</f>
        <v>0.930559773812253</v>
      </c>
      <c r="U62" s="24">
        <f>IF(OR(COUNT(G62,N62)&lt;&gt;2,G62=0),"n.d.",N62/G62)</f>
        <v>0.6437768240343348</v>
      </c>
      <c r="V62" s="22">
        <v>230468.7800000001</v>
      </c>
    </row>
    <row r="63" spans="1:23" ht="19" customHeight="1">
      <c r="A63" s="18" t="s">
        <v>38</v>
      </c>
      <c r="B63" s="18" t="s">
        <v>189</v>
      </c>
      <c r="C63" s="18" t="s">
        <v>18</v>
      </c>
      <c r="D63" s="18" t="s">
        <v>190</v>
      </c>
      <c r="E63" s="25">
        <v>46113</v>
      </c>
      <c r="F63" s="22">
        <v>57533.93000000002</v>
      </c>
      <c r="G63" s="26">
        <v>148</v>
      </c>
      <c r="H63" s="22">
        <v>34047.29000000001</v>
      </c>
      <c r="I63" s="23" t="s">
        <v>39</v>
      </c>
      <c r="J63" s="23" t="s">
        <v>39</v>
      </c>
      <c r="K63" s="22">
        <v>0</v>
      </c>
      <c r="L63" s="22">
        <v>5172.250000000001</v>
      </c>
      <c r="M63" s="22">
        <f>V63</f>
        <v>39219.54000000001</v>
      </c>
      <c r="N63" s="26">
        <v>45</v>
      </c>
      <c r="O63" s="22">
        <f>IF(COUNT(F63,M63)=2,F63-M63,"n.d.")</f>
        <v>18314.390000000014</v>
      </c>
      <c r="P63" s="26">
        <f>IF(COUNT(G63,N63)=2,G63-N63,"n.d.")</f>
        <v>103</v>
      </c>
      <c r="Q63" s="27">
        <f>IF(COUNTIFS('Taux'!$A$6:$A$20,A63,'Taux'!$B$6:$B$20,D63)=1,SUMIFS('Taux'!$D$6:$D$20,'Taux'!$A$6:$A$20,A63,'Taux'!$B$6:$B$20,D63),"n.d.")</f>
        <v>10.90384939</v>
      </c>
      <c r="R63" s="22">
        <f>IF(COUNT(F63,Q63)=2,F63/Q63,"n.d.")</f>
        <v>5276.478786726898</v>
      </c>
      <c r="S63" s="22">
        <f>IF(COUNT(M63,Q63)=2,M63/Q63,"n.d.")</f>
        <v>3596.852689103404</v>
      </c>
      <c r="T63" s="24">
        <f>IF(OR(COUNT(F63,M63)&lt;&gt;2,F63=0),"n.d.",M63/F63)</f>
        <v>0.6816767079877908</v>
      </c>
      <c r="U63" s="24">
        <f>IF(OR(COUNT(G63,N63)&lt;&gt;2,G63=0),"n.d.",N63/G63)</f>
        <v>0.30405405405405406</v>
      </c>
      <c r="V63" s="22">
        <v>39219.54000000001</v>
      </c>
    </row>
    <row r="64" spans="1:23" ht="19" customHeight="1">
      <c r="A64" s="18" t="s">
        <v>38</v>
      </c>
      <c r="B64" s="18" t="s">
        <v>189</v>
      </c>
      <c r="C64" s="18" t="s">
        <v>18</v>
      </c>
      <c r="D64" s="18" t="s">
        <v>190</v>
      </c>
      <c r="E64" s="25">
        <v>46143</v>
      </c>
      <c r="F64" s="22">
        <v>144549.53</v>
      </c>
      <c r="G64" s="26">
        <v>129</v>
      </c>
      <c r="H64" s="22">
        <v>93327.59</v>
      </c>
      <c r="I64" s="23" t="s">
        <v>39</v>
      </c>
      <c r="J64" s="23" t="s">
        <v>39</v>
      </c>
      <c r="K64" s="22">
        <v>0</v>
      </c>
      <c r="L64" s="22">
        <v>22256.82</v>
      </c>
      <c r="M64" s="22">
        <f>V64</f>
        <v>115584.41</v>
      </c>
      <c r="N64" s="26">
        <v>24</v>
      </c>
      <c r="O64" s="22">
        <f>IF(COUNT(F64,M64)=2,F64-M64,"n.d.")</f>
        <v>28965.120000000024</v>
      </c>
      <c r="P64" s="26">
        <f>IF(COUNT(G64,N64)=2,G64-N64,"n.d.")</f>
        <v>105</v>
      </c>
      <c r="Q64" s="27">
        <f>IF(COUNTIFS('Taux'!$A$6:$A$20,A64,'Taux'!$B$6:$B$20,D64)=1,SUMIFS('Taux'!$D$6:$D$20,'Taux'!$A$6:$A$20,A64,'Taux'!$B$6:$B$20,D64),"n.d.")</f>
        <v>10.90384939</v>
      </c>
      <c r="R64" s="22">
        <f>IF(COUNT(F64,Q64)=2,F64/Q64,"n.d.")</f>
        <v>13256.74308492994</v>
      </c>
      <c r="S64" s="22">
        <f>IF(COUNT(M64,Q64)=2,M64/Q64,"n.d.")</f>
        <v>10600.330751633759</v>
      </c>
      <c r="T64" s="24">
        <f>IF(OR(COUNT(F64,M64)&lt;&gt;2,F64=0),"n.d.",M64/F64)</f>
        <v>0.7996180271219144</v>
      </c>
      <c r="U64" s="24">
        <f>IF(OR(COUNT(G64,N64)&lt;&gt;2,G64=0),"n.d.",N64/G64)</f>
        <v>0.18604651162790697</v>
      </c>
      <c r="V64" s="22">
        <v>115584.41</v>
      </c>
    </row>
    <row r="65" spans="1:23" ht="19" customHeight="1">
      <c r="A65" s="18" t="s">
        <v>38</v>
      </c>
      <c r="B65" s="18" t="s">
        <v>189</v>
      </c>
      <c r="C65" s="18" t="s">
        <v>18</v>
      </c>
      <c r="D65" s="18" t="s">
        <v>190</v>
      </c>
      <c r="E65" s="25">
        <v>46174</v>
      </c>
      <c r="F65" s="22">
        <v>64474.69000000002</v>
      </c>
      <c r="G65" s="26">
        <v>180</v>
      </c>
      <c r="H65" s="22">
        <v>10888.77</v>
      </c>
      <c r="I65" s="23" t="s">
        <v>39</v>
      </c>
      <c r="J65" s="23" t="s">
        <v>39</v>
      </c>
      <c r="K65" s="22">
        <v>0</v>
      </c>
      <c r="L65" s="22">
        <v>2473.89</v>
      </c>
      <c r="M65" s="22">
        <f>V65</f>
        <v>13362.66</v>
      </c>
      <c r="N65" s="26">
        <v>12</v>
      </c>
      <c r="O65" s="22">
        <f>IF(COUNT(F65,M65)=2,F65-M65,"n.d.")</f>
        <v>51112.03000000001</v>
      </c>
      <c r="P65" s="26">
        <f>IF(COUNT(G65,N65)=2,G65-N65,"n.d.")</f>
        <v>168</v>
      </c>
      <c r="Q65" s="27">
        <f>IF(COUNTIFS('Taux'!$A$6:$A$20,A65,'Taux'!$B$6:$B$20,D65)=1,SUMIFS('Taux'!$D$6:$D$20,'Taux'!$A$6:$A$20,A65,'Taux'!$B$6:$B$20,D65),"n.d.")</f>
        <v>10.90384939</v>
      </c>
      <c r="R65" s="22">
        <f>IF(COUNT(F65,Q65)=2,F65/Q65,"n.d.")</f>
        <v>5913.020961123163</v>
      </c>
      <c r="S65" s="22">
        <f>IF(COUNT(M65,Q65)=2,M65/Q65,"n.d.")</f>
        <v>1225.4993188235885</v>
      </c>
      <c r="T65" s="24">
        <f>IF(OR(COUNT(F65,M65)&lt;&gt;2,F65=0),"n.d.",M65/F65)</f>
        <v>0.20725435050560145</v>
      </c>
      <c r="U65" s="24">
        <f>IF(OR(COUNT(G65,N65)&lt;&gt;2,G65=0),"n.d.",N65/G65)</f>
        <v>0.06666666666666667</v>
      </c>
      <c r="V65" s="22">
        <v>13362.66</v>
      </c>
    </row>
    <row r="66" spans="1:23" ht="19" customHeight="1">
      <c r="A66" s="18" t="s">
        <v>38</v>
      </c>
      <c r="B66" s="18" t="s">
        <v>191</v>
      </c>
      <c r="C66" s="18" t="s">
        <v>19</v>
      </c>
      <c r="D66" s="18" t="s">
        <v>192</v>
      </c>
      <c r="E66" s="25">
        <v>46023</v>
      </c>
      <c r="F66" s="22">
        <v>248370.93</v>
      </c>
      <c r="G66" s="26">
        <v>544</v>
      </c>
      <c r="H66" s="22">
        <v>230915.98</v>
      </c>
      <c r="I66" s="23" t="s">
        <v>39</v>
      </c>
      <c r="J66" s="23" t="s">
        <v>39</v>
      </c>
      <c r="K66" s="22">
        <v>0</v>
      </c>
      <c r="L66" s="22">
        <v>17454.95</v>
      </c>
      <c r="M66" s="22">
        <f>V66</f>
        <v>248370.92999999993</v>
      </c>
      <c r="N66" s="26">
        <v>544</v>
      </c>
      <c r="O66" s="22">
        <f>IF(COUNT(F66,M66)=2,F66-M66,"n.d.")</f>
        <v>2.9103830456733704e-11</v>
      </c>
      <c r="P66" s="26">
        <f>IF(COUNT(G66,N66)=2,G66-N66,"n.d.")</f>
        <v>0</v>
      </c>
      <c r="Q66" s="27">
        <f>IF(COUNTIFS('Taux'!$A$6:$A$20,A66,'Taux'!$B$6:$B$20,D66)=1,SUMIFS('Taux'!$D$6:$D$20,'Taux'!$A$6:$A$20,A66,'Taux'!$B$6:$B$20,D66),"n.d.")</f>
        <v>11.34339828</v>
      </c>
      <c r="R66" s="22">
        <f>IF(COUNT(F66,Q66)=2,F66/Q66,"n.d.")</f>
        <v>21895.636904322815</v>
      </c>
      <c r="S66" s="22">
        <f>IF(COUNT(M66,Q66)=2,M66/Q66,"n.d.")</f>
        <v>21895.63690432281</v>
      </c>
      <c r="T66" s="24">
        <f>IF(OR(COUNT(F66,M66)&lt;&gt;2,F66=0),"n.d.",M66/F66)</f>
        <v>0.9999999999999999</v>
      </c>
      <c r="U66" s="24">
        <f>IF(OR(COUNT(G66,N66)&lt;&gt;2,G66=0),"n.d.",N66/G66)</f>
        <v>1.0</v>
      </c>
      <c r="V66" s="22">
        <v>248370.9299999999</v>
      </c>
    </row>
    <row r="67" spans="1:23" ht="19" customHeight="1">
      <c r="A67" s="18" t="s">
        <v>38</v>
      </c>
      <c r="B67" s="18" t="s">
        <v>191</v>
      </c>
      <c r="C67" s="18" t="s">
        <v>19</v>
      </c>
      <c r="D67" s="18" t="s">
        <v>192</v>
      </c>
      <c r="E67" s="25">
        <v>46054</v>
      </c>
      <c r="F67" s="22">
        <v>119781.77</v>
      </c>
      <c r="G67" s="26">
        <v>546</v>
      </c>
      <c r="H67" s="22">
        <v>97350.67999999998</v>
      </c>
      <c r="I67" s="23" t="s">
        <v>39</v>
      </c>
      <c r="J67" s="23" t="s">
        <v>39</v>
      </c>
      <c r="K67" s="22">
        <v>0</v>
      </c>
      <c r="L67" s="22">
        <v>22431.09</v>
      </c>
      <c r="M67" s="22">
        <f>V67</f>
        <v>119781.76999999997</v>
      </c>
      <c r="N67" s="26">
        <v>546</v>
      </c>
      <c r="O67" s="22">
        <f>IF(COUNT(F67,M67)=2,F67-M67,"n.d.")</f>
        <v>1.4551915228366852e-11</v>
      </c>
      <c r="P67" s="26">
        <f>IF(COUNT(G67,N67)=2,G67-N67,"n.d.")</f>
        <v>0</v>
      </c>
      <c r="Q67" s="27">
        <f>IF(COUNTIFS('Taux'!$A$6:$A$20,A67,'Taux'!$B$6:$B$20,D67)=1,SUMIFS('Taux'!$D$6:$D$20,'Taux'!$A$6:$A$20,A67,'Taux'!$B$6:$B$20,D67),"n.d.")</f>
        <v>11.34339828</v>
      </c>
      <c r="R67" s="22">
        <f>IF(COUNT(F67,Q67)=2,F67/Q67,"n.d.")</f>
        <v>10559.60189736016</v>
      </c>
      <c r="S67" s="22">
        <f>IF(COUNT(M67,Q67)=2,M67/Q67,"n.d.")</f>
        <v>10559.601897360159</v>
      </c>
      <c r="T67" s="24">
        <f>IF(OR(COUNT(F67,M67)&lt;&gt;2,F67=0),"n.d.",M67/F67)</f>
        <v>0.9999999999999999</v>
      </c>
      <c r="U67" s="24">
        <f>IF(OR(COUNT(G67,N67)&lt;&gt;2,G67=0),"n.d.",N67/G67)</f>
        <v>1.0</v>
      </c>
      <c r="V67" s="22">
        <v>119781.77</v>
      </c>
    </row>
    <row r="68" spans="1:23" ht="19" customHeight="1">
      <c r="A68" s="18" t="s">
        <v>38</v>
      </c>
      <c r="B68" s="18" t="s">
        <v>191</v>
      </c>
      <c r="C68" s="18" t="s">
        <v>19</v>
      </c>
      <c r="D68" s="18" t="s">
        <v>192</v>
      </c>
      <c r="E68" s="25">
        <v>46082</v>
      </c>
      <c r="F68" s="22">
        <v>720809.2200000002</v>
      </c>
      <c r="G68" s="26">
        <v>657</v>
      </c>
      <c r="H68" s="22">
        <v>294604.2400000002</v>
      </c>
      <c r="I68" s="23" t="s">
        <v>39</v>
      </c>
      <c r="J68" s="23" t="s">
        <v>39</v>
      </c>
      <c r="K68" s="22">
        <v>0</v>
      </c>
      <c r="L68" s="22">
        <v>424288.25</v>
      </c>
      <c r="M68" s="22">
        <f>V68</f>
        <v>718892.4900000002</v>
      </c>
      <c r="N68" s="26">
        <v>634</v>
      </c>
      <c r="O68" s="22">
        <f>IF(COUNT(F68,M68)=2,F68-M68,"n.d.")</f>
        <v>1916.7299999999814</v>
      </c>
      <c r="P68" s="26">
        <f>IF(COUNT(G68,N68)=2,G68-N68,"n.d.")</f>
        <v>23</v>
      </c>
      <c r="Q68" s="27">
        <f>IF(COUNTIFS('Taux'!$A$6:$A$20,A68,'Taux'!$B$6:$B$20,D68)=1,SUMIFS('Taux'!$D$6:$D$20,'Taux'!$A$6:$A$20,A68,'Taux'!$B$6:$B$20,D68),"n.d.")</f>
        <v>11.34339828</v>
      </c>
      <c r="R68" s="22">
        <f>IF(COUNT(F68,Q68)=2,F68/Q68,"n.d.")</f>
        <v>63544.38081142648</v>
      </c>
      <c r="S68" s="22">
        <f>IF(COUNT(M68,Q68)=2,M68/Q68,"n.d.")</f>
        <v>63375.40763842422</v>
      </c>
      <c r="T68" s="24">
        <f>IF(OR(COUNT(F68,M68)&lt;&gt;2,F68=0),"n.d.",M68/F68)</f>
        <v>0.9973408636476654</v>
      </c>
      <c r="U68" s="24">
        <f>IF(OR(COUNT(G68,N68)&lt;&gt;2,G68=0),"n.d.",N68/G68)</f>
        <v>0.9649923896499238</v>
      </c>
      <c r="V68" s="22">
        <v>718892.4900000002</v>
      </c>
    </row>
    <row r="69" spans="1:23" ht="19" customHeight="1">
      <c r="A69" s="18" t="s">
        <v>38</v>
      </c>
      <c r="B69" s="18" t="s">
        <v>191</v>
      </c>
      <c r="C69" s="18" t="s">
        <v>19</v>
      </c>
      <c r="D69" s="18" t="s">
        <v>192</v>
      </c>
      <c r="E69" s="25">
        <v>46113</v>
      </c>
      <c r="F69" s="22">
        <v>384234.17</v>
      </c>
      <c r="G69" s="26">
        <v>601</v>
      </c>
      <c r="H69" s="22">
        <v>367142.1100000003</v>
      </c>
      <c r="I69" s="23" t="s">
        <v>39</v>
      </c>
      <c r="J69" s="23" t="s">
        <v>39</v>
      </c>
      <c r="K69" s="22">
        <v>0</v>
      </c>
      <c r="L69" s="22">
        <v>12497.66</v>
      </c>
      <c r="M69" s="22">
        <f>V69</f>
        <v>379639.77000000025</v>
      </c>
      <c r="N69" s="26">
        <v>559</v>
      </c>
      <c r="O69" s="22">
        <f>IF(COUNT(F69,M69)=2,F69-M69,"n.d.")</f>
        <v>4594.39999999979</v>
      </c>
      <c r="P69" s="26">
        <f>IF(COUNT(G69,N69)=2,G69-N69,"n.d.")</f>
        <v>42</v>
      </c>
      <c r="Q69" s="27">
        <f>IF(COUNTIFS('Taux'!$A$6:$A$20,A69,'Taux'!$B$6:$B$20,D69)=1,SUMIFS('Taux'!$D$6:$D$20,'Taux'!$A$6:$A$20,A69,'Taux'!$B$6:$B$20,D69),"n.d.")</f>
        <v>11.34339828</v>
      </c>
      <c r="R69" s="22">
        <f>IF(COUNT(F69,Q69)=2,F69/Q69,"n.d.")</f>
        <v>33872.93300610441</v>
      </c>
      <c r="S69" s="22">
        <f>IF(COUNT(M69,Q69)=2,M69/Q69,"n.d.")</f>
        <v>33467.90446998218</v>
      </c>
      <c r="T69" s="24">
        <f>IF(OR(COUNT(F69,M69)&lt;&gt;2,F69=0),"n.d.",M69/F69)</f>
        <v>0.9880427084348073</v>
      </c>
      <c r="U69" s="24">
        <f>IF(OR(COUNT(G69,N69)&lt;&gt;2,G69=0),"n.d.",N69/G69)</f>
        <v>0.930116472545757</v>
      </c>
      <c r="V69" s="22">
        <v>379639.7700000003</v>
      </c>
    </row>
    <row r="70" spans="1:23" ht="19" customHeight="1">
      <c r="A70" s="18" t="s">
        <v>38</v>
      </c>
      <c r="B70" s="18" t="s">
        <v>191</v>
      </c>
      <c r="C70" s="18" t="s">
        <v>19</v>
      </c>
      <c r="D70" s="18" t="s">
        <v>192</v>
      </c>
      <c r="E70" s="25">
        <v>46143</v>
      </c>
      <c r="F70" s="22">
        <v>137125.2699999999</v>
      </c>
      <c r="G70" s="26">
        <v>518</v>
      </c>
      <c r="H70" s="22">
        <v>125498.9999999999</v>
      </c>
      <c r="I70" s="23" t="s">
        <v>39</v>
      </c>
      <c r="J70" s="23" t="s">
        <v>39</v>
      </c>
      <c r="K70" s="22">
        <v>0</v>
      </c>
      <c r="L70" s="22">
        <v>5375.139999999999</v>
      </c>
      <c r="M70" s="22">
        <f>V70</f>
        <v>130874.1399999999</v>
      </c>
      <c r="N70" s="26">
        <v>463</v>
      </c>
      <c r="O70" s="22">
        <f>IF(COUNT(F70,M70)=2,F70-M70,"n.d.")</f>
        <v>6251.130000000005</v>
      </c>
      <c r="P70" s="26">
        <f>IF(COUNT(G70,N70)=2,G70-N70,"n.d.")</f>
        <v>55</v>
      </c>
      <c r="Q70" s="27">
        <f>IF(COUNTIFS('Taux'!$A$6:$A$20,A70,'Taux'!$B$6:$B$20,D70)=1,SUMIFS('Taux'!$D$6:$D$20,'Taux'!$A$6:$A$20,A70,'Taux'!$B$6:$B$20,D70),"n.d.")</f>
        <v>11.34339828</v>
      </c>
      <c r="R70" s="22">
        <f>IF(COUNT(F70,Q70)=2,F70/Q70,"n.d.")</f>
        <v>12088.55288470043</v>
      </c>
      <c r="S70" s="22">
        <f>IF(COUNT(M70,Q70)=2,M70/Q70,"n.d.")</f>
        <v>11537.471996443017</v>
      </c>
      <c r="T70" s="24">
        <f>IF(OR(COUNT(F70,M70)&lt;&gt;2,F70=0),"n.d.",M70/F70)</f>
        <v>0.9544129976918185</v>
      </c>
      <c r="U70" s="24">
        <f>IF(OR(COUNT(G70,N70)&lt;&gt;2,G70=0),"n.d.",N70/G70)</f>
        <v>0.8938223938223938</v>
      </c>
      <c r="V70" s="22">
        <v>130874.1399999999</v>
      </c>
    </row>
    <row r="71" spans="1:23" ht="19" customHeight="1">
      <c r="A71" s="18" t="s">
        <v>38</v>
      </c>
      <c r="B71" s="18" t="s">
        <v>191</v>
      </c>
      <c r="C71" s="18" t="s">
        <v>19</v>
      </c>
      <c r="D71" s="18" t="s">
        <v>192</v>
      </c>
      <c r="E71" s="25">
        <v>46174</v>
      </c>
      <c r="F71" s="22">
        <v>277595.5899999997</v>
      </c>
      <c r="G71" s="26">
        <v>635</v>
      </c>
      <c r="H71" s="22">
        <v>124033.42</v>
      </c>
      <c r="I71" s="23" t="s">
        <v>39</v>
      </c>
      <c r="J71" s="23" t="s">
        <v>39</v>
      </c>
      <c r="K71" s="22">
        <v>0</v>
      </c>
      <c r="L71" s="22">
        <v>9680.370000000001</v>
      </c>
      <c r="M71" s="22">
        <f>V71</f>
        <v>133713.79000000004</v>
      </c>
      <c r="N71" s="26">
        <v>268</v>
      </c>
      <c r="O71" s="22">
        <f>IF(COUNT(F71,M71)=2,F71-M71,"n.d.")</f>
        <v>143881.7999999997</v>
      </c>
      <c r="P71" s="26">
        <f>IF(COUNT(G71,N71)=2,G71-N71,"n.d.")</f>
        <v>367</v>
      </c>
      <c r="Q71" s="27">
        <f>IF(COUNTIFS('Taux'!$A$6:$A$20,A71,'Taux'!$B$6:$B$20,D71)=1,SUMIFS('Taux'!$D$6:$D$20,'Taux'!$A$6:$A$20,A71,'Taux'!$B$6:$B$20,D71),"n.d.")</f>
        <v>11.34339828</v>
      </c>
      <c r="R71" s="22">
        <f>IF(COUNT(F71,Q71)=2,F71/Q71,"n.d.")</f>
        <v>24471.99535340654</v>
      </c>
      <c r="S71" s="22">
        <f>IF(COUNT(M71,Q71)=2,M71/Q71,"n.d.")</f>
        <v>11787.807030963215</v>
      </c>
      <c r="T71" s="24">
        <f>IF(OR(COUNT(F71,M71)&lt;&gt;2,F71=0),"n.d.",M71/F71)</f>
        <v>0.48168557000491313</v>
      </c>
      <c r="U71" s="24">
        <f>IF(OR(COUNT(G71,N71)&lt;&gt;2,G71=0),"n.d.",N71/G71)</f>
        <v>0.4220472440944882</v>
      </c>
      <c r="V71" s="22">
        <v>133713.79</v>
      </c>
    </row>
    <row r="72" spans="1:23" ht="19" customHeight="1">
      <c r="A72" s="18" t="s">
        <v>38</v>
      </c>
      <c r="B72" s="18" t="s">
        <v>185</v>
      </c>
      <c r="C72" s="18" t="s">
        <v>16</v>
      </c>
      <c r="D72" s="18" t="s">
        <v>186</v>
      </c>
      <c r="E72" s="25">
        <v>46023</v>
      </c>
      <c r="F72" s="22">
        <v>11067.1</v>
      </c>
      <c r="G72" s="26">
        <v>117</v>
      </c>
      <c r="H72" s="23" t="s">
        <v>39</v>
      </c>
      <c r="I72" s="23" t="s">
        <v>39</v>
      </c>
      <c r="J72" s="23" t="s">
        <v>39</v>
      </c>
      <c r="K72" s="23" t="s">
        <v>39</v>
      </c>
      <c r="L72" s="23" t="s">
        <v>39</v>
      </c>
      <c r="M72" s="22">
        <f>IF(COUNT()=0,SUM(),"n.d.")</f>
        <v>0</v>
      </c>
      <c r="N72" s="23" t="s">
        <v>39</v>
      </c>
      <c r="O72" s="22">
        <f>IF(COUNT(F72,M72)=2,F72-M72,"n.d.")</f>
        <v>11067.100000000002</v>
      </c>
      <c r="P72" s="26" t="str">
        <f>IF(COUNT(G72,N72)=2,G72-N72,"n.d.")</f>
        <v>n.d.</v>
      </c>
      <c r="Q72" s="27">
        <f>IF(COUNTIFS('Taux'!$A$6:$A$20,A72,'Taux'!$B$6:$B$20,D72)=1,SUMIFS('Taux'!$D$6:$D$20,'Taux'!$A$6:$A$20,A72,'Taux'!$B$6:$B$20,D72),"n.d.")</f>
        <v>5.855892595</v>
      </c>
      <c r="R72" s="22">
        <f>IF(COUNT(F72,Q72)=2,F72/Q72,"n.d.")</f>
        <v>1889.9082967214158</v>
      </c>
      <c r="S72" s="22">
        <f>IF(COUNT(M72,Q72)=2,M72/Q72,"n.d.")</f>
        <v>0.0</v>
      </c>
      <c r="T72" s="24">
        <f>IF(OR(COUNT(F72,M72)&lt;&gt;2,F72=0),"n.d.",M72/F72)</f>
        <v>0.0</v>
      </c>
      <c r="U72" s="24" t="str">
        <f>IF(OR(COUNT(G72,N72)&lt;&gt;2,G72=0),"n.d.",N72/G72)</f>
        <v>n.d.</v>
      </c>
      <c r="V72" s="23" t="s">
        <v>39</v>
      </c>
    </row>
    <row r="73" spans="1:23" ht="19" customHeight="1">
      <c r="A73" s="18" t="s">
        <v>38</v>
      </c>
      <c r="B73" s="18" t="s">
        <v>185</v>
      </c>
      <c r="C73" s="18" t="s">
        <v>16</v>
      </c>
      <c r="D73" s="18" t="s">
        <v>186</v>
      </c>
      <c r="E73" s="25">
        <v>46054</v>
      </c>
      <c r="F73" s="22">
        <v>23365.01</v>
      </c>
      <c r="G73" s="26">
        <v>252</v>
      </c>
      <c r="H73" s="23" t="s">
        <v>39</v>
      </c>
      <c r="I73" s="23" t="s">
        <v>39</v>
      </c>
      <c r="J73" s="23" t="s">
        <v>39</v>
      </c>
      <c r="K73" s="23" t="s">
        <v>39</v>
      </c>
      <c r="L73" s="23" t="s">
        <v>39</v>
      </c>
      <c r="M73" s="22">
        <f>IF(COUNT()=0,SUM(),"n.d.")</f>
        <v>0</v>
      </c>
      <c r="N73" s="23" t="s">
        <v>39</v>
      </c>
      <c r="O73" s="22">
        <f>IF(COUNT(F73,M73)=2,F73-M73,"n.d.")</f>
        <v>23365.010000000002</v>
      </c>
      <c r="P73" s="26" t="str">
        <f>IF(COUNT(G73,N73)=2,G73-N73,"n.d.")</f>
        <v>n.d.</v>
      </c>
      <c r="Q73" s="27">
        <f>IF(COUNTIFS('Taux'!$A$6:$A$20,A73,'Taux'!$B$6:$B$20,D73)=1,SUMIFS('Taux'!$D$6:$D$20,'Taux'!$A$6:$A$20,A73,'Taux'!$B$6:$B$20,D73),"n.d.")</f>
        <v>5.855892595</v>
      </c>
      <c r="R73" s="22">
        <f>IF(COUNT(F73,Q73)=2,F73/Q73,"n.d.")</f>
        <v>3989.999751694558</v>
      </c>
      <c r="S73" s="22">
        <f>IF(COUNT(M73,Q73)=2,M73/Q73,"n.d.")</f>
        <v>0.0</v>
      </c>
      <c r="T73" s="24">
        <f>IF(OR(COUNT(F73,M73)&lt;&gt;2,F73=0),"n.d.",M73/F73)</f>
        <v>0.0</v>
      </c>
      <c r="U73" s="24" t="str">
        <f>IF(OR(COUNT(G73,N73)&lt;&gt;2,G73=0),"n.d.",N73/G73)</f>
        <v>n.d.</v>
      </c>
      <c r="V73" s="23" t="s">
        <v>39</v>
      </c>
    </row>
    <row r="74" spans="1:23" ht="19" customHeight="1">
      <c r="A74" s="18" t="s">
        <v>38</v>
      </c>
      <c r="B74" s="18" t="s">
        <v>185</v>
      </c>
      <c r="C74" s="18" t="s">
        <v>16</v>
      </c>
      <c r="D74" s="18" t="s">
        <v>186</v>
      </c>
      <c r="E74" s="25">
        <v>46082</v>
      </c>
      <c r="F74" s="22">
        <v>4780.95</v>
      </c>
      <c r="G74" s="26">
        <v>77</v>
      </c>
      <c r="H74" s="23" t="s">
        <v>39</v>
      </c>
      <c r="I74" s="23" t="s">
        <v>39</v>
      </c>
      <c r="J74" s="23" t="s">
        <v>39</v>
      </c>
      <c r="K74" s="23" t="s">
        <v>39</v>
      </c>
      <c r="L74" s="23" t="s">
        <v>39</v>
      </c>
      <c r="M74" s="22">
        <f>IF(COUNT()=0,SUM(),"n.d.")</f>
        <v>0</v>
      </c>
      <c r="N74" s="23" t="s">
        <v>39</v>
      </c>
      <c r="O74" s="22">
        <f>IF(COUNT(F74,M74)=2,F74-M74,"n.d.")</f>
        <v>4780.95</v>
      </c>
      <c r="P74" s="26" t="str">
        <f>IF(COUNT(G74,N74)=2,G74-N74,"n.d.")</f>
        <v>n.d.</v>
      </c>
      <c r="Q74" s="27">
        <f>IF(COUNTIFS('Taux'!$A$6:$A$20,A74,'Taux'!$B$6:$B$20,D74)=1,SUMIFS('Taux'!$D$6:$D$20,'Taux'!$A$6:$A$20,A74,'Taux'!$B$6:$B$20,D74),"n.d.")</f>
        <v>5.855892595</v>
      </c>
      <c r="R74" s="22">
        <f>IF(COUNT(F74,Q74)=2,F74/Q74,"n.d.")</f>
        <v>816.4340316081224</v>
      </c>
      <c r="S74" s="22">
        <f>IF(COUNT(M74,Q74)=2,M74/Q74,"n.d.")</f>
        <v>0.0</v>
      </c>
      <c r="T74" s="24">
        <f>IF(OR(COUNT(F74,M74)&lt;&gt;2,F74=0),"n.d.",M74/F74)</f>
        <v>0.0</v>
      </c>
      <c r="U74" s="24" t="str">
        <f>IF(OR(COUNT(G74,N74)&lt;&gt;2,G74=0),"n.d.",N74/G74)</f>
        <v>n.d.</v>
      </c>
      <c r="V74" s="23" t="s">
        <v>39</v>
      </c>
    </row>
    <row r="75" spans="1:23" ht="19" customHeight="1">
      <c r="A75" s="18" t="s">
        <v>38</v>
      </c>
      <c r="B75" s="18" t="s">
        <v>185</v>
      </c>
      <c r="C75" s="18" t="s">
        <v>16</v>
      </c>
      <c r="D75" s="18" t="s">
        <v>186</v>
      </c>
      <c r="E75" s="25">
        <v>46113</v>
      </c>
      <c r="F75" s="22">
        <v>13189.55</v>
      </c>
      <c r="G75" s="26">
        <v>147</v>
      </c>
      <c r="H75" s="23" t="s">
        <v>39</v>
      </c>
      <c r="I75" s="23" t="s">
        <v>39</v>
      </c>
      <c r="J75" s="23" t="s">
        <v>39</v>
      </c>
      <c r="K75" s="23" t="s">
        <v>39</v>
      </c>
      <c r="L75" s="23" t="s">
        <v>39</v>
      </c>
      <c r="M75" s="22">
        <f>IF(COUNT()=0,SUM(),"n.d.")</f>
        <v>0</v>
      </c>
      <c r="N75" s="23" t="s">
        <v>39</v>
      </c>
      <c r="O75" s="22">
        <f>IF(COUNT(F75,M75)=2,F75-M75,"n.d.")</f>
        <v>13189.550000000003</v>
      </c>
      <c r="P75" s="26" t="str">
        <f>IF(COUNT(G75,N75)=2,G75-N75,"n.d.")</f>
        <v>n.d.</v>
      </c>
      <c r="Q75" s="27">
        <f>IF(COUNTIFS('Taux'!$A$6:$A$20,A75,'Taux'!$B$6:$B$20,D75)=1,SUMIFS('Taux'!$D$6:$D$20,'Taux'!$A$6:$A$20,A75,'Taux'!$B$6:$B$20,D75),"n.d.")</f>
        <v>5.855892595</v>
      </c>
      <c r="R75" s="22">
        <f>IF(COUNT(F75,Q75)=2,F75/Q75,"n.d.")</f>
        <v>2252.355176606514</v>
      </c>
      <c r="S75" s="22">
        <f>IF(COUNT(M75,Q75)=2,M75/Q75,"n.d.")</f>
        <v>0.0</v>
      </c>
      <c r="T75" s="24">
        <f>IF(OR(COUNT(F75,M75)&lt;&gt;2,F75=0),"n.d.",M75/F75)</f>
        <v>0.0</v>
      </c>
      <c r="U75" s="24" t="str">
        <f>IF(OR(COUNT(G75,N75)&lt;&gt;2,G75=0),"n.d.",N75/G75)</f>
        <v>n.d.</v>
      </c>
      <c r="V75" s="23" t="s">
        <v>39</v>
      </c>
    </row>
    <row r="76" spans="1:23" ht="19" customHeight="1">
      <c r="A76" s="18" t="s">
        <v>38</v>
      </c>
      <c r="B76" s="18" t="s">
        <v>185</v>
      </c>
      <c r="C76" s="18" t="s">
        <v>16</v>
      </c>
      <c r="D76" s="18" t="s">
        <v>186</v>
      </c>
      <c r="E76" s="25">
        <v>46143</v>
      </c>
      <c r="F76" s="22">
        <v>12349.76</v>
      </c>
      <c r="G76" s="26">
        <v>60</v>
      </c>
      <c r="H76" s="23" t="s">
        <v>39</v>
      </c>
      <c r="I76" s="23" t="s">
        <v>39</v>
      </c>
      <c r="J76" s="23" t="s">
        <v>39</v>
      </c>
      <c r="K76" s="23" t="s">
        <v>39</v>
      </c>
      <c r="L76" s="23" t="s">
        <v>39</v>
      </c>
      <c r="M76" s="22">
        <f>IF(COUNT()=0,SUM(),"n.d.")</f>
        <v>0</v>
      </c>
      <c r="N76" s="23" t="s">
        <v>39</v>
      </c>
      <c r="O76" s="22">
        <f>IF(COUNT(F76,M76)=2,F76-M76,"n.d.")</f>
        <v>12349.759999999998</v>
      </c>
      <c r="P76" s="26" t="str">
        <f>IF(COUNT(G76,N76)=2,G76-N76,"n.d.")</f>
        <v>n.d.</v>
      </c>
      <c r="Q76" s="27">
        <f>IF(COUNTIFS('Taux'!$A$6:$A$20,A76,'Taux'!$B$6:$B$20,D76)=1,SUMIFS('Taux'!$D$6:$D$20,'Taux'!$A$6:$A$20,A76,'Taux'!$B$6:$B$20,D76),"n.d.")</f>
        <v>5.855892595</v>
      </c>
      <c r="R76" s="22">
        <f>IF(COUNT(F76,Q76)=2,F76/Q76,"n.d.")</f>
        <v>2108.945784037215</v>
      </c>
      <c r="S76" s="22">
        <f>IF(COUNT(M76,Q76)=2,M76/Q76,"n.d.")</f>
        <v>0.0</v>
      </c>
      <c r="T76" s="24">
        <f>IF(OR(COUNT(F76,M76)&lt;&gt;2,F76=0),"n.d.",M76/F76)</f>
        <v>0.0</v>
      </c>
      <c r="U76" s="24" t="str">
        <f>IF(OR(COUNT(G76,N76)&lt;&gt;2,G76=0),"n.d.",N76/G76)</f>
        <v>n.d.</v>
      </c>
      <c r="V76" s="23" t="s">
        <v>39</v>
      </c>
    </row>
    <row r="77" spans="1:23" ht="19" customHeight="1">
      <c r="A77" s="18" t="s">
        <v>38</v>
      </c>
      <c r="B77" s="18" t="s">
        <v>185</v>
      </c>
      <c r="C77" s="18" t="s">
        <v>16</v>
      </c>
      <c r="D77" s="18" t="s">
        <v>186</v>
      </c>
      <c r="E77" s="25">
        <v>46174</v>
      </c>
      <c r="F77" s="22">
        <v>1315.139999999999</v>
      </c>
      <c r="G77" s="26">
        <v>160</v>
      </c>
      <c r="H77" s="23" t="s">
        <v>39</v>
      </c>
      <c r="I77" s="23" t="s">
        <v>39</v>
      </c>
      <c r="J77" s="23" t="s">
        <v>39</v>
      </c>
      <c r="K77" s="23" t="s">
        <v>39</v>
      </c>
      <c r="L77" s="23" t="s">
        <v>39</v>
      </c>
      <c r="M77" s="22">
        <f>IF(COUNT()=0,SUM(),"n.d.")</f>
        <v>0</v>
      </c>
      <c r="N77" s="23" t="s">
        <v>39</v>
      </c>
      <c r="O77" s="22">
        <f>IF(COUNT(F77,M77)=2,F77-M77,"n.d.")</f>
        <v>1315.139999999999</v>
      </c>
      <c r="P77" s="26" t="str">
        <f>IF(COUNT(G77,N77)=2,G77-N77,"n.d.")</f>
        <v>n.d.</v>
      </c>
      <c r="Q77" s="27">
        <f>IF(COUNTIFS('Taux'!$A$6:$A$20,A77,'Taux'!$B$6:$B$20,D77)=1,SUMIFS('Taux'!$D$6:$D$20,'Taux'!$A$6:$A$20,A77,'Taux'!$B$6:$B$20,D77),"n.d.")</f>
        <v>5.855892595</v>
      </c>
      <c r="R77" s="22">
        <f>IF(COUNT(F77,Q77)=2,F77/Q77,"n.d.")</f>
        <v>224.58403713260026</v>
      </c>
      <c r="S77" s="22">
        <f>IF(COUNT(M77,Q77)=2,M77/Q77,"n.d.")</f>
        <v>0.0</v>
      </c>
      <c r="T77" s="24">
        <f>IF(OR(COUNT(F77,M77)&lt;&gt;2,F77=0),"n.d.",M77/F77)</f>
        <v>0.0</v>
      </c>
      <c r="U77" s="24" t="str">
        <f>IF(OR(COUNT(G77,N77)&lt;&gt;2,G77=0),"n.d.",N77/G77)</f>
        <v>n.d.</v>
      </c>
      <c r="V77" s="23" t="s">
        <v>39</v>
      </c>
    </row>
    <row r="78" spans="1:23" ht="19" customHeight="1">
      <c r="A78" s="18" t="s">
        <v>38</v>
      </c>
      <c r="B78" s="18" t="s">
        <v>182</v>
      </c>
      <c r="C78" s="18" t="s">
        <v>14</v>
      </c>
      <c r="D78" s="18" t="s">
        <v>183</v>
      </c>
      <c r="E78" s="25">
        <v>46023</v>
      </c>
      <c r="F78" s="22">
        <v>3011740.890000002</v>
      </c>
      <c r="G78" s="26">
        <v>15986</v>
      </c>
      <c r="H78" s="22">
        <v>1918665.800000001</v>
      </c>
      <c r="I78" s="22">
        <v>0</v>
      </c>
      <c r="J78" s="22">
        <v>36987.21000000012</v>
      </c>
      <c r="K78" s="23" t="s">
        <v>39</v>
      </c>
      <c r="L78" s="23" t="s">
        <v>39</v>
      </c>
      <c r="M78" s="22">
        <f>V78</f>
        <v>1955653.0100000016</v>
      </c>
      <c r="N78" s="26">
        <v>13668</v>
      </c>
      <c r="O78" s="22">
        <f>IF(COUNT(F78,M78)=2,F78-M78,"n.d.")</f>
        <v>1056087.8800000008</v>
      </c>
      <c r="P78" s="26">
        <f>IF(COUNT(G78,N78)=2,G78-N78,"n.d.")</f>
        <v>2318</v>
      </c>
      <c r="Q78" s="27">
        <f>IF(COUNTIFS('Taux'!$A$6:$A$20,A78,'Taux'!$B$6:$B$20,D78)=1,SUMIFS('Taux'!$D$6:$D$20,'Taux'!$A$6:$A$20,A78,'Taux'!$B$6:$B$20,D78),"n.d.")</f>
        <v>18.58943911</v>
      </c>
      <c r="R78" s="22">
        <f>IF(COUNT(F78,Q78)=2,F78/Q78,"n.d.")</f>
        <v>162013.5428604657</v>
      </c>
      <c r="S78" s="22">
        <f>IF(COUNT(M78,Q78)=2,M78/Q78,"n.d.")</f>
        <v>105202.36777601202</v>
      </c>
      <c r="T78" s="24">
        <f>IF(OR(COUNT(F78,M78)&lt;&gt;2,F78=0),"n.d.",M78/F78)</f>
        <v>0.6493430482328113</v>
      </c>
      <c r="U78" s="24">
        <f>IF(OR(COUNT(G78,N78)&lt;&gt;2,G78=0),"n.d.",N78/G78)</f>
        <v>0.8549981233579382</v>
      </c>
      <c r="V78" s="22">
        <v>1955653.010000002</v>
      </c>
    </row>
    <row r="79" spans="1:23" ht="19" customHeight="1">
      <c r="A79" s="18" t="s">
        <v>38</v>
      </c>
      <c r="B79" s="18" t="s">
        <v>182</v>
      </c>
      <c r="C79" s="18" t="s">
        <v>14</v>
      </c>
      <c r="D79" s="18" t="s">
        <v>183</v>
      </c>
      <c r="E79" s="25">
        <v>46054</v>
      </c>
      <c r="F79" s="22">
        <v>3204444.210000011</v>
      </c>
      <c r="G79" s="26">
        <v>15076</v>
      </c>
      <c r="H79" s="22">
        <v>2062472.940000003</v>
      </c>
      <c r="I79" s="22">
        <v>0</v>
      </c>
      <c r="J79" s="22">
        <v>35180.93999999989</v>
      </c>
      <c r="K79" s="23" t="s">
        <v>39</v>
      </c>
      <c r="L79" s="23" t="s">
        <v>39</v>
      </c>
      <c r="M79" s="22">
        <f>V79</f>
        <v>2097653.8800000027</v>
      </c>
      <c r="N79" s="26">
        <v>12514</v>
      </c>
      <c r="O79" s="22">
        <f>IF(COUNT(F79,M79)=2,F79-M79,"n.d.")</f>
        <v>1106790.3300000085</v>
      </c>
      <c r="P79" s="26">
        <f>IF(COUNT(G79,N79)=2,G79-N79,"n.d.")</f>
        <v>2562</v>
      </c>
      <c r="Q79" s="27">
        <f>IF(COUNTIFS('Taux'!$A$6:$A$20,A79,'Taux'!$B$6:$B$20,D79)=1,SUMIFS('Taux'!$D$6:$D$20,'Taux'!$A$6:$A$20,A79,'Taux'!$B$6:$B$20,D79),"n.d.")</f>
        <v>18.58943911</v>
      </c>
      <c r="R79" s="22">
        <f>IF(COUNT(F79,Q79)=2,F79/Q79,"n.d.")</f>
        <v>172379.82227641353</v>
      </c>
      <c r="S79" s="22">
        <f>IF(COUNT(M79,Q79)=2,M79/Q79,"n.d.")</f>
        <v>112841.16038076647</v>
      </c>
      <c r="T79" s="24">
        <f>IF(OR(COUNT(F79,M79)&lt;&gt;2,F79=0),"n.d.",M79/F79)</f>
        <v>0.6546077080867623</v>
      </c>
      <c r="U79" s="24">
        <f>IF(OR(COUNT(G79,N79)&lt;&gt;2,G79=0),"n.d.",N79/G79)</f>
        <v>0.8300610241443354</v>
      </c>
      <c r="V79" s="22">
        <v>2097653.880000003</v>
      </c>
    </row>
    <row r="80" spans="1:23" ht="19" customHeight="1">
      <c r="A80" s="18" t="s">
        <v>38</v>
      </c>
      <c r="B80" s="18" t="s">
        <v>182</v>
      </c>
      <c r="C80" s="18" t="s">
        <v>14</v>
      </c>
      <c r="D80" s="18" t="s">
        <v>183</v>
      </c>
      <c r="E80" s="25">
        <v>46082</v>
      </c>
      <c r="F80" s="22">
        <v>3967369.499999995</v>
      </c>
      <c r="G80" s="26">
        <v>20647</v>
      </c>
      <c r="H80" s="22">
        <v>2223180.750000002</v>
      </c>
      <c r="I80" s="22">
        <v>0</v>
      </c>
      <c r="J80" s="22">
        <v>43750.53999999986</v>
      </c>
      <c r="K80" s="23" t="s">
        <v>39</v>
      </c>
      <c r="L80" s="23" t="s">
        <v>39</v>
      </c>
      <c r="M80" s="22">
        <f>V80</f>
        <v>2266931.2900000024</v>
      </c>
      <c r="N80" s="26">
        <v>16381</v>
      </c>
      <c r="O80" s="22">
        <f>IF(COUNT(F80,M80)=2,F80-M80,"n.d.")</f>
        <v>1700438.209999993</v>
      </c>
      <c r="P80" s="26">
        <f>IF(COUNT(G80,N80)=2,G80-N80,"n.d.")</f>
        <v>4266</v>
      </c>
      <c r="Q80" s="27">
        <f>IF(COUNTIFS('Taux'!$A$6:$A$20,A80,'Taux'!$B$6:$B$20,D80)=1,SUMIFS('Taux'!$D$6:$D$20,'Taux'!$A$6:$A$20,A80,'Taux'!$B$6:$B$20,D80),"n.d.")</f>
        <v>18.58943911</v>
      </c>
      <c r="R80" s="22">
        <f>IF(COUNT(F80,Q80)=2,F80/Q80,"n.d.")</f>
        <v>213420.61352812895</v>
      </c>
      <c r="S80" s="22">
        <f>IF(COUNT(M80,Q80)=2,M80/Q80,"n.d.")</f>
        <v>121947.26675645258</v>
      </c>
      <c r="T80" s="24">
        <f>IF(OR(COUNT(F80,M80)&lt;&gt;2,F80=0),"n.d.",M80/F80)</f>
        <v>0.5713940408121817</v>
      </c>
      <c r="U80" s="24">
        <f>IF(OR(COUNT(G80,N80)&lt;&gt;2,G80=0),"n.d.",N80/G80)</f>
        <v>0.7933840267351189</v>
      </c>
      <c r="V80" s="22">
        <v>2266931.290000002</v>
      </c>
    </row>
    <row r="81" spans="1:23" ht="19" customHeight="1">
      <c r="A81" s="18" t="s">
        <v>38</v>
      </c>
      <c r="B81" s="18" t="s">
        <v>182</v>
      </c>
      <c r="C81" s="18" t="s">
        <v>14</v>
      </c>
      <c r="D81" s="18" t="s">
        <v>183</v>
      </c>
      <c r="E81" s="25">
        <v>46113</v>
      </c>
      <c r="F81" s="22">
        <v>3744649.509999959</v>
      </c>
      <c r="G81" s="26">
        <v>19325</v>
      </c>
      <c r="H81" s="22">
        <v>1934850.760000001</v>
      </c>
      <c r="I81" s="22">
        <v>0</v>
      </c>
      <c r="J81" s="22">
        <v>32265.62999999982</v>
      </c>
      <c r="K81" s="23" t="s">
        <v>39</v>
      </c>
      <c r="L81" s="23" t="s">
        <v>39</v>
      </c>
      <c r="M81" s="22">
        <f>V81</f>
        <v>1967116.3900000006</v>
      </c>
      <c r="N81" s="26">
        <v>14193</v>
      </c>
      <c r="O81" s="22">
        <f>IF(COUNT(F81,M81)=2,F81-M81,"n.d.")</f>
        <v>1777533.1199999582</v>
      </c>
      <c r="P81" s="26">
        <f>IF(COUNT(G81,N81)=2,G81-N81,"n.d.")</f>
        <v>5132</v>
      </c>
      <c r="Q81" s="27">
        <f>IF(COUNTIFS('Taux'!$A$6:$A$20,A81,'Taux'!$B$6:$B$20,D81)=1,SUMIFS('Taux'!$D$6:$D$20,'Taux'!$A$6:$A$20,A81,'Taux'!$B$6:$B$20,D81),"n.d.")</f>
        <v>18.58943911</v>
      </c>
      <c r="R81" s="22">
        <f>IF(COUNT(F81,Q81)=2,F81/Q81,"n.d.")</f>
        <v>201439.61783040364</v>
      </c>
      <c r="S81" s="22">
        <f>IF(COUNT(M81,Q81)=2,M81/Q81,"n.d.")</f>
        <v>105819.02866245223</v>
      </c>
      <c r="T81" s="24">
        <f>IF(OR(COUNT(F81,M81)&lt;&gt;2,F81=0),"n.d.",M81/F81)</f>
        <v>0.5253138871199784</v>
      </c>
      <c r="U81" s="24">
        <f>IF(OR(COUNT(G81,N81)&lt;&gt;2,G81=0),"n.d.",N81/G81)</f>
        <v>0.7344372574385511</v>
      </c>
      <c r="V81" s="22">
        <v>1967116.390000001</v>
      </c>
    </row>
    <row r="82" spans="1:23" ht="19" customHeight="1">
      <c r="A82" s="18" t="s">
        <v>38</v>
      </c>
      <c r="B82" s="18" t="s">
        <v>182</v>
      </c>
      <c r="C82" s="18" t="s">
        <v>14</v>
      </c>
      <c r="D82" s="18" t="s">
        <v>183</v>
      </c>
      <c r="E82" s="25">
        <v>46143</v>
      </c>
      <c r="F82" s="22">
        <v>3862871.999999942</v>
      </c>
      <c r="G82" s="26">
        <v>19737</v>
      </c>
      <c r="H82" s="22">
        <v>1629996.219999999</v>
      </c>
      <c r="I82" s="22">
        <v>0</v>
      </c>
      <c r="J82" s="22">
        <v>22796.06000000011</v>
      </c>
      <c r="K82" s="23" t="s">
        <v>39</v>
      </c>
      <c r="L82" s="23" t="s">
        <v>39</v>
      </c>
      <c r="M82" s="22">
        <f>V82</f>
        <v>1652792.279999999</v>
      </c>
      <c r="N82" s="26">
        <v>11973</v>
      </c>
      <c r="O82" s="22">
        <f>IF(COUNT(F82,M82)=2,F82-M82,"n.d.")</f>
        <v>2210079.719999943</v>
      </c>
      <c r="P82" s="26">
        <f>IF(COUNT(G82,N82)=2,G82-N82,"n.d.")</f>
        <v>7764</v>
      </c>
      <c r="Q82" s="27">
        <f>IF(COUNTIFS('Taux'!$A$6:$A$20,A82,'Taux'!$B$6:$B$20,D82)=1,SUMIFS('Taux'!$D$6:$D$20,'Taux'!$A$6:$A$20,A82,'Taux'!$B$6:$B$20,D82),"n.d.")</f>
        <v>18.58943911</v>
      </c>
      <c r="R82" s="22">
        <f>IF(COUNT(F82,Q82)=2,F82/Q82,"n.d.")</f>
        <v>207799.2766291668</v>
      </c>
      <c r="S82" s="22">
        <f>IF(COUNT(M82,Q82)=2,M82/Q82,"n.d.")</f>
        <v>88910.28235009502</v>
      </c>
      <c r="T82" s="24">
        <f>IF(OR(COUNT(F82,M82)&lt;&gt;2,F82=0),"n.d.",M82/F82)</f>
        <v>0.4278661783253558</v>
      </c>
      <c r="U82" s="24">
        <f>IF(OR(COUNT(G82,N82)&lt;&gt;2,G82=0),"n.d.",N82/G82)</f>
        <v>0.6066271469828242</v>
      </c>
      <c r="V82" s="22">
        <v>1652792.279999999</v>
      </c>
    </row>
    <row r="83" spans="1:23" ht="19" customHeight="1">
      <c r="A83" s="18" t="s">
        <v>38</v>
      </c>
      <c r="B83" s="18" t="s">
        <v>182</v>
      </c>
      <c r="C83" s="18" t="s">
        <v>14</v>
      </c>
      <c r="D83" s="18" t="s">
        <v>183</v>
      </c>
      <c r="E83" s="25">
        <v>46174</v>
      </c>
      <c r="F83" s="22">
        <v>4224061.329999999</v>
      </c>
      <c r="G83" s="26">
        <v>24203</v>
      </c>
      <c r="H83" s="22">
        <v>0</v>
      </c>
      <c r="I83" s="22">
        <v>0</v>
      </c>
      <c r="J83" s="22">
        <v>22298.12</v>
      </c>
      <c r="K83" s="23" t="s">
        <v>39</v>
      </c>
      <c r="L83" s="23" t="s">
        <v>39</v>
      </c>
      <c r="M83" s="22">
        <f>V83</f>
        <v>22298.119999999995</v>
      </c>
      <c r="N83" s="26">
        <v>7621</v>
      </c>
      <c r="O83" s="22">
        <f>IF(COUNT(F83,M83)=2,F83-M83,"n.d.")</f>
        <v>4201763.209999999</v>
      </c>
      <c r="P83" s="26">
        <f>IF(COUNT(G83,N83)=2,G83-N83,"n.d.")</f>
        <v>16582</v>
      </c>
      <c r="Q83" s="27">
        <f>IF(COUNTIFS('Taux'!$A$6:$A$20,A83,'Taux'!$B$6:$B$20,D83)=1,SUMIFS('Taux'!$D$6:$D$20,'Taux'!$A$6:$A$20,A83,'Taux'!$B$6:$B$20,D83),"n.d.")</f>
        <v>18.58943911</v>
      </c>
      <c r="R83" s="22">
        <f>IF(COUNT(F83,Q83)=2,F83/Q83,"n.d.")</f>
        <v>227229.08986144225</v>
      </c>
      <c r="S83" s="22">
        <f>IF(COUNT(M83,Q83)=2,M83/Q83,"n.d.")</f>
        <v>1199.5047224423759</v>
      </c>
      <c r="T83" s="24">
        <f>IF(OR(COUNT(F83,M83)&lt;&gt;2,F83=0),"n.d.",M83/F83)</f>
        <v>0.005278834339273194</v>
      </c>
      <c r="U83" s="24">
        <f>IF(OR(COUNT(G83,N83)&lt;&gt;2,G83=0),"n.d.",N83/G83)</f>
        <v>0.3148783208693137</v>
      </c>
      <c r="V83" s="22">
        <v>22298.12</v>
      </c>
    </row>
    <row r="84" spans="1:23" ht="19" customHeight="1">
      <c r="A84" s="18" t="s">
        <v>5</v>
      </c>
      <c r="B84" s="18" t="s">
        <v>177</v>
      </c>
      <c r="C84" s="18" t="s">
        <v>9</v>
      </c>
      <c r="D84" s="18" t="s">
        <v>174</v>
      </c>
      <c r="E84" s="25">
        <v>46113</v>
      </c>
      <c r="F84" s="22">
        <v>105005</v>
      </c>
      <c r="G84" s="26">
        <v>286</v>
      </c>
      <c r="H84" s="22">
        <v>105005</v>
      </c>
      <c r="I84" s="22">
        <v>0</v>
      </c>
      <c r="J84" s="23" t="s">
        <v>39</v>
      </c>
      <c r="K84" s="22">
        <v>0</v>
      </c>
      <c r="L84" s="23" t="s">
        <v>39</v>
      </c>
      <c r="M84" s="22">
        <f>V84</f>
        <v>105005.0</v>
      </c>
      <c r="N84" s="26">
        <v>286</v>
      </c>
      <c r="O84" s="22">
        <f>IF(COUNT(F84,M84)=2,F84-M84,"n.d.")</f>
        <v>0.0</v>
      </c>
      <c r="P84" s="26">
        <f>IF(COUNT(G84,N84)=2,G84-N84,"n.d.")</f>
        <v>0.0</v>
      </c>
      <c r="Q84" s="27">
        <f>IF(COUNTIFS('Taux'!$A$6:$A$20,A84,'Taux'!$B$6:$B$20,D84)=1,SUMIFS('Taux'!$D$6:$D$20,'Taux'!$A$6:$A$20,A84,'Taux'!$B$6:$B$20,D84),"n.d.")</f>
        <v>1</v>
      </c>
      <c r="R84" s="22">
        <f>IF(COUNT(F84,Q84)=2,F84/Q84,"n.d.")</f>
        <v>105005.0</v>
      </c>
      <c r="S84" s="22">
        <f>IF(COUNT(M84,Q84)=2,M84/Q84,"n.d.")</f>
        <v>105005.0</v>
      </c>
      <c r="T84" s="24">
        <f>IF(OR(COUNT(F84,M84)&lt;&gt;2,F84=0),"n.d.",M84/F84)</f>
        <v>1.0</v>
      </c>
      <c r="U84" s="24">
        <f>IF(OR(COUNT(G84,N84)&lt;&gt;2,G84=0),"n.d.",N84/G84)</f>
        <v>1.0</v>
      </c>
      <c r="V84" s="22">
        <v>105005</v>
      </c>
    </row>
    <row r="85" spans="1:23" ht="19" customHeight="1">
      <c r="A85" s="18" t="s">
        <v>5</v>
      </c>
      <c r="B85" s="18" t="s">
        <v>177</v>
      </c>
      <c r="C85" s="18" t="s">
        <v>9</v>
      </c>
      <c r="D85" s="18" t="s">
        <v>174</v>
      </c>
      <c r="E85" s="25">
        <v>46143</v>
      </c>
      <c r="F85" s="22">
        <v>68164</v>
      </c>
      <c r="G85" s="26">
        <v>174</v>
      </c>
      <c r="H85" s="22">
        <v>68044</v>
      </c>
      <c r="I85" s="22">
        <v>0</v>
      </c>
      <c r="J85" s="23" t="s">
        <v>39</v>
      </c>
      <c r="K85" s="22">
        <v>0</v>
      </c>
      <c r="L85" s="23" t="s">
        <v>39</v>
      </c>
      <c r="M85" s="22">
        <f>V85</f>
        <v>68044.0</v>
      </c>
      <c r="N85" s="26">
        <v>173</v>
      </c>
      <c r="O85" s="22">
        <f>IF(COUNT(F85,M85)=2,F85-M85,"n.d.")</f>
        <v>120.0</v>
      </c>
      <c r="P85" s="26">
        <f>IF(COUNT(G85,N85)=2,G85-N85,"n.d.")</f>
        <v>1.0</v>
      </c>
      <c r="Q85" s="27">
        <f>IF(COUNTIFS('Taux'!$A$6:$A$20,A85,'Taux'!$B$6:$B$20,D85)=1,SUMIFS('Taux'!$D$6:$D$20,'Taux'!$A$6:$A$20,A85,'Taux'!$B$6:$B$20,D85),"n.d.")</f>
        <v>1</v>
      </c>
      <c r="R85" s="22">
        <f>IF(COUNT(F85,Q85)=2,F85/Q85,"n.d.")</f>
        <v>68164.0</v>
      </c>
      <c r="S85" s="22">
        <f>IF(COUNT(M85,Q85)=2,M85/Q85,"n.d.")</f>
        <v>68044.0</v>
      </c>
      <c r="T85" s="24">
        <f>IF(OR(COUNT(F85,M85)&lt;&gt;2,F85=0),"n.d.",M85/F85)</f>
        <v>0.9982395399331025</v>
      </c>
      <c r="U85" s="24">
        <f>IF(OR(COUNT(G85,N85)&lt;&gt;2,G85=0),"n.d.",N85/G85)</f>
        <v>0.9942528735632183</v>
      </c>
      <c r="V85" s="22">
        <v>68044</v>
      </c>
    </row>
    <row r="86" spans="1:23" ht="19" customHeight="1">
      <c r="A86" s="18" t="s">
        <v>5</v>
      </c>
      <c r="B86" s="18" t="s">
        <v>177</v>
      </c>
      <c r="C86" s="18" t="s">
        <v>9</v>
      </c>
      <c r="D86" s="18" t="s">
        <v>174</v>
      </c>
      <c r="E86" s="25">
        <v>46174</v>
      </c>
      <c r="F86" s="22">
        <v>104341</v>
      </c>
      <c r="G86" s="26">
        <v>211</v>
      </c>
      <c r="H86" s="22">
        <v>102512</v>
      </c>
      <c r="I86" s="22">
        <v>0</v>
      </c>
      <c r="J86" s="23" t="s">
        <v>39</v>
      </c>
      <c r="K86" s="22">
        <v>0</v>
      </c>
      <c r="L86" s="23" t="s">
        <v>39</v>
      </c>
      <c r="M86" s="22">
        <f>V86</f>
        <v>102512.0</v>
      </c>
      <c r="N86" s="26">
        <v>206</v>
      </c>
      <c r="O86" s="22">
        <f>IF(COUNT(F86,M86)=2,F86-M86,"n.d.")</f>
        <v>1829.0</v>
      </c>
      <c r="P86" s="26">
        <f>IF(COUNT(G86,N86)=2,G86-N86,"n.d.")</f>
        <v>5.0</v>
      </c>
      <c r="Q86" s="27">
        <f>IF(COUNTIFS('Taux'!$A$6:$A$20,A86,'Taux'!$B$6:$B$20,D86)=1,SUMIFS('Taux'!$D$6:$D$20,'Taux'!$A$6:$A$20,A86,'Taux'!$B$6:$B$20,D86),"n.d.")</f>
        <v>1</v>
      </c>
      <c r="R86" s="22">
        <f>IF(COUNT(F86,Q86)=2,F86/Q86,"n.d.")</f>
        <v>104341.0</v>
      </c>
      <c r="S86" s="22">
        <f>IF(COUNT(M86,Q86)=2,M86/Q86,"n.d.")</f>
        <v>102512.0</v>
      </c>
      <c r="T86" s="24">
        <f>IF(OR(COUNT(F86,M86)&lt;&gt;2,F86=0),"n.d.",M86/F86)</f>
        <v>0.9824709366404386</v>
      </c>
      <c r="U86" s="24">
        <f>IF(OR(COUNT(G86,N86)&lt;&gt;2,G86=0),"n.d.",N86/G86)</f>
        <v>0.976303317535545</v>
      </c>
      <c r="V86" s="22">
        <v>102512</v>
      </c>
    </row>
    <row r="87" spans="1:23" ht="19" customHeight="1">
      <c r="A87" s="18" t="s">
        <v>5</v>
      </c>
      <c r="B87" s="18" t="s">
        <v>177</v>
      </c>
      <c r="C87" s="18" t="s">
        <v>9</v>
      </c>
      <c r="D87" s="18" t="s">
        <v>174</v>
      </c>
      <c r="E87" s="25">
        <v>46204</v>
      </c>
      <c r="F87" s="22">
        <v>71809</v>
      </c>
      <c r="G87" s="26">
        <v>166</v>
      </c>
      <c r="H87" s="22">
        <v>65509</v>
      </c>
      <c r="I87" s="22">
        <v>0</v>
      </c>
      <c r="J87" s="23" t="s">
        <v>39</v>
      </c>
      <c r="K87" s="22">
        <v>0</v>
      </c>
      <c r="L87" s="23" t="s">
        <v>39</v>
      </c>
      <c r="M87" s="22">
        <f>V87</f>
        <v>65509.0</v>
      </c>
      <c r="N87" s="26">
        <v>141</v>
      </c>
      <c r="O87" s="22">
        <f>IF(COUNT(F87,M87)=2,F87-M87,"n.d.")</f>
        <v>6300.0</v>
      </c>
      <c r="P87" s="26">
        <f>IF(COUNT(G87,N87)=2,G87-N87,"n.d.")</f>
        <v>25.0</v>
      </c>
      <c r="Q87" s="27">
        <f>IF(COUNTIFS('Taux'!$A$6:$A$20,A87,'Taux'!$B$6:$B$20,D87)=1,SUMIFS('Taux'!$D$6:$D$20,'Taux'!$A$6:$A$20,A87,'Taux'!$B$6:$B$20,D87),"n.d.")</f>
        <v>1</v>
      </c>
      <c r="R87" s="22">
        <f>IF(COUNT(F87,Q87)=2,F87/Q87,"n.d.")</f>
        <v>71809.0</v>
      </c>
      <c r="S87" s="22">
        <f>IF(COUNT(M87,Q87)=2,M87/Q87,"n.d.")</f>
        <v>65509.0</v>
      </c>
      <c r="T87" s="24">
        <f>IF(OR(COUNT(F87,M87)&lt;&gt;2,F87=0),"n.d.",M87/F87)</f>
        <v>0.912267264549012</v>
      </c>
      <c r="U87" s="24">
        <f>IF(OR(COUNT(G87,N87)&lt;&gt;2,G87=0),"n.d.",N87/G87)</f>
        <v>0.8493975903614458</v>
      </c>
      <c r="V87" s="22">
        <v>65509</v>
      </c>
    </row>
    <row r="88" spans="1:23" ht="19" customHeight="1">
      <c r="A88" s="18" t="s">
        <v>5</v>
      </c>
      <c r="B88" s="18" t="s">
        <v>177</v>
      </c>
      <c r="C88" s="18" t="s">
        <v>9</v>
      </c>
      <c r="D88" s="18" t="s">
        <v>174</v>
      </c>
      <c r="E88" s="25">
        <v>46235</v>
      </c>
      <c r="F88" s="22">
        <v>119870</v>
      </c>
      <c r="G88" s="26">
        <v>163</v>
      </c>
      <c r="H88" s="22">
        <v>80053</v>
      </c>
      <c r="I88" s="22">
        <v>0</v>
      </c>
      <c r="J88" s="23" t="s">
        <v>39</v>
      </c>
      <c r="K88" s="22">
        <v>0</v>
      </c>
      <c r="L88" s="23" t="s">
        <v>39</v>
      </c>
      <c r="M88" s="22">
        <f>V88</f>
        <v>80053.0</v>
      </c>
      <c r="N88" s="26">
        <v>120</v>
      </c>
      <c r="O88" s="22">
        <f>IF(COUNT(F88,M88)=2,F88-M88,"n.d.")</f>
        <v>39817.0</v>
      </c>
      <c r="P88" s="26">
        <f>IF(COUNT(G88,N88)=2,G88-N88,"n.d.")</f>
        <v>43.0</v>
      </c>
      <c r="Q88" s="27">
        <f>IF(COUNTIFS('Taux'!$A$6:$A$20,A88,'Taux'!$B$6:$B$20,D88)=1,SUMIFS('Taux'!$D$6:$D$20,'Taux'!$A$6:$A$20,A88,'Taux'!$B$6:$B$20,D88),"n.d.")</f>
        <v>1</v>
      </c>
      <c r="R88" s="22">
        <f>IF(COUNT(F88,Q88)=2,F88/Q88,"n.d.")</f>
        <v>119870.0</v>
      </c>
      <c r="S88" s="22">
        <f>IF(COUNT(M88,Q88)=2,M88/Q88,"n.d.")</f>
        <v>80053.0</v>
      </c>
      <c r="T88" s="24">
        <f>IF(OR(COUNT(F88,M88)&lt;&gt;2,F88=0),"n.d.",M88/F88)</f>
        <v>0.6678318178026195</v>
      </c>
      <c r="U88" s="24">
        <f>IF(OR(COUNT(G88,N88)&lt;&gt;2,G88=0),"n.d.",N88/G88)</f>
        <v>0.7361963190184049</v>
      </c>
      <c r="V88" s="22">
        <v>80053</v>
      </c>
    </row>
    <row r="89" spans="1:23" ht="19" customHeight="1">
      <c r="A89" s="18" t="s">
        <v>5</v>
      </c>
      <c r="B89" s="18" t="s">
        <v>177</v>
      </c>
      <c r="C89" s="18" t="s">
        <v>9</v>
      </c>
      <c r="D89" s="18" t="s">
        <v>174</v>
      </c>
      <c r="E89" s="25">
        <v>46266</v>
      </c>
      <c r="F89" s="22">
        <v>52704</v>
      </c>
      <c r="G89" s="26">
        <v>156</v>
      </c>
      <c r="H89" s="22">
        <v>0</v>
      </c>
      <c r="I89" s="22">
        <v>0</v>
      </c>
      <c r="J89" s="23" t="s">
        <v>39</v>
      </c>
      <c r="K89" s="22">
        <v>0</v>
      </c>
      <c r="L89" s="23" t="s">
        <v>39</v>
      </c>
      <c r="M89" s="22">
        <f>V89</f>
        <v>0.0</v>
      </c>
      <c r="N89" s="26">
        <v>0</v>
      </c>
      <c r="O89" s="22">
        <f>IF(COUNT(F89,M89)=2,F89-M89,"n.d.")</f>
        <v>52704.0</v>
      </c>
      <c r="P89" s="26">
        <f>IF(COUNT(G89,N89)=2,G89-N89,"n.d.")</f>
        <v>156.0</v>
      </c>
      <c r="Q89" s="27">
        <f>IF(COUNTIFS('Taux'!$A$6:$A$20,A89,'Taux'!$B$6:$B$20,D89)=1,SUMIFS('Taux'!$D$6:$D$20,'Taux'!$A$6:$A$20,A89,'Taux'!$B$6:$B$20,D89),"n.d.")</f>
        <v>1</v>
      </c>
      <c r="R89" s="22">
        <f>IF(COUNT(F89,Q89)=2,F89/Q89,"n.d.")</f>
        <v>52704.0</v>
      </c>
      <c r="S89" s="22">
        <f>IF(COUNT(M89,Q89)=2,M89/Q89,"n.d.")</f>
        <v>0.0</v>
      </c>
      <c r="T89" s="24">
        <f>IF(OR(COUNT(F89,M89)&lt;&gt;2,F89=0),"n.d.",M89/F89)</f>
        <v>0.0</v>
      </c>
      <c r="U89" s="24">
        <f>IF(OR(COUNT(G89,N89)&lt;&gt;2,G89=0),"n.d.",N89/G89)</f>
        <v>0.0</v>
      </c>
      <c r="V89" s="22">
        <v>0</v>
      </c>
    </row>
    <row r="90" spans="1:23" ht="19" customHeight="1">
      <c r="A90" s="18" t="s">
        <v>5</v>
      </c>
      <c r="B90" s="18" t="s">
        <v>173</v>
      </c>
      <c r="C90" s="18" t="s">
        <v>7</v>
      </c>
      <c r="D90" s="18" t="s">
        <v>174</v>
      </c>
      <c r="E90" s="25">
        <v>46113</v>
      </c>
      <c r="F90" s="22">
        <v>3475518</v>
      </c>
      <c r="G90" s="26">
        <v>6729</v>
      </c>
      <c r="H90" s="22">
        <v>1149668</v>
      </c>
      <c r="I90" s="22">
        <v>25</v>
      </c>
      <c r="J90" s="22">
        <v>2277102</v>
      </c>
      <c r="K90" s="23" t="s">
        <v>39</v>
      </c>
      <c r="L90" s="23" t="s">
        <v>39</v>
      </c>
      <c r="M90" s="22">
        <f>V90</f>
        <v>3426794.0</v>
      </c>
      <c r="N90" s="26">
        <v>6419</v>
      </c>
      <c r="O90" s="22">
        <f>IF(COUNT(F90,M90)=2,F90-M90,"n.d.")</f>
        <v>48724.0</v>
      </c>
      <c r="P90" s="26">
        <f>IF(COUNT(G90,N90)=2,G90-N90,"n.d.")</f>
        <v>310.0</v>
      </c>
      <c r="Q90" s="27">
        <f>IF(COUNTIFS('Taux'!$A$6:$A$20,A90,'Taux'!$B$6:$B$20,D90)=1,SUMIFS('Taux'!$D$6:$D$20,'Taux'!$A$6:$A$20,A90,'Taux'!$B$6:$B$20,D90),"n.d.")</f>
        <v>1</v>
      </c>
      <c r="R90" s="22">
        <f>IF(COUNT(F90,Q90)=2,F90/Q90,"n.d.")</f>
        <v>3475518.0</v>
      </c>
      <c r="S90" s="22">
        <f>IF(COUNT(M90,Q90)=2,M90/Q90,"n.d.")</f>
        <v>3426794.0</v>
      </c>
      <c r="T90" s="24">
        <f>IF(OR(COUNT(F90,M90)&lt;&gt;2,F90=0),"n.d.",M90/F90)</f>
        <v>0.9859807948052636</v>
      </c>
      <c r="U90" s="24">
        <f>IF(OR(COUNT(G90,N90)&lt;&gt;2,G90=0),"n.d.",N90/G90)</f>
        <v>0.9539307475107742</v>
      </c>
      <c r="V90" s="22">
        <v>3426794</v>
      </c>
    </row>
    <row r="91" spans="1:23" ht="19" customHeight="1">
      <c r="A91" s="18" t="s">
        <v>5</v>
      </c>
      <c r="B91" s="18" t="s">
        <v>173</v>
      </c>
      <c r="C91" s="18" t="s">
        <v>7</v>
      </c>
      <c r="D91" s="18" t="s">
        <v>174</v>
      </c>
      <c r="E91" s="25">
        <v>46143</v>
      </c>
      <c r="F91" s="22">
        <v>3162844</v>
      </c>
      <c r="G91" s="26">
        <v>6720</v>
      </c>
      <c r="H91" s="22">
        <v>1210913</v>
      </c>
      <c r="I91" s="22">
        <v>0</v>
      </c>
      <c r="J91" s="22">
        <v>1866008</v>
      </c>
      <c r="K91" s="23" t="s">
        <v>39</v>
      </c>
      <c r="L91" s="23" t="s">
        <v>39</v>
      </c>
      <c r="M91" s="22">
        <f>V91</f>
        <v>3076922.0</v>
      </c>
      <c r="N91" s="26">
        <v>6100</v>
      </c>
      <c r="O91" s="22">
        <f>IF(COUNT(F91,M91)=2,F91-M91,"n.d.")</f>
        <v>85922.0</v>
      </c>
      <c r="P91" s="26">
        <f>IF(COUNT(G91,N91)=2,G91-N91,"n.d.")</f>
        <v>620.0</v>
      </c>
      <c r="Q91" s="27">
        <f>IF(COUNTIFS('Taux'!$A$6:$A$20,A91,'Taux'!$B$6:$B$20,D91)=1,SUMIFS('Taux'!$D$6:$D$20,'Taux'!$A$6:$A$20,A91,'Taux'!$B$6:$B$20,D91),"n.d.")</f>
        <v>1</v>
      </c>
      <c r="R91" s="22">
        <f>IF(COUNT(F91,Q91)=2,F91/Q91,"n.d.")</f>
        <v>3162844.0</v>
      </c>
      <c r="S91" s="22">
        <f>IF(COUNT(M91,Q91)=2,M91/Q91,"n.d.")</f>
        <v>3076922.0</v>
      </c>
      <c r="T91" s="24">
        <f>IF(OR(COUNT(F91,M91)&lt;&gt;2,F91=0),"n.d.",M91/F91)</f>
        <v>0.9728339431220762</v>
      </c>
      <c r="U91" s="24">
        <f>IF(OR(COUNT(G91,N91)&lt;&gt;2,G91=0),"n.d.",N91/G91)</f>
        <v>0.9077380952380952</v>
      </c>
      <c r="V91" s="22">
        <v>3076922</v>
      </c>
    </row>
    <row r="92" spans="1:23" ht="19" customHeight="1">
      <c r="A92" s="18" t="s">
        <v>5</v>
      </c>
      <c r="B92" s="18" t="s">
        <v>173</v>
      </c>
      <c r="C92" s="18" t="s">
        <v>7</v>
      </c>
      <c r="D92" s="18" t="s">
        <v>174</v>
      </c>
      <c r="E92" s="25">
        <v>46174</v>
      </c>
      <c r="F92" s="22">
        <v>4107101</v>
      </c>
      <c r="G92" s="26">
        <v>7553</v>
      </c>
      <c r="H92" s="22">
        <v>1273686</v>
      </c>
      <c r="I92" s="22">
        <v>28</v>
      </c>
      <c r="J92" s="22">
        <v>2648945</v>
      </c>
      <c r="K92" s="23" t="s">
        <v>39</v>
      </c>
      <c r="L92" s="23" t="s">
        <v>39</v>
      </c>
      <c r="M92" s="22">
        <f>V92</f>
        <v>3922659.0</v>
      </c>
      <c r="N92" s="26">
        <v>6767</v>
      </c>
      <c r="O92" s="22">
        <f>IF(COUNT(F92,M92)=2,F92-M92,"n.d.")</f>
        <v>184442.0</v>
      </c>
      <c r="P92" s="26">
        <f>IF(COUNT(G92,N92)=2,G92-N92,"n.d.")</f>
        <v>786.0</v>
      </c>
      <c r="Q92" s="27">
        <f>IF(COUNTIFS('Taux'!$A$6:$A$20,A92,'Taux'!$B$6:$B$20,D92)=1,SUMIFS('Taux'!$D$6:$D$20,'Taux'!$A$6:$A$20,A92,'Taux'!$B$6:$B$20,D92),"n.d.")</f>
        <v>1</v>
      </c>
      <c r="R92" s="22">
        <f>IF(COUNT(F92,Q92)=2,F92/Q92,"n.d.")</f>
        <v>4107101.0</v>
      </c>
      <c r="S92" s="22">
        <f>IF(COUNT(M92,Q92)=2,M92/Q92,"n.d.")</f>
        <v>3922659.0</v>
      </c>
      <c r="T92" s="24">
        <f>IF(OR(COUNT(F92,M92)&lt;&gt;2,F92=0),"n.d.",M92/F92)</f>
        <v>0.955091924936835</v>
      </c>
      <c r="U92" s="24">
        <f>IF(OR(COUNT(G92,N92)&lt;&gt;2,G92=0),"n.d.",N92/G92)</f>
        <v>0.8959353899112935</v>
      </c>
      <c r="V92" s="22">
        <v>3922659</v>
      </c>
    </row>
    <row r="93" spans="1:23" ht="19" customHeight="1">
      <c r="A93" s="18" t="s">
        <v>5</v>
      </c>
      <c r="B93" s="18" t="s">
        <v>173</v>
      </c>
      <c r="C93" s="18" t="s">
        <v>7</v>
      </c>
      <c r="D93" s="18" t="s">
        <v>174</v>
      </c>
      <c r="E93" s="25">
        <v>46204</v>
      </c>
      <c r="F93" s="22">
        <v>3892550</v>
      </c>
      <c r="G93" s="26">
        <v>6852</v>
      </c>
      <c r="H93" s="22">
        <v>1237658</v>
      </c>
      <c r="I93" s="22">
        <v>0</v>
      </c>
      <c r="J93" s="22">
        <v>2514505</v>
      </c>
      <c r="K93" s="23" t="s">
        <v>39</v>
      </c>
      <c r="L93" s="23" t="s">
        <v>39</v>
      </c>
      <c r="M93" s="22">
        <f>V93</f>
        <v>3752162.0</v>
      </c>
      <c r="N93" s="26">
        <v>5791</v>
      </c>
      <c r="O93" s="22">
        <f>IF(COUNT(F93,M93)=2,F93-M93,"n.d.")</f>
        <v>140388.0</v>
      </c>
      <c r="P93" s="26">
        <f>IF(COUNT(G93,N93)=2,G93-N93,"n.d.")</f>
        <v>1061.0</v>
      </c>
      <c r="Q93" s="27">
        <f>IF(COUNTIFS('Taux'!$A$6:$A$20,A93,'Taux'!$B$6:$B$20,D93)=1,SUMIFS('Taux'!$D$6:$D$20,'Taux'!$A$6:$A$20,A93,'Taux'!$B$6:$B$20,D93),"n.d.")</f>
        <v>1</v>
      </c>
      <c r="R93" s="22">
        <f>IF(COUNT(F93,Q93)=2,F93/Q93,"n.d.")</f>
        <v>3892550.0</v>
      </c>
      <c r="S93" s="22">
        <f>IF(COUNT(M93,Q93)=2,M93/Q93,"n.d.")</f>
        <v>3752162.0</v>
      </c>
      <c r="T93" s="24">
        <f>IF(OR(COUNT(F93,M93)&lt;&gt;2,F93=0),"n.d.",M93/F93)</f>
        <v>0.9639341819629805</v>
      </c>
      <c r="U93" s="24">
        <f>IF(OR(COUNT(G93,N93)&lt;&gt;2,G93=0),"n.d.",N93/G93)</f>
        <v>0.8451546993578517</v>
      </c>
      <c r="V93" s="22">
        <v>3752162</v>
      </c>
    </row>
    <row r="94" spans="1:23" ht="19" customHeight="1">
      <c r="A94" s="18" t="s">
        <v>5</v>
      </c>
      <c r="B94" s="18" t="s">
        <v>173</v>
      </c>
      <c r="C94" s="18" t="s">
        <v>7</v>
      </c>
      <c r="D94" s="18" t="s">
        <v>174</v>
      </c>
      <c r="E94" s="25">
        <v>46235</v>
      </c>
      <c r="F94" s="22">
        <v>2506521</v>
      </c>
      <c r="G94" s="26">
        <v>6218</v>
      </c>
      <c r="H94" s="22">
        <v>918537</v>
      </c>
      <c r="I94" s="22">
        <v>791</v>
      </c>
      <c r="J94" s="22">
        <v>1491253</v>
      </c>
      <c r="K94" s="23" t="s">
        <v>39</v>
      </c>
      <c r="L94" s="23" t="s">
        <v>39</v>
      </c>
      <c r="M94" s="22">
        <f>V94</f>
        <v>2410581.0</v>
      </c>
      <c r="N94" s="26">
        <v>5481</v>
      </c>
      <c r="O94" s="22">
        <f>IF(COUNT(F94,M94)=2,F94-M94,"n.d.")</f>
        <v>95940.0</v>
      </c>
      <c r="P94" s="26">
        <f>IF(COUNT(G94,N94)=2,G94-N94,"n.d.")</f>
        <v>737.0</v>
      </c>
      <c r="Q94" s="27">
        <f>IF(COUNTIFS('Taux'!$A$6:$A$20,A94,'Taux'!$B$6:$B$20,D94)=1,SUMIFS('Taux'!$D$6:$D$20,'Taux'!$A$6:$A$20,A94,'Taux'!$B$6:$B$20,D94),"n.d.")</f>
        <v>1</v>
      </c>
      <c r="R94" s="22">
        <f>IF(COUNT(F94,Q94)=2,F94/Q94,"n.d.")</f>
        <v>2506521.0</v>
      </c>
      <c r="S94" s="22">
        <f>IF(COUNT(M94,Q94)=2,M94/Q94,"n.d.")</f>
        <v>2410581.0</v>
      </c>
      <c r="T94" s="24">
        <f>IF(OR(COUNT(F94,M94)&lt;&gt;2,F94=0),"n.d.",M94/F94)</f>
        <v>0.9617238395369518</v>
      </c>
      <c r="U94" s="24">
        <f>IF(OR(COUNT(G94,N94)&lt;&gt;2,G94=0),"n.d.",N94/G94)</f>
        <v>0.8814731424895464</v>
      </c>
      <c r="V94" s="22">
        <v>2410581</v>
      </c>
    </row>
    <row r="95" spans="1:23" ht="19" customHeight="1">
      <c r="A95" s="18" t="s">
        <v>5</v>
      </c>
      <c r="B95" s="18" t="s">
        <v>173</v>
      </c>
      <c r="C95" s="18" t="s">
        <v>7</v>
      </c>
      <c r="D95" s="18" t="s">
        <v>174</v>
      </c>
      <c r="E95" s="25">
        <v>46266</v>
      </c>
      <c r="F95" s="22">
        <v>3356886</v>
      </c>
      <c r="G95" s="26">
        <v>8600</v>
      </c>
      <c r="H95" s="22">
        <v>1039257</v>
      </c>
      <c r="I95" s="22">
        <v>0</v>
      </c>
      <c r="J95" s="22">
        <v>1471093</v>
      </c>
      <c r="K95" s="23" t="s">
        <v>39</v>
      </c>
      <c r="L95" s="23" t="s">
        <v>39</v>
      </c>
      <c r="M95" s="22">
        <f>V95</f>
        <v>2510350.0</v>
      </c>
      <c r="N95" s="26">
        <v>4860</v>
      </c>
      <c r="O95" s="22">
        <f>IF(COUNT(F95,M95)=2,F95-M95,"n.d.")</f>
        <v>846536.0</v>
      </c>
      <c r="P95" s="26">
        <f>IF(COUNT(G95,N95)=2,G95-N95,"n.d.")</f>
        <v>3740.0</v>
      </c>
      <c r="Q95" s="27">
        <f>IF(COUNTIFS('Taux'!$A$6:$A$20,A95,'Taux'!$B$6:$B$20,D95)=1,SUMIFS('Taux'!$D$6:$D$20,'Taux'!$A$6:$A$20,A95,'Taux'!$B$6:$B$20,D95),"n.d.")</f>
        <v>1</v>
      </c>
      <c r="R95" s="22">
        <f>IF(COUNT(F95,Q95)=2,F95/Q95,"n.d.")</f>
        <v>3356886.0</v>
      </c>
      <c r="S95" s="22">
        <f>IF(COUNT(M95,Q95)=2,M95/Q95,"n.d.")</f>
        <v>2510350.0</v>
      </c>
      <c r="T95" s="24">
        <f>IF(OR(COUNT(F95,M95)&lt;&gt;2,F95=0),"n.d.",M95/F95)</f>
        <v>0.7478210460528001</v>
      </c>
      <c r="U95" s="24">
        <f>IF(OR(COUNT(G95,N95)&lt;&gt;2,G95=0),"n.d.",N95/G95)</f>
        <v>0.5651162790697675</v>
      </c>
      <c r="V95" s="22">
        <v>2510350</v>
      </c>
    </row>
    <row r="96" spans="1:23" ht="19" customHeight="1">
      <c r="A96" s="18" t="s">
        <v>5</v>
      </c>
      <c r="B96" s="18" t="s">
        <v>178</v>
      </c>
      <c r="C96" s="18" t="s">
        <v>10</v>
      </c>
      <c r="D96" s="18" t="s">
        <v>174</v>
      </c>
      <c r="E96" s="25">
        <v>46113</v>
      </c>
      <c r="F96" s="22">
        <v>1199204</v>
      </c>
      <c r="G96" s="26">
        <v>4749</v>
      </c>
      <c r="H96" s="22">
        <v>1153099</v>
      </c>
      <c r="I96" s="22">
        <v>17053</v>
      </c>
      <c r="J96" s="22">
        <v>0</v>
      </c>
      <c r="K96" s="23" t="s">
        <v>39</v>
      </c>
      <c r="L96" s="23" t="s">
        <v>39</v>
      </c>
      <c r="M96" s="22">
        <f>V96</f>
        <v>1170152.0</v>
      </c>
      <c r="N96" s="26">
        <v>4450</v>
      </c>
      <c r="O96" s="22">
        <f>IF(COUNT(F96,M96)=2,F96-M96,"n.d.")</f>
        <v>29052.0</v>
      </c>
      <c r="P96" s="26">
        <f>IF(COUNT(G96,N96)=2,G96-N96,"n.d.")</f>
        <v>299.0</v>
      </c>
      <c r="Q96" s="27">
        <f>IF(COUNTIFS('Taux'!$A$6:$A$20,A96,'Taux'!$B$6:$B$20,D96)=1,SUMIFS('Taux'!$D$6:$D$20,'Taux'!$A$6:$A$20,A96,'Taux'!$B$6:$B$20,D96),"n.d.")</f>
        <v>1</v>
      </c>
      <c r="R96" s="22">
        <f>IF(COUNT(F96,Q96)=2,F96/Q96,"n.d.")</f>
        <v>1199204.0</v>
      </c>
      <c r="S96" s="22">
        <f>IF(COUNT(M96,Q96)=2,M96/Q96,"n.d.")</f>
        <v>1170152.0</v>
      </c>
      <c r="T96" s="24">
        <f>IF(OR(COUNT(F96,M96)&lt;&gt;2,F96=0),"n.d.",M96/F96)</f>
        <v>0.97577393004026</v>
      </c>
      <c r="U96" s="24">
        <f>IF(OR(COUNT(G96,N96)&lt;&gt;2,G96=0),"n.d.",N96/G96)</f>
        <v>0.9370393767108866</v>
      </c>
      <c r="V96" s="22">
        <v>1170152</v>
      </c>
    </row>
    <row r="97" spans="1:23" ht="19" customHeight="1">
      <c r="A97" s="18" t="s">
        <v>5</v>
      </c>
      <c r="B97" s="18" t="s">
        <v>178</v>
      </c>
      <c r="C97" s="18" t="s">
        <v>10</v>
      </c>
      <c r="D97" s="18" t="s">
        <v>174</v>
      </c>
      <c r="E97" s="25">
        <v>46143</v>
      </c>
      <c r="F97" s="22">
        <v>1425617</v>
      </c>
      <c r="G97" s="26">
        <v>5501</v>
      </c>
      <c r="H97" s="22">
        <v>1363390</v>
      </c>
      <c r="I97" s="22">
        <v>37569</v>
      </c>
      <c r="J97" s="22">
        <v>0</v>
      </c>
      <c r="K97" s="23" t="s">
        <v>39</v>
      </c>
      <c r="L97" s="23" t="s">
        <v>39</v>
      </c>
      <c r="M97" s="22">
        <f>V97</f>
        <v>1400959.0</v>
      </c>
      <c r="N97" s="26">
        <v>5067</v>
      </c>
      <c r="O97" s="22">
        <f>IF(COUNT(F97,M97)=2,F97-M97,"n.d.")</f>
        <v>24658.0</v>
      </c>
      <c r="P97" s="26">
        <f>IF(COUNT(G97,N97)=2,G97-N97,"n.d.")</f>
        <v>434.0</v>
      </c>
      <c r="Q97" s="27">
        <f>IF(COUNTIFS('Taux'!$A$6:$A$20,A97,'Taux'!$B$6:$B$20,D97)=1,SUMIFS('Taux'!$D$6:$D$20,'Taux'!$A$6:$A$20,A97,'Taux'!$B$6:$B$20,D97),"n.d.")</f>
        <v>1</v>
      </c>
      <c r="R97" s="22">
        <f>IF(COUNT(F97,Q97)=2,F97/Q97,"n.d.")</f>
        <v>1425617.0</v>
      </c>
      <c r="S97" s="22">
        <f>IF(COUNT(M97,Q97)=2,M97/Q97,"n.d.")</f>
        <v>1400959.0</v>
      </c>
      <c r="T97" s="24">
        <f>IF(OR(COUNT(F97,M97)&lt;&gt;2,F97=0),"n.d.",M97/F97)</f>
        <v>0.9827036293759124</v>
      </c>
      <c r="U97" s="24">
        <f>IF(OR(COUNT(G97,N97)&lt;&gt;2,G97=0),"n.d.",N97/G97)</f>
        <v>0.9211052535902563</v>
      </c>
      <c r="V97" s="22">
        <v>1400959</v>
      </c>
    </row>
    <row r="98" spans="1:23" ht="19" customHeight="1">
      <c r="A98" s="18" t="s">
        <v>5</v>
      </c>
      <c r="B98" s="18" t="s">
        <v>178</v>
      </c>
      <c r="C98" s="18" t="s">
        <v>10</v>
      </c>
      <c r="D98" s="18" t="s">
        <v>174</v>
      </c>
      <c r="E98" s="25">
        <v>46174</v>
      </c>
      <c r="F98" s="22">
        <v>977488</v>
      </c>
      <c r="G98" s="26">
        <v>4259</v>
      </c>
      <c r="H98" s="22">
        <v>901639</v>
      </c>
      <c r="I98" s="22">
        <v>34867</v>
      </c>
      <c r="J98" s="22">
        <v>0</v>
      </c>
      <c r="K98" s="23" t="s">
        <v>39</v>
      </c>
      <c r="L98" s="23" t="s">
        <v>39</v>
      </c>
      <c r="M98" s="22">
        <f>V98</f>
        <v>936506.0</v>
      </c>
      <c r="N98" s="26">
        <v>3860</v>
      </c>
      <c r="O98" s="22">
        <f>IF(COUNT(F98,M98)=2,F98-M98,"n.d.")</f>
        <v>40982.0</v>
      </c>
      <c r="P98" s="26">
        <f>IF(COUNT(G98,N98)=2,G98-N98,"n.d.")</f>
        <v>399.0</v>
      </c>
      <c r="Q98" s="27">
        <f>IF(COUNTIFS('Taux'!$A$6:$A$20,A98,'Taux'!$B$6:$B$20,D98)=1,SUMIFS('Taux'!$D$6:$D$20,'Taux'!$A$6:$A$20,A98,'Taux'!$B$6:$B$20,D98),"n.d.")</f>
        <v>1</v>
      </c>
      <c r="R98" s="22">
        <f>IF(COUNT(F98,Q98)=2,F98/Q98,"n.d.")</f>
        <v>977488.0</v>
      </c>
      <c r="S98" s="22">
        <f>IF(COUNT(M98,Q98)=2,M98/Q98,"n.d.")</f>
        <v>936506.0</v>
      </c>
      <c r="T98" s="24">
        <f>IF(OR(COUNT(F98,M98)&lt;&gt;2,F98=0),"n.d.",M98/F98)</f>
        <v>0.9580741656163554</v>
      </c>
      <c r="U98" s="24">
        <f>IF(OR(COUNT(G98,N98)&lt;&gt;2,G98=0),"n.d.",N98/G98)</f>
        <v>0.9063160366283165</v>
      </c>
      <c r="V98" s="22">
        <v>936506</v>
      </c>
    </row>
    <row r="99" spans="1:23" ht="19" customHeight="1">
      <c r="A99" s="18" t="s">
        <v>5</v>
      </c>
      <c r="B99" s="18" t="s">
        <v>178</v>
      </c>
      <c r="C99" s="18" t="s">
        <v>10</v>
      </c>
      <c r="D99" s="18" t="s">
        <v>174</v>
      </c>
      <c r="E99" s="25">
        <v>46204</v>
      </c>
      <c r="F99" s="22">
        <v>1234017</v>
      </c>
      <c r="G99" s="26">
        <v>4939</v>
      </c>
      <c r="H99" s="22">
        <v>1049130</v>
      </c>
      <c r="I99" s="22">
        <v>40480</v>
      </c>
      <c r="J99" s="22">
        <v>0</v>
      </c>
      <c r="K99" s="23" t="s">
        <v>39</v>
      </c>
      <c r="L99" s="23" t="s">
        <v>39</v>
      </c>
      <c r="M99" s="22">
        <f>V99</f>
        <v>1089611.0</v>
      </c>
      <c r="N99" s="26">
        <v>4184</v>
      </c>
      <c r="O99" s="22">
        <f>IF(COUNT(F99,M99)=2,F99-M99,"n.d.")</f>
        <v>144406.0</v>
      </c>
      <c r="P99" s="26">
        <f>IF(COUNT(G99,N99)=2,G99-N99,"n.d.")</f>
        <v>755.0</v>
      </c>
      <c r="Q99" s="27">
        <f>IF(COUNTIFS('Taux'!$A$6:$A$20,A99,'Taux'!$B$6:$B$20,D99)=1,SUMIFS('Taux'!$D$6:$D$20,'Taux'!$A$6:$A$20,A99,'Taux'!$B$6:$B$20,D99),"n.d.")</f>
        <v>1</v>
      </c>
      <c r="R99" s="22">
        <f>IF(COUNT(F99,Q99)=2,F99/Q99,"n.d.")</f>
        <v>1234017.0</v>
      </c>
      <c r="S99" s="22">
        <f>IF(COUNT(M99,Q99)=2,M99/Q99,"n.d.")</f>
        <v>1089611.0</v>
      </c>
      <c r="T99" s="24">
        <f>IF(OR(COUNT(F99,M99)&lt;&gt;2,F99=0),"n.d.",M99/F99)</f>
        <v>0.8829789216842232</v>
      </c>
      <c r="U99" s="24">
        <f>IF(OR(COUNT(G99,N99)&lt;&gt;2,G99=0),"n.d.",N99/G99)</f>
        <v>0.8471350475804819</v>
      </c>
      <c r="V99" s="22">
        <v>1089611</v>
      </c>
    </row>
    <row r="100" spans="1:23" ht="19" customHeight="1">
      <c r="A100" s="18" t="s">
        <v>5</v>
      </c>
      <c r="B100" s="18" t="s">
        <v>178</v>
      </c>
      <c r="C100" s="18" t="s">
        <v>10</v>
      </c>
      <c r="D100" s="18" t="s">
        <v>174</v>
      </c>
      <c r="E100" s="25">
        <v>46235</v>
      </c>
      <c r="F100" s="22">
        <v>898183</v>
      </c>
      <c r="G100" s="26">
        <v>3997</v>
      </c>
      <c r="H100" s="22">
        <v>635297</v>
      </c>
      <c r="I100" s="22">
        <v>29482</v>
      </c>
      <c r="J100" s="22">
        <v>0</v>
      </c>
      <c r="K100" s="23" t="s">
        <v>39</v>
      </c>
      <c r="L100" s="23" t="s">
        <v>39</v>
      </c>
      <c r="M100" s="22">
        <f>V100</f>
        <v>664779.0</v>
      </c>
      <c r="N100" s="26">
        <v>2990</v>
      </c>
      <c r="O100" s="22">
        <f>IF(COUNT(F100,M100)=2,F100-M100,"n.d.")</f>
        <v>233404.0</v>
      </c>
      <c r="P100" s="26">
        <f>IF(COUNT(G100,N100)=2,G100-N100,"n.d.")</f>
        <v>1007.0</v>
      </c>
      <c r="Q100" s="27">
        <f>IF(COUNTIFS('Taux'!$A$6:$A$20,A100,'Taux'!$B$6:$B$20,D100)=1,SUMIFS('Taux'!$D$6:$D$20,'Taux'!$A$6:$A$20,A100,'Taux'!$B$6:$B$20,D100),"n.d.")</f>
        <v>1</v>
      </c>
      <c r="R100" s="22">
        <f>IF(COUNT(F100,Q100)=2,F100/Q100,"n.d.")</f>
        <v>898183.0</v>
      </c>
      <c r="S100" s="22">
        <f>IF(COUNT(M100,Q100)=2,M100/Q100,"n.d.")</f>
        <v>664779.0</v>
      </c>
      <c r="T100" s="24">
        <f>IF(OR(COUNT(F100,M100)&lt;&gt;2,F100=0),"n.d.",M100/F100)</f>
        <v>0.7401375888877879</v>
      </c>
      <c r="U100" s="24">
        <f>IF(OR(COUNT(G100,N100)&lt;&gt;2,G100=0),"n.d.",N100/G100)</f>
        <v>0.7480610457843383</v>
      </c>
      <c r="V100" s="22">
        <v>664779</v>
      </c>
    </row>
    <row r="101" spans="1:23" ht="19" customHeight="1">
      <c r="A101" s="18" t="s">
        <v>5</v>
      </c>
      <c r="B101" s="18" t="s">
        <v>178</v>
      </c>
      <c r="C101" s="18" t="s">
        <v>10</v>
      </c>
      <c r="D101" s="18" t="s">
        <v>174</v>
      </c>
      <c r="E101" s="25">
        <v>46266</v>
      </c>
      <c r="F101" s="22">
        <v>820358</v>
      </c>
      <c r="G101" s="26">
        <v>3487</v>
      </c>
      <c r="H101" s="22">
        <v>252064</v>
      </c>
      <c r="I101" s="22">
        <v>22786</v>
      </c>
      <c r="J101" s="22">
        <v>0</v>
      </c>
      <c r="K101" s="23" t="s">
        <v>39</v>
      </c>
      <c r="L101" s="23" t="s">
        <v>39</v>
      </c>
      <c r="M101" s="22">
        <f>V101</f>
        <v>274850.0</v>
      </c>
      <c r="N101" s="26">
        <v>1415</v>
      </c>
      <c r="O101" s="22">
        <f>IF(COUNT(F101,M101)=2,F101-M101,"n.d.")</f>
        <v>545508.0</v>
      </c>
      <c r="P101" s="26">
        <f>IF(COUNT(G101,N101)=2,G101-N101,"n.d.")</f>
        <v>2072.0</v>
      </c>
      <c r="Q101" s="27">
        <f>IF(COUNTIFS('Taux'!$A$6:$A$20,A101,'Taux'!$B$6:$B$20,D101)=1,SUMIFS('Taux'!$D$6:$D$20,'Taux'!$A$6:$A$20,A101,'Taux'!$B$6:$B$20,D101),"n.d.")</f>
        <v>1</v>
      </c>
      <c r="R101" s="22">
        <f>IF(COUNT(F101,Q101)=2,F101/Q101,"n.d.")</f>
        <v>820358.0</v>
      </c>
      <c r="S101" s="22">
        <f>IF(COUNT(M101,Q101)=2,M101/Q101,"n.d.")</f>
        <v>274850.0</v>
      </c>
      <c r="T101" s="24">
        <f>IF(OR(COUNT(F101,M101)&lt;&gt;2,F101=0),"n.d.",M101/F101)</f>
        <v>0.33503665472878913</v>
      </c>
      <c r="U101" s="24">
        <f>IF(OR(COUNT(G101,N101)&lt;&gt;2,G101=0),"n.d.",N101/G101)</f>
        <v>0.4057929452251219</v>
      </c>
      <c r="V101" s="22">
        <v>274850</v>
      </c>
    </row>
    <row r="102" spans="1:23" ht="19" customHeight="1">
      <c r="A102" s="18" t="s">
        <v>5</v>
      </c>
      <c r="B102" s="18" t="s">
        <v>179</v>
      </c>
      <c r="C102" s="18" t="s">
        <v>11</v>
      </c>
      <c r="D102" s="18" t="s">
        <v>174</v>
      </c>
      <c r="E102" s="25">
        <v>46113</v>
      </c>
      <c r="F102" s="22">
        <v>4060466</v>
      </c>
      <c r="G102" s="26">
        <v>3126</v>
      </c>
      <c r="H102" s="22">
        <v>2347164</v>
      </c>
      <c r="I102" s="22">
        <v>1136</v>
      </c>
      <c r="J102" s="22">
        <v>1699865</v>
      </c>
      <c r="K102" s="23" t="s">
        <v>39</v>
      </c>
      <c r="L102" s="23" t="s">
        <v>39</v>
      </c>
      <c r="M102" s="22">
        <f>V102</f>
        <v>4048164.0</v>
      </c>
      <c r="N102" s="26">
        <v>2938</v>
      </c>
      <c r="O102" s="22">
        <f>IF(COUNT(F102,M102)=2,F102-M102,"n.d.")</f>
        <v>12302.0</v>
      </c>
      <c r="P102" s="26">
        <f>IF(COUNT(G102,N102)=2,G102-N102,"n.d.")</f>
        <v>188.0</v>
      </c>
      <c r="Q102" s="27">
        <f>IF(COUNTIFS('Taux'!$A$6:$A$20,A102,'Taux'!$B$6:$B$20,D102)=1,SUMIFS('Taux'!$D$6:$D$20,'Taux'!$A$6:$A$20,A102,'Taux'!$B$6:$B$20,D102),"n.d.")</f>
        <v>1</v>
      </c>
      <c r="R102" s="22">
        <f>IF(COUNT(F102,Q102)=2,F102/Q102,"n.d.")</f>
        <v>4060466.0</v>
      </c>
      <c r="S102" s="22">
        <f>IF(COUNT(M102,Q102)=2,M102/Q102,"n.d.")</f>
        <v>4048164.0</v>
      </c>
      <c r="T102" s="24">
        <f>IF(OR(COUNT(F102,M102)&lt;&gt;2,F102=0),"n.d.",M102/F102)</f>
        <v>0.996970298482982</v>
      </c>
      <c r="U102" s="24">
        <f>IF(OR(COUNT(G102,N102)&lt;&gt;2,G102=0),"n.d.",N102/G102)</f>
        <v>0.9398592450415867</v>
      </c>
      <c r="V102" s="22">
        <v>4048164</v>
      </c>
    </row>
    <row r="103" spans="1:23" ht="19" customHeight="1">
      <c r="A103" s="18" t="s">
        <v>5</v>
      </c>
      <c r="B103" s="18" t="s">
        <v>179</v>
      </c>
      <c r="C103" s="18" t="s">
        <v>11</v>
      </c>
      <c r="D103" s="18" t="s">
        <v>174</v>
      </c>
      <c r="E103" s="25">
        <v>46143</v>
      </c>
      <c r="F103" s="22">
        <v>3650675</v>
      </c>
      <c r="G103" s="26">
        <v>3258</v>
      </c>
      <c r="H103" s="22">
        <v>1989474</v>
      </c>
      <c r="I103" s="22">
        <v>0</v>
      </c>
      <c r="J103" s="22">
        <v>1639479</v>
      </c>
      <c r="K103" s="23" t="s">
        <v>39</v>
      </c>
      <c r="L103" s="23" t="s">
        <v>39</v>
      </c>
      <c r="M103" s="22">
        <f>V103</f>
        <v>3628953.0</v>
      </c>
      <c r="N103" s="26">
        <v>2880</v>
      </c>
      <c r="O103" s="22">
        <f>IF(COUNT(F103,M103)=2,F103-M103,"n.d.")</f>
        <v>21722.0</v>
      </c>
      <c r="P103" s="26">
        <f>IF(COUNT(G103,N103)=2,G103-N103,"n.d.")</f>
        <v>378.0</v>
      </c>
      <c r="Q103" s="27">
        <f>IF(COUNTIFS('Taux'!$A$6:$A$20,A103,'Taux'!$B$6:$B$20,D103)=1,SUMIFS('Taux'!$D$6:$D$20,'Taux'!$A$6:$A$20,A103,'Taux'!$B$6:$B$20,D103),"n.d.")</f>
        <v>1</v>
      </c>
      <c r="R103" s="22">
        <f>IF(COUNT(F103,Q103)=2,F103/Q103,"n.d.")</f>
        <v>3650675.0</v>
      </c>
      <c r="S103" s="22">
        <f>IF(COUNT(M103,Q103)=2,M103/Q103,"n.d.")</f>
        <v>3628953.0</v>
      </c>
      <c r="T103" s="24">
        <f>IF(OR(COUNT(F103,M103)&lt;&gt;2,F103=0),"n.d.",M103/F103)</f>
        <v>0.9940498674902587</v>
      </c>
      <c r="U103" s="24">
        <f>IF(OR(COUNT(G103,N103)&lt;&gt;2,G103=0),"n.d.",N103/G103)</f>
        <v>0.8839779005524862</v>
      </c>
      <c r="V103" s="22">
        <v>3628953</v>
      </c>
    </row>
    <row r="104" spans="1:23" ht="19" customHeight="1">
      <c r="A104" s="18" t="s">
        <v>5</v>
      </c>
      <c r="B104" s="18" t="s">
        <v>179</v>
      </c>
      <c r="C104" s="18" t="s">
        <v>11</v>
      </c>
      <c r="D104" s="18" t="s">
        <v>174</v>
      </c>
      <c r="E104" s="25">
        <v>46174</v>
      </c>
      <c r="F104" s="22">
        <v>2534318</v>
      </c>
      <c r="G104" s="26">
        <v>2789</v>
      </c>
      <c r="H104" s="22">
        <v>418075</v>
      </c>
      <c r="I104" s="22">
        <v>3785</v>
      </c>
      <c r="J104" s="22">
        <v>2090995</v>
      </c>
      <c r="K104" s="23" t="s">
        <v>39</v>
      </c>
      <c r="L104" s="23" t="s">
        <v>39</v>
      </c>
      <c r="M104" s="22">
        <f>V104</f>
        <v>2512855.0</v>
      </c>
      <c r="N104" s="26">
        <v>2335</v>
      </c>
      <c r="O104" s="22">
        <f>IF(COUNT(F104,M104)=2,F104-M104,"n.d.")</f>
        <v>21463.0</v>
      </c>
      <c r="P104" s="26">
        <f>IF(COUNT(G104,N104)=2,G104-N104,"n.d.")</f>
        <v>454.0</v>
      </c>
      <c r="Q104" s="27">
        <f>IF(COUNTIFS('Taux'!$A$6:$A$20,A104,'Taux'!$B$6:$B$20,D104)=1,SUMIFS('Taux'!$D$6:$D$20,'Taux'!$A$6:$A$20,A104,'Taux'!$B$6:$B$20,D104),"n.d.")</f>
        <v>1</v>
      </c>
      <c r="R104" s="22">
        <f>IF(COUNT(F104,Q104)=2,F104/Q104,"n.d.")</f>
        <v>2534318.0</v>
      </c>
      <c r="S104" s="22">
        <f>IF(COUNT(M104,Q104)=2,M104/Q104,"n.d.")</f>
        <v>2512855.0</v>
      </c>
      <c r="T104" s="24">
        <f>IF(OR(COUNT(F104,M104)&lt;&gt;2,F104=0),"n.d.",M104/F104)</f>
        <v>0.9915310549031338</v>
      </c>
      <c r="U104" s="24">
        <f>IF(OR(COUNT(G104,N104)&lt;&gt;2,G104=0),"n.d.",N104/G104)</f>
        <v>0.837217640731445</v>
      </c>
      <c r="V104" s="22">
        <v>2512855</v>
      </c>
    </row>
    <row r="105" spans="1:23" ht="19" customHeight="1">
      <c r="A105" s="18" t="s">
        <v>5</v>
      </c>
      <c r="B105" s="18" t="s">
        <v>179</v>
      </c>
      <c r="C105" s="18" t="s">
        <v>11</v>
      </c>
      <c r="D105" s="18" t="s">
        <v>174</v>
      </c>
      <c r="E105" s="25">
        <v>46204</v>
      </c>
      <c r="F105" s="22">
        <v>1649935</v>
      </c>
      <c r="G105" s="26">
        <v>2993</v>
      </c>
      <c r="H105" s="22">
        <v>109120</v>
      </c>
      <c r="I105" s="22">
        <v>17939</v>
      </c>
      <c r="J105" s="22">
        <v>1478610</v>
      </c>
      <c r="K105" s="23" t="s">
        <v>39</v>
      </c>
      <c r="L105" s="23" t="s">
        <v>39</v>
      </c>
      <c r="M105" s="22">
        <f>V105</f>
        <v>1605668.0</v>
      </c>
      <c r="N105" s="26">
        <v>1896</v>
      </c>
      <c r="O105" s="22">
        <f>IF(COUNT(F105,M105)=2,F105-M105,"n.d.")</f>
        <v>44267.0</v>
      </c>
      <c r="P105" s="26">
        <f>IF(COUNT(G105,N105)=2,G105-N105,"n.d.")</f>
        <v>1097.0</v>
      </c>
      <c r="Q105" s="27">
        <f>IF(COUNTIFS('Taux'!$A$6:$A$20,A105,'Taux'!$B$6:$B$20,D105)=1,SUMIFS('Taux'!$D$6:$D$20,'Taux'!$A$6:$A$20,A105,'Taux'!$B$6:$B$20,D105),"n.d.")</f>
        <v>1</v>
      </c>
      <c r="R105" s="22">
        <f>IF(COUNT(F105,Q105)=2,F105/Q105,"n.d.")</f>
        <v>1649935.0</v>
      </c>
      <c r="S105" s="22">
        <f>IF(COUNT(M105,Q105)=2,M105/Q105,"n.d.")</f>
        <v>1605668.0</v>
      </c>
      <c r="T105" s="24">
        <f>IF(OR(COUNT(F105,M105)&lt;&gt;2,F105=0),"n.d.",M105/F105)</f>
        <v>0.9731704582301727</v>
      </c>
      <c r="U105" s="24">
        <f>IF(OR(COUNT(G105,N105)&lt;&gt;2,G105=0),"n.d.",N105/G105)</f>
        <v>0.6334781156030739</v>
      </c>
      <c r="V105" s="22">
        <v>1605668</v>
      </c>
    </row>
    <row r="106" spans="1:23" ht="19" customHeight="1">
      <c r="A106" s="18" t="s">
        <v>5</v>
      </c>
      <c r="B106" s="18" t="s">
        <v>179</v>
      </c>
      <c r="C106" s="18" t="s">
        <v>11</v>
      </c>
      <c r="D106" s="18" t="s">
        <v>174</v>
      </c>
      <c r="E106" s="25">
        <v>46235</v>
      </c>
      <c r="F106" s="22">
        <v>1234586</v>
      </c>
      <c r="G106" s="26">
        <v>2780</v>
      </c>
      <c r="H106" s="22">
        <v>83327</v>
      </c>
      <c r="I106" s="22">
        <v>6237</v>
      </c>
      <c r="J106" s="22">
        <v>1110613</v>
      </c>
      <c r="K106" s="23" t="s">
        <v>39</v>
      </c>
      <c r="L106" s="23" t="s">
        <v>39</v>
      </c>
      <c r="M106" s="22">
        <f>V106</f>
        <v>1200177.0</v>
      </c>
      <c r="N106" s="26">
        <v>1378</v>
      </c>
      <c r="O106" s="22">
        <f>IF(COUNT(F106,M106)=2,F106-M106,"n.d.")</f>
        <v>34409.0</v>
      </c>
      <c r="P106" s="26">
        <f>IF(COUNT(G106,N106)=2,G106-N106,"n.d.")</f>
        <v>1402.0</v>
      </c>
      <c r="Q106" s="27">
        <f>IF(COUNTIFS('Taux'!$A$6:$A$20,A106,'Taux'!$B$6:$B$20,D106)=1,SUMIFS('Taux'!$D$6:$D$20,'Taux'!$A$6:$A$20,A106,'Taux'!$B$6:$B$20,D106),"n.d.")</f>
        <v>1</v>
      </c>
      <c r="R106" s="22">
        <f>IF(COUNT(F106,Q106)=2,F106/Q106,"n.d.")</f>
        <v>1234586.0</v>
      </c>
      <c r="S106" s="22">
        <f>IF(COUNT(M106,Q106)=2,M106/Q106,"n.d.")</f>
        <v>1200177.0</v>
      </c>
      <c r="T106" s="24">
        <f>IF(OR(COUNT(F106,M106)&lt;&gt;2,F106=0),"n.d.",M106/F106)</f>
        <v>0.9721291185871215</v>
      </c>
      <c r="U106" s="24">
        <f>IF(OR(COUNT(G106,N106)&lt;&gt;2,G106=0),"n.d.",N106/G106)</f>
        <v>0.4956834532374101</v>
      </c>
      <c r="V106" s="22">
        <v>1200177</v>
      </c>
    </row>
    <row r="107" spans="1:23" ht="19" customHeight="1">
      <c r="A107" s="18" t="s">
        <v>5</v>
      </c>
      <c r="B107" s="18" t="s">
        <v>179</v>
      </c>
      <c r="C107" s="18" t="s">
        <v>11</v>
      </c>
      <c r="D107" s="18" t="s">
        <v>174</v>
      </c>
      <c r="E107" s="25">
        <v>46266</v>
      </c>
      <c r="F107" s="22">
        <v>1001410</v>
      </c>
      <c r="G107" s="26">
        <v>2643</v>
      </c>
      <c r="H107" s="22">
        <v>54571</v>
      </c>
      <c r="I107" s="22">
        <v>149</v>
      </c>
      <c r="J107" s="22">
        <v>914999</v>
      </c>
      <c r="K107" s="23" t="s">
        <v>39</v>
      </c>
      <c r="L107" s="23" t="s">
        <v>39</v>
      </c>
      <c r="M107" s="22">
        <f>V107</f>
        <v>969719.0</v>
      </c>
      <c r="N107" s="26">
        <v>1319</v>
      </c>
      <c r="O107" s="22">
        <f>IF(COUNT(F107,M107)=2,F107-M107,"n.d.")</f>
        <v>31691.0</v>
      </c>
      <c r="P107" s="26">
        <f>IF(COUNT(G107,N107)=2,G107-N107,"n.d.")</f>
        <v>1324.0</v>
      </c>
      <c r="Q107" s="27">
        <f>IF(COUNTIFS('Taux'!$A$6:$A$20,A107,'Taux'!$B$6:$B$20,D107)=1,SUMIFS('Taux'!$D$6:$D$20,'Taux'!$A$6:$A$20,A107,'Taux'!$B$6:$B$20,D107),"n.d.")</f>
        <v>1</v>
      </c>
      <c r="R107" s="22">
        <f>IF(COUNT(F107,Q107)=2,F107/Q107,"n.d.")</f>
        <v>1001410.0</v>
      </c>
      <c r="S107" s="22">
        <f>IF(COUNT(M107,Q107)=2,M107/Q107,"n.d.")</f>
        <v>969719.0</v>
      </c>
      <c r="T107" s="24">
        <f>IF(OR(COUNT(F107,M107)&lt;&gt;2,F107=0),"n.d.",M107/F107)</f>
        <v>0.9683536213938347</v>
      </c>
      <c r="U107" s="24">
        <f>IF(OR(COUNT(G107,N107)&lt;&gt;2,G107=0),"n.d.",N107/G107)</f>
        <v>0.49905410518350357</v>
      </c>
      <c r="V107" s="22">
        <v>969719</v>
      </c>
    </row>
    <row r="108" spans="1:23" ht="19" customHeight="1">
      <c r="A108" s="18" t="s">
        <v>5</v>
      </c>
      <c r="B108" s="18" t="s">
        <v>13</v>
      </c>
      <c r="C108" s="18" t="s">
        <v>13</v>
      </c>
      <c r="D108" s="18" t="s">
        <v>181</v>
      </c>
      <c r="E108" s="25">
        <v>46113</v>
      </c>
      <c r="F108" s="22">
        <v>103356</v>
      </c>
      <c r="G108" s="26">
        <v>2185</v>
      </c>
      <c r="H108" s="22">
        <v>78140</v>
      </c>
      <c r="I108" s="22">
        <v>2351</v>
      </c>
      <c r="J108" s="22">
        <v>1484</v>
      </c>
      <c r="K108" s="23" t="s">
        <v>39</v>
      </c>
      <c r="L108" s="23" t="s">
        <v>39</v>
      </c>
      <c r="M108" s="22">
        <f>V108</f>
        <v>81975.0</v>
      </c>
      <c r="N108" s="26">
        <v>1519</v>
      </c>
      <c r="O108" s="22">
        <f>IF(COUNT(F108,M108)=2,F108-M108,"n.d.")</f>
        <v>21381.0</v>
      </c>
      <c r="P108" s="26">
        <f>IF(COUNT(G108,N108)=2,G108-N108,"n.d.")</f>
        <v>666.0</v>
      </c>
      <c r="Q108" s="27">
        <f>IF(COUNTIFS('Taux'!$A$6:$A$20,A108,'Taux'!$B$6:$B$20,D108)=1,SUMIFS('Taux'!$D$6:$D$20,'Taux'!$A$6:$A$20,A108,'Taux'!$B$6:$B$20,D108),"n.d.")</f>
        <v>0.85443381</v>
      </c>
      <c r="R108" s="22">
        <f>IF(COUNT(F108,Q108)=2,F108/Q108,"n.d.")</f>
        <v>120964.31436859925</v>
      </c>
      <c r="S108" s="22">
        <f>IF(COUNT(M108,Q108)=2,M108/Q108,"n.d.")</f>
        <v>95940.7259410767</v>
      </c>
      <c r="T108" s="24">
        <f>IF(OR(COUNT(F108,M108)&lt;&gt;2,F108=0),"n.d.",M108/F108)</f>
        <v>0.793132474166957</v>
      </c>
      <c r="U108" s="24">
        <f>IF(OR(COUNT(G108,N108)&lt;&gt;2,G108=0),"n.d.",N108/G108)</f>
        <v>0.6951945080091533</v>
      </c>
      <c r="V108" s="22">
        <v>81975</v>
      </c>
    </row>
    <row r="109" spans="1:23" ht="19" customHeight="1">
      <c r="A109" s="18" t="s">
        <v>5</v>
      </c>
      <c r="B109" s="18" t="s">
        <v>13</v>
      </c>
      <c r="C109" s="18" t="s">
        <v>13</v>
      </c>
      <c r="D109" s="18" t="s">
        <v>181</v>
      </c>
      <c r="E109" s="25">
        <v>46143</v>
      </c>
      <c r="F109" s="22">
        <v>145777</v>
      </c>
      <c r="G109" s="26">
        <v>4446</v>
      </c>
      <c r="H109" s="22">
        <v>110936</v>
      </c>
      <c r="I109" s="22">
        <v>2383</v>
      </c>
      <c r="J109" s="22">
        <v>2026</v>
      </c>
      <c r="K109" s="23" t="s">
        <v>39</v>
      </c>
      <c r="L109" s="23" t="s">
        <v>39</v>
      </c>
      <c r="M109" s="22">
        <f>V109</f>
        <v>115345.0</v>
      </c>
      <c r="N109" s="26">
        <v>2573</v>
      </c>
      <c r="O109" s="22">
        <f>IF(COUNT(F109,M109)=2,F109-M109,"n.d.")</f>
        <v>30432.0</v>
      </c>
      <c r="P109" s="26">
        <f>IF(COUNT(G109,N109)=2,G109-N109,"n.d.")</f>
        <v>1873.0</v>
      </c>
      <c r="Q109" s="27">
        <f>IF(COUNTIFS('Taux'!$A$6:$A$20,A109,'Taux'!$B$6:$B$20,D109)=1,SUMIFS('Taux'!$D$6:$D$20,'Taux'!$A$6:$A$20,A109,'Taux'!$B$6:$B$20,D109),"n.d.")</f>
        <v>0.85443381</v>
      </c>
      <c r="R109" s="22">
        <f>IF(COUNT(F109,Q109)=2,F109/Q109,"n.d.")</f>
        <v>170612.39652958023</v>
      </c>
      <c r="S109" s="22">
        <f>IF(COUNT(M109,Q109)=2,M109/Q109,"n.d.")</f>
        <v>134995.82840711792</v>
      </c>
      <c r="T109" s="24">
        <f>IF(OR(COUNT(F109,M109)&lt;&gt;2,F109=0),"n.d.",M109/F109)</f>
        <v>0.7912427886429272</v>
      </c>
      <c r="U109" s="24">
        <f>IF(OR(COUNT(G109,N109)&lt;&gt;2,G109=0),"n.d.",N109/G109)</f>
        <v>0.5787224471434997</v>
      </c>
      <c r="V109" s="22">
        <v>115345</v>
      </c>
    </row>
    <row r="110" spans="1:23" ht="19" customHeight="1">
      <c r="A110" s="18" t="s">
        <v>5</v>
      </c>
      <c r="B110" s="18" t="s">
        <v>13</v>
      </c>
      <c r="C110" s="18" t="s">
        <v>13</v>
      </c>
      <c r="D110" s="18" t="s">
        <v>181</v>
      </c>
      <c r="E110" s="25">
        <v>46174</v>
      </c>
      <c r="F110" s="22">
        <v>79929</v>
      </c>
      <c r="G110" s="26">
        <v>4121</v>
      </c>
      <c r="H110" s="22">
        <v>53420</v>
      </c>
      <c r="I110" s="22">
        <v>3252</v>
      </c>
      <c r="J110" s="22">
        <v>8481</v>
      </c>
      <c r="K110" s="23" t="s">
        <v>39</v>
      </c>
      <c r="L110" s="23" t="s">
        <v>39</v>
      </c>
      <c r="M110" s="22">
        <f>V110</f>
        <v>65153.0</v>
      </c>
      <c r="N110" s="26">
        <v>1541</v>
      </c>
      <c r="O110" s="22">
        <f>IF(COUNT(F110,M110)=2,F110-M110,"n.d.")</f>
        <v>14776.0</v>
      </c>
      <c r="P110" s="26">
        <f>IF(COUNT(G110,N110)=2,G110-N110,"n.d.")</f>
        <v>2580.0</v>
      </c>
      <c r="Q110" s="27">
        <f>IF(COUNTIFS('Taux'!$A$6:$A$20,A110,'Taux'!$B$6:$B$20,D110)=1,SUMIFS('Taux'!$D$6:$D$20,'Taux'!$A$6:$A$20,A110,'Taux'!$B$6:$B$20,D110),"n.d.")</f>
        <v>0.85443381</v>
      </c>
      <c r="R110" s="22">
        <f>IF(COUNT(F110,Q110)=2,F110/Q110,"n.d.")</f>
        <v>93546.15777669192</v>
      </c>
      <c r="S110" s="22">
        <f>IF(COUNT(M110,Q110)=2,M110/Q110,"n.d.")</f>
        <v>76252.8346110274</v>
      </c>
      <c r="T110" s="24">
        <f>IF(OR(COUNT(F110,M110)&lt;&gt;2,F110=0),"n.d.",M110/F110)</f>
        <v>0.8151359331406623</v>
      </c>
      <c r="U110" s="24">
        <f>IF(OR(COUNT(G110,N110)&lt;&gt;2,G110=0),"n.d.",N110/G110)</f>
        <v>0.37393836447464207</v>
      </c>
      <c r="V110" s="22">
        <v>65153</v>
      </c>
    </row>
    <row r="111" spans="1:23" ht="19" customHeight="1">
      <c r="A111" s="18" t="s">
        <v>5</v>
      </c>
      <c r="B111" s="18" t="s">
        <v>13</v>
      </c>
      <c r="C111" s="18" t="s">
        <v>13</v>
      </c>
      <c r="D111" s="18" t="s">
        <v>181</v>
      </c>
      <c r="E111" s="25">
        <v>46204</v>
      </c>
      <c r="F111" s="22">
        <v>114841</v>
      </c>
      <c r="G111" s="26">
        <v>1636</v>
      </c>
      <c r="H111" s="22">
        <v>68133</v>
      </c>
      <c r="I111" s="22">
        <v>2678</v>
      </c>
      <c r="J111" s="22">
        <v>11187</v>
      </c>
      <c r="K111" s="23" t="s">
        <v>39</v>
      </c>
      <c r="L111" s="23" t="s">
        <v>39</v>
      </c>
      <c r="M111" s="22">
        <f>V111</f>
        <v>81998.0</v>
      </c>
      <c r="N111" s="26">
        <v>732</v>
      </c>
      <c r="O111" s="22">
        <f>IF(COUNT(F111,M111)=2,F111-M111,"n.d.")</f>
        <v>32843.0</v>
      </c>
      <c r="P111" s="26">
        <f>IF(COUNT(G111,N111)=2,G111-N111,"n.d.")</f>
        <v>904.0</v>
      </c>
      <c r="Q111" s="27">
        <f>IF(COUNTIFS('Taux'!$A$6:$A$20,A111,'Taux'!$B$6:$B$20,D111)=1,SUMIFS('Taux'!$D$6:$D$20,'Taux'!$A$6:$A$20,A111,'Taux'!$B$6:$B$20,D111),"n.d.")</f>
        <v>0.85443381</v>
      </c>
      <c r="R111" s="22">
        <f>IF(COUNT(F111,Q111)=2,F111/Q111,"n.d.")</f>
        <v>134405.9641085598</v>
      </c>
      <c r="S111" s="22">
        <f>IF(COUNT(M111,Q111)=2,M111/Q111,"n.d.")</f>
        <v>95967.64435152677</v>
      </c>
      <c r="T111" s="24">
        <f>IF(OR(COUNT(F111,M111)&lt;&gt;2,F111=0),"n.d.",M111/F111)</f>
        <v>0.714013287937235</v>
      </c>
      <c r="U111" s="24">
        <f>IF(OR(COUNT(G111,N111)&lt;&gt;2,G111=0),"n.d.",N111/G111)</f>
        <v>0.4474327628361858</v>
      </c>
      <c r="V111" s="22">
        <v>81998</v>
      </c>
    </row>
    <row r="112" spans="1:23" ht="19" customHeight="1">
      <c r="A112" s="18" t="s">
        <v>5</v>
      </c>
      <c r="B112" s="18" t="s">
        <v>13</v>
      </c>
      <c r="C112" s="18" t="s">
        <v>13</v>
      </c>
      <c r="D112" s="18" t="s">
        <v>181</v>
      </c>
      <c r="E112" s="25">
        <v>46235</v>
      </c>
      <c r="F112" s="22">
        <v>134216</v>
      </c>
      <c r="G112" s="26">
        <v>2515</v>
      </c>
      <c r="H112" s="22">
        <v>92823</v>
      </c>
      <c r="I112" s="22">
        <v>1958</v>
      </c>
      <c r="J112" s="22">
        <v>1245</v>
      </c>
      <c r="K112" s="23" t="s">
        <v>39</v>
      </c>
      <c r="L112" s="23" t="s">
        <v>39</v>
      </c>
      <c r="M112" s="22">
        <f>V112</f>
        <v>96026.0</v>
      </c>
      <c r="N112" s="26">
        <v>1154</v>
      </c>
      <c r="O112" s="22">
        <f>IF(COUNT(F112,M112)=2,F112-M112,"n.d.")</f>
        <v>38190.0</v>
      </c>
      <c r="P112" s="26">
        <f>IF(COUNT(G112,N112)=2,G112-N112,"n.d.")</f>
        <v>1361.0</v>
      </c>
      <c r="Q112" s="27">
        <f>IF(COUNTIFS('Taux'!$A$6:$A$20,A112,'Taux'!$B$6:$B$20,D112)=1,SUMIFS('Taux'!$D$6:$D$20,'Taux'!$A$6:$A$20,A112,'Taux'!$B$6:$B$20,D112),"n.d.")</f>
        <v>0.85443381</v>
      </c>
      <c r="R112" s="22">
        <f>IF(COUNT(F112,Q112)=2,F112/Q112,"n.d.")</f>
        <v>157081.79899856725</v>
      </c>
      <c r="S112" s="22">
        <f>IF(COUNT(M112,Q112)=2,M112/Q112,"n.d.")</f>
        <v>112385.53399472804</v>
      </c>
      <c r="T112" s="24">
        <f>IF(OR(COUNT(F112,M112)&lt;&gt;2,F112=0),"n.d.",M112/F112)</f>
        <v>0.7154586636466591</v>
      </c>
      <c r="U112" s="24">
        <f>IF(OR(COUNT(G112,N112)&lt;&gt;2,G112=0),"n.d.",N112/G112)</f>
        <v>0.4588469184890656</v>
      </c>
      <c r="V112" s="22">
        <v>96026</v>
      </c>
    </row>
    <row r="113" spans="1:23" ht="19" customHeight="1">
      <c r="A113" s="18" t="s">
        <v>5</v>
      </c>
      <c r="B113" s="18" t="s">
        <v>13</v>
      </c>
      <c r="C113" s="18" t="s">
        <v>13</v>
      </c>
      <c r="D113" s="18" t="s">
        <v>181</v>
      </c>
      <c r="E113" s="25">
        <v>46266</v>
      </c>
      <c r="F113" s="22">
        <v>505169</v>
      </c>
      <c r="G113" s="26">
        <v>1483</v>
      </c>
      <c r="H113" s="22">
        <v>0</v>
      </c>
      <c r="I113" s="22">
        <v>405</v>
      </c>
      <c r="J113" s="22">
        <v>228</v>
      </c>
      <c r="K113" s="23" t="s">
        <v>39</v>
      </c>
      <c r="L113" s="23" t="s">
        <v>39</v>
      </c>
      <c r="M113" s="22">
        <f>V113</f>
        <v>633.0</v>
      </c>
      <c r="N113" s="26">
        <v>24</v>
      </c>
      <c r="O113" s="22">
        <f>IF(COUNT(F113,M113)=2,F113-M113,"n.d.")</f>
        <v>504536.0</v>
      </c>
      <c r="P113" s="26">
        <f>IF(COUNT(G113,N113)=2,G113-N113,"n.d.")</f>
        <v>1459.0</v>
      </c>
      <c r="Q113" s="27">
        <f>IF(COUNTIFS('Taux'!$A$6:$A$20,A113,'Taux'!$B$6:$B$20,D113)=1,SUMIFS('Taux'!$D$6:$D$20,'Taux'!$A$6:$A$20,A113,'Taux'!$B$6:$B$20,D113),"n.d.")</f>
        <v>0.85443381</v>
      </c>
      <c r="R113" s="22">
        <f>IF(COUNT(F113,Q113)=2,F113/Q113,"n.d.")</f>
        <v>591232.4560283961</v>
      </c>
      <c r="S113" s="22">
        <f>IF(COUNT(M113,Q113)=2,M113/Q113,"n.d.")</f>
        <v>740.8414702128887</v>
      </c>
      <c r="T113" s="24">
        <f>IF(OR(COUNT(F113,M113)&lt;&gt;2,F113=0),"n.d.",M113/F113)</f>
        <v>0.0012530460103450528</v>
      </c>
      <c r="U113" s="24">
        <f>IF(OR(COUNT(G113,N113)&lt;&gt;2,G113=0),"n.d.",N113/G113)</f>
        <v>0.016183412002697236</v>
      </c>
      <c r="V113" s="22">
        <v>633</v>
      </c>
    </row>
    <row r="114" spans="1:23" ht="19" customHeight="1">
      <c r="A114" s="18" t="s">
        <v>5</v>
      </c>
      <c r="B114" s="18" t="s">
        <v>187</v>
      </c>
      <c r="C114" s="18" t="s">
        <v>17</v>
      </c>
      <c r="D114" s="18" t="s">
        <v>188</v>
      </c>
      <c r="E114" s="25">
        <v>46113</v>
      </c>
      <c r="F114" s="22">
        <v>112393.3500000001</v>
      </c>
      <c r="G114" s="26">
        <v>359</v>
      </c>
      <c r="H114" s="22">
        <v>99722.84000000005</v>
      </c>
      <c r="I114" s="23" t="s">
        <v>39</v>
      </c>
      <c r="J114" s="23" t="s">
        <v>39</v>
      </c>
      <c r="K114" s="22">
        <v>0</v>
      </c>
      <c r="L114" s="22">
        <v>12670.51</v>
      </c>
      <c r="M114" s="22">
        <f>V114</f>
        <v>112393.35000000005</v>
      </c>
      <c r="N114" s="26">
        <v>359</v>
      </c>
      <c r="O114" s="22">
        <f>IF(COUNT(F114,M114)=2,F114-M114,"n.d.")</f>
        <v>1.4551915228366852e-11</v>
      </c>
      <c r="P114" s="26">
        <f>IF(COUNT(G114,N114)=2,G114-N114,"n.d.")</f>
        <v>0</v>
      </c>
      <c r="Q114" s="27">
        <f>IF(COUNTIFS('Taux'!$A$6:$A$20,A114,'Taux'!$B$6:$B$20,D114)=1,SUMIFS('Taux'!$D$6:$D$20,'Taux'!$A$6:$A$20,A114,'Taux'!$B$6:$B$20,D114),"n.d.")</f>
        <v>7.47595715</v>
      </c>
      <c r="R114" s="22">
        <f>IF(COUNT(F114,Q114)=2,F114/Q114,"n.d.")</f>
        <v>15033.974612869479</v>
      </c>
      <c r="S114" s="22">
        <f>IF(COUNT(M114,Q114)=2,M114/Q114,"n.d.")</f>
        <v>15033.974612869477</v>
      </c>
      <c r="T114" s="24">
        <f>IF(OR(COUNT(F114,M114)&lt;&gt;2,F114=0),"n.d.",M114/F114)</f>
        <v>0.9999999999999999</v>
      </c>
      <c r="U114" s="24">
        <f>IF(OR(COUNT(G114,N114)&lt;&gt;2,G114=0),"n.d.",N114/G114)</f>
        <v>1.0</v>
      </c>
      <c r="V114" s="22">
        <v>112393.35</v>
      </c>
    </row>
    <row r="115" spans="1:23" ht="19" customHeight="1">
      <c r="A115" s="18" t="s">
        <v>5</v>
      </c>
      <c r="B115" s="18" t="s">
        <v>187</v>
      </c>
      <c r="C115" s="18" t="s">
        <v>17</v>
      </c>
      <c r="D115" s="18" t="s">
        <v>188</v>
      </c>
      <c r="E115" s="25">
        <v>46143</v>
      </c>
      <c r="F115" s="22">
        <v>169276.62</v>
      </c>
      <c r="G115" s="26">
        <v>361</v>
      </c>
      <c r="H115" s="22">
        <v>133360.3</v>
      </c>
      <c r="I115" s="23" t="s">
        <v>39</v>
      </c>
      <c r="J115" s="23" t="s">
        <v>39</v>
      </c>
      <c r="K115" s="22">
        <v>0</v>
      </c>
      <c r="L115" s="22">
        <v>35916.32</v>
      </c>
      <c r="M115" s="22">
        <f>V115</f>
        <v>169276.62000000002</v>
      </c>
      <c r="N115" s="26">
        <v>361</v>
      </c>
      <c r="O115" s="22">
        <f>IF(COUNT(F115,M115)=2,F115-M115,"n.d.")</f>
        <v>-2.9103830456733704e-11</v>
      </c>
      <c r="P115" s="26">
        <f>IF(COUNT(G115,N115)=2,G115-N115,"n.d.")</f>
        <v>0</v>
      </c>
      <c r="Q115" s="27">
        <f>IF(COUNTIFS('Taux'!$A$6:$A$20,A115,'Taux'!$B$6:$B$20,D115)=1,SUMIFS('Taux'!$D$6:$D$20,'Taux'!$A$6:$A$20,A115,'Taux'!$B$6:$B$20,D115),"n.d.")</f>
        <v>7.47595715</v>
      </c>
      <c r="R115" s="22">
        <f>IF(COUNT(F115,Q115)=2,F115/Q115,"n.d.")</f>
        <v>22642.802333344032</v>
      </c>
      <c r="S115" s="22">
        <f>IF(COUNT(M115,Q115)=2,M115/Q115,"n.d.")</f>
        <v>22642.802333344036</v>
      </c>
      <c r="T115" s="24">
        <f>IF(OR(COUNT(F115,M115)&lt;&gt;2,F115=0),"n.d.",M115/F115)</f>
        <v>1.0000000000000002</v>
      </c>
      <c r="U115" s="24">
        <f>IF(OR(COUNT(G115,N115)&lt;&gt;2,G115=0),"n.d.",N115/G115)</f>
        <v>1.0</v>
      </c>
      <c r="V115" s="22">
        <v>169276.62</v>
      </c>
    </row>
    <row r="116" spans="1:23" ht="19" customHeight="1">
      <c r="A116" s="18" t="s">
        <v>5</v>
      </c>
      <c r="B116" s="18" t="s">
        <v>187</v>
      </c>
      <c r="C116" s="18" t="s">
        <v>17</v>
      </c>
      <c r="D116" s="18" t="s">
        <v>188</v>
      </c>
      <c r="E116" s="25">
        <v>46174</v>
      </c>
      <c r="F116" s="22">
        <v>89121.87000000007</v>
      </c>
      <c r="G116" s="26">
        <v>296</v>
      </c>
      <c r="H116" s="22">
        <v>73694.54999999997</v>
      </c>
      <c r="I116" s="23" t="s">
        <v>39</v>
      </c>
      <c r="J116" s="23" t="s">
        <v>39</v>
      </c>
      <c r="K116" s="22">
        <v>0</v>
      </c>
      <c r="L116" s="22">
        <v>15427.32</v>
      </c>
      <c r="M116" s="22">
        <f>V116</f>
        <v>89121.86999999997</v>
      </c>
      <c r="N116" s="26">
        <v>296</v>
      </c>
      <c r="O116" s="22">
        <f>IF(COUNT(F116,M116)=2,F116-M116,"n.d.")</f>
        <v>1.0186340659856796e-10</v>
      </c>
      <c r="P116" s="26">
        <f>IF(COUNT(G116,N116)=2,G116-N116,"n.d.")</f>
        <v>0</v>
      </c>
      <c r="Q116" s="27">
        <f>IF(COUNTIFS('Taux'!$A$6:$A$20,A116,'Taux'!$B$6:$B$20,D116)=1,SUMIFS('Taux'!$D$6:$D$20,'Taux'!$A$6:$A$20,A116,'Taux'!$B$6:$B$20,D116),"n.d.")</f>
        <v>7.47595715</v>
      </c>
      <c r="R116" s="22">
        <f>IF(COUNT(F116,Q116)=2,F116/Q116,"n.d.")</f>
        <v>11921.131730938301</v>
      </c>
      <c r="S116" s="22">
        <f>IF(COUNT(M116,Q116)=2,M116/Q116,"n.d.")</f>
        <v>11921.131730938287</v>
      </c>
      <c r="T116" s="24">
        <f>IF(OR(COUNT(F116,M116)&lt;&gt;2,F116=0),"n.d.",M116/F116)</f>
        <v>0.9999999999999989</v>
      </c>
      <c r="U116" s="24">
        <f>IF(OR(COUNT(G116,N116)&lt;&gt;2,G116=0),"n.d.",N116/G116)</f>
        <v>1.0</v>
      </c>
      <c r="V116" s="22">
        <v>89121.86999999997</v>
      </c>
    </row>
    <row r="117" spans="1:23" ht="19" customHeight="1">
      <c r="A117" s="18" t="s">
        <v>5</v>
      </c>
      <c r="B117" s="18" t="s">
        <v>187</v>
      </c>
      <c r="C117" s="18" t="s">
        <v>17</v>
      </c>
      <c r="D117" s="18" t="s">
        <v>188</v>
      </c>
      <c r="E117" s="25">
        <v>46204</v>
      </c>
      <c r="F117" s="22">
        <v>74452.37999999999</v>
      </c>
      <c r="G117" s="26">
        <v>313</v>
      </c>
      <c r="H117" s="22">
        <v>67214.93999999992</v>
      </c>
      <c r="I117" s="23" t="s">
        <v>39</v>
      </c>
      <c r="J117" s="23" t="s">
        <v>39</v>
      </c>
      <c r="K117" s="22">
        <v>0</v>
      </c>
      <c r="L117" s="22">
        <v>7237.440000000001</v>
      </c>
      <c r="M117" s="22">
        <f>V117</f>
        <v>74452.37999999992</v>
      </c>
      <c r="N117" s="26">
        <v>313</v>
      </c>
      <c r="O117" s="22">
        <f>IF(COUNT(F117,M117)=2,F117-M117,"n.d.")</f>
        <v>7.275957614183426e-11</v>
      </c>
      <c r="P117" s="26">
        <f>IF(COUNT(G117,N117)=2,G117-N117,"n.d.")</f>
        <v>0</v>
      </c>
      <c r="Q117" s="27">
        <f>IF(COUNTIFS('Taux'!$A$6:$A$20,A117,'Taux'!$B$6:$B$20,D117)=1,SUMIFS('Taux'!$D$6:$D$20,'Taux'!$A$6:$A$20,A117,'Taux'!$B$6:$B$20,D117),"n.d.")</f>
        <v>7.47595715</v>
      </c>
      <c r="R117" s="22">
        <f>IF(COUNT(F117,Q117)=2,F117/Q117,"n.d.")</f>
        <v>9958.909408676853</v>
      </c>
      <c r="S117" s="22">
        <f>IF(COUNT(M117,Q117)=2,M117/Q117,"n.d.")</f>
        <v>9958.909408676844</v>
      </c>
      <c r="T117" s="24">
        <f>IF(OR(COUNT(F117,M117)&lt;&gt;2,F117=0),"n.d.",M117/F117)</f>
        <v>0.999999999999999</v>
      </c>
      <c r="U117" s="24">
        <f>IF(OR(COUNT(G117,N117)&lt;&gt;2,G117=0),"n.d.",N117/G117)</f>
        <v>1.0</v>
      </c>
      <c r="V117" s="22">
        <v>74452.37999999992</v>
      </c>
    </row>
    <row r="118" spans="1:23" ht="19" customHeight="1">
      <c r="A118" s="18" t="s">
        <v>5</v>
      </c>
      <c r="B118" s="18" t="s">
        <v>187</v>
      </c>
      <c r="C118" s="18" t="s">
        <v>17</v>
      </c>
      <c r="D118" s="18" t="s">
        <v>188</v>
      </c>
      <c r="E118" s="25">
        <v>46235</v>
      </c>
      <c r="F118" s="22">
        <v>80425.65000000029</v>
      </c>
      <c r="G118" s="26">
        <v>1111</v>
      </c>
      <c r="H118" s="22">
        <v>62933.94000000001</v>
      </c>
      <c r="I118" s="23" t="s">
        <v>39</v>
      </c>
      <c r="J118" s="23" t="s">
        <v>39</v>
      </c>
      <c r="K118" s="22">
        <v>0</v>
      </c>
      <c r="L118" s="22">
        <v>16845.81999999999</v>
      </c>
      <c r="M118" s="22">
        <f>V118</f>
        <v>79779.76000000001</v>
      </c>
      <c r="N118" s="26">
        <v>1095</v>
      </c>
      <c r="O118" s="22">
        <f>IF(COUNT(F118,M118)=2,F118-M118,"n.d.")</f>
        <v>645.8900000002759</v>
      </c>
      <c r="P118" s="26">
        <f>IF(COUNT(G118,N118)=2,G118-N118,"n.d.")</f>
        <v>16</v>
      </c>
      <c r="Q118" s="27">
        <f>IF(COUNTIFS('Taux'!$A$6:$A$20,A118,'Taux'!$B$6:$B$20,D118)=1,SUMIFS('Taux'!$D$6:$D$20,'Taux'!$A$6:$A$20,A118,'Taux'!$B$6:$B$20,D118),"n.d.")</f>
        <v>7.47595715</v>
      </c>
      <c r="R118" s="22">
        <f>IF(COUNT(F118,Q118)=2,F118/Q118,"n.d.")</f>
        <v>10757.906765155854</v>
      </c>
      <c r="S118" s="22">
        <f>IF(COUNT(M118,Q118)=2,M118/Q118,"n.d.")</f>
        <v>10671.511138878051</v>
      </c>
      <c r="T118" s="24">
        <f>IF(OR(COUNT(F118,M118)&lt;&gt;2,F118=0),"n.d.",M118/F118)</f>
        <v>0.9919691043839836</v>
      </c>
      <c r="U118" s="24">
        <f>IF(OR(COUNT(G118,N118)&lt;&gt;2,G118=0),"n.d.",N118/G118)</f>
        <v>0.9855985598559855</v>
      </c>
      <c r="V118" s="22">
        <v>79779.76000000001</v>
      </c>
    </row>
    <row r="119" spans="1:23" ht="19" customHeight="1">
      <c r="A119" s="18" t="s">
        <v>5</v>
      </c>
      <c r="B119" s="18" t="s">
        <v>187</v>
      </c>
      <c r="C119" s="18" t="s">
        <v>17</v>
      </c>
      <c r="D119" s="18" t="s">
        <v>188</v>
      </c>
      <c r="E119" s="25">
        <v>46266</v>
      </c>
      <c r="F119" s="22">
        <v>55289.88000000001</v>
      </c>
      <c r="G119" s="26">
        <v>270</v>
      </c>
      <c r="H119" s="22">
        <v>35497.24999999999</v>
      </c>
      <c r="I119" s="23" t="s">
        <v>39</v>
      </c>
      <c r="J119" s="23" t="s">
        <v>39</v>
      </c>
      <c r="K119" s="22">
        <v>0</v>
      </c>
      <c r="L119" s="22">
        <v>4271.81</v>
      </c>
      <c r="M119" s="22">
        <f>V119</f>
        <v>39769.05999999999</v>
      </c>
      <c r="N119" s="26">
        <v>158</v>
      </c>
      <c r="O119" s="22">
        <f>IF(COUNT(F119,M119)=2,F119-M119,"n.d.")</f>
        <v>15520.820000000022</v>
      </c>
      <c r="P119" s="26">
        <f>IF(COUNT(G119,N119)=2,G119-N119,"n.d.")</f>
        <v>112</v>
      </c>
      <c r="Q119" s="27">
        <f>IF(COUNTIFS('Taux'!$A$6:$A$20,A119,'Taux'!$B$6:$B$20,D119)=1,SUMIFS('Taux'!$D$6:$D$20,'Taux'!$A$6:$A$20,A119,'Taux'!$B$6:$B$20,D119),"n.d.")</f>
        <v>7.47595715</v>
      </c>
      <c r="R119" s="22">
        <f>IF(COUNT(F119,Q119)=2,F119/Q119,"n.d.")</f>
        <v>7395.692469960186</v>
      </c>
      <c r="S119" s="22">
        <f>IF(COUNT(M119,Q119)=2,M119/Q119,"n.d.")</f>
        <v>5319.594428119481</v>
      </c>
      <c r="T119" s="24">
        <f>IF(OR(COUNT(F119,M119)&lt;&gt;2,F119=0),"n.d.",M119/F119)</f>
        <v>0.7192828054609629</v>
      </c>
      <c r="U119" s="24">
        <f>IF(OR(COUNT(G119,N119)&lt;&gt;2,G119=0),"n.d.",N119/G119)</f>
        <v>0.5851851851851851</v>
      </c>
      <c r="V119" s="22">
        <v>39769.05999999999</v>
      </c>
    </row>
    <row r="120" spans="1:23" ht="19" customHeight="1">
      <c r="A120" s="18" t="s">
        <v>5</v>
      </c>
      <c r="B120" s="18" t="s">
        <v>189</v>
      </c>
      <c r="C120" s="18" t="s">
        <v>18</v>
      </c>
      <c r="D120" s="18" t="s">
        <v>190</v>
      </c>
      <c r="E120" s="25">
        <v>46113</v>
      </c>
      <c r="F120" s="22">
        <v>61630.93000000002</v>
      </c>
      <c r="G120" s="26">
        <v>148</v>
      </c>
      <c r="H120" s="22">
        <v>44529.71000000001</v>
      </c>
      <c r="I120" s="23" t="s">
        <v>39</v>
      </c>
      <c r="J120" s="23" t="s">
        <v>39</v>
      </c>
      <c r="K120" s="22">
        <v>0</v>
      </c>
      <c r="L120" s="22">
        <v>13050.29</v>
      </c>
      <c r="M120" s="22">
        <f>V120</f>
        <v>57580.000000000015</v>
      </c>
      <c r="N120" s="26">
        <v>147</v>
      </c>
      <c r="O120" s="22">
        <f>IF(COUNT(F120,M120)=2,F120-M120,"n.d.")</f>
        <v>4050.9300000000076</v>
      </c>
      <c r="P120" s="26">
        <f>IF(COUNT(G120,N120)=2,G120-N120,"n.d.")</f>
        <v>1</v>
      </c>
      <c r="Q120" s="27">
        <f>IF(COUNTIFS('Taux'!$A$6:$A$20,A120,'Taux'!$B$6:$B$20,D120)=1,SUMIFS('Taux'!$D$6:$D$20,'Taux'!$A$6:$A$20,A120,'Taux'!$B$6:$B$20,D120),"n.d.")</f>
        <v>10.90384939</v>
      </c>
      <c r="R120" s="22">
        <f>IF(COUNT(F120,Q120)=2,F120/Q120,"n.d.")</f>
        <v>5652.2176522836235</v>
      </c>
      <c r="S120" s="22">
        <f>IF(COUNT(M120,Q120)=2,M120/Q120,"n.d.")</f>
        <v>5280.7039001113735</v>
      </c>
      <c r="T120" s="24">
        <f>IF(OR(COUNT(F120,M120)&lt;&gt;2,F120=0),"n.d.",M120/F120)</f>
        <v>0.9342711524878822</v>
      </c>
      <c r="U120" s="24">
        <f>IF(OR(COUNT(G120,N120)&lt;&gt;2,G120=0),"n.d.",N120/G120)</f>
        <v>0.9932432432432432</v>
      </c>
      <c r="V120" s="22">
        <v>57580.00000000001</v>
      </c>
    </row>
    <row r="121" spans="1:23" ht="19" customHeight="1">
      <c r="A121" s="18" t="s">
        <v>5</v>
      </c>
      <c r="B121" s="18" t="s">
        <v>189</v>
      </c>
      <c r="C121" s="18" t="s">
        <v>18</v>
      </c>
      <c r="D121" s="18" t="s">
        <v>190</v>
      </c>
      <c r="E121" s="25">
        <v>46143</v>
      </c>
      <c r="F121" s="22">
        <v>146993.7100000001</v>
      </c>
      <c r="G121" s="26">
        <v>129</v>
      </c>
      <c r="H121" s="22">
        <v>119196.88</v>
      </c>
      <c r="I121" s="23" t="s">
        <v>39</v>
      </c>
      <c r="J121" s="23" t="s">
        <v>39</v>
      </c>
      <c r="K121" s="22">
        <v>0</v>
      </c>
      <c r="L121" s="22">
        <v>27796.83</v>
      </c>
      <c r="M121" s="22">
        <f>V121</f>
        <v>146993.71000000002</v>
      </c>
      <c r="N121" s="26">
        <v>129</v>
      </c>
      <c r="O121" s="22">
        <f>IF(COUNT(F121,M121)=2,F121-M121,"n.d.")</f>
        <v>2.9103830456733704e-11</v>
      </c>
      <c r="P121" s="26">
        <f>IF(COUNT(G121,N121)=2,G121-N121,"n.d.")</f>
        <v>0</v>
      </c>
      <c r="Q121" s="27">
        <f>IF(COUNTIFS('Taux'!$A$6:$A$20,A121,'Taux'!$B$6:$B$20,D121)=1,SUMIFS('Taux'!$D$6:$D$20,'Taux'!$A$6:$A$20,A121,'Taux'!$B$6:$B$20,D121),"n.d.")</f>
        <v>10.90384939</v>
      </c>
      <c r="R121" s="22">
        <f>IF(COUNT(F121,Q121)=2,F121/Q121,"n.d.")</f>
        <v>13480.900619813134</v>
      </c>
      <c r="S121" s="22">
        <f>IF(COUNT(M121,Q121)=2,M121/Q121,"n.d.")</f>
        <v>13480.90061981313</v>
      </c>
      <c r="T121" s="24">
        <f>IF(OR(COUNT(F121,M121)&lt;&gt;2,F121=0),"n.d.",M121/F121)</f>
        <v>0.9999999999999998</v>
      </c>
      <c r="U121" s="24">
        <f>IF(OR(COUNT(G121,N121)&lt;&gt;2,G121=0),"n.d.",N121/G121)</f>
        <v>1.0</v>
      </c>
      <c r="V121" s="22">
        <v>146993.71</v>
      </c>
    </row>
    <row r="122" spans="1:23" ht="19" customHeight="1">
      <c r="A122" s="18" t="s">
        <v>5</v>
      </c>
      <c r="B122" s="18" t="s">
        <v>189</v>
      </c>
      <c r="C122" s="18" t="s">
        <v>18</v>
      </c>
      <c r="D122" s="18" t="s">
        <v>190</v>
      </c>
      <c r="E122" s="25">
        <v>46174</v>
      </c>
      <c r="F122" s="22">
        <v>55560.72999999998</v>
      </c>
      <c r="G122" s="26">
        <v>180</v>
      </c>
      <c r="H122" s="22">
        <v>48189.56999999999</v>
      </c>
      <c r="I122" s="23" t="s">
        <v>39</v>
      </c>
      <c r="J122" s="23" t="s">
        <v>39</v>
      </c>
      <c r="K122" s="22">
        <v>0</v>
      </c>
      <c r="L122" s="22">
        <v>7371.159999999999</v>
      </c>
      <c r="M122" s="22">
        <f>V122</f>
        <v>55560.72999999998</v>
      </c>
      <c r="N122" s="26">
        <v>180</v>
      </c>
      <c r="O122" s="22">
        <f>IF(COUNT(F122,M122)=2,F122-M122,"n.d.")</f>
        <v>0.0</v>
      </c>
      <c r="P122" s="26">
        <f>IF(COUNT(G122,N122)=2,G122-N122,"n.d.")</f>
        <v>0</v>
      </c>
      <c r="Q122" s="27">
        <f>IF(COUNTIFS('Taux'!$A$6:$A$20,A122,'Taux'!$B$6:$B$20,D122)=1,SUMIFS('Taux'!$D$6:$D$20,'Taux'!$A$6:$A$20,A122,'Taux'!$B$6:$B$20,D122),"n.d.")</f>
        <v>10.90384939</v>
      </c>
      <c r="R122" s="22">
        <f>IF(COUNT(F122,Q122)=2,F122/Q122,"n.d.")</f>
        <v>5095.5151720047725</v>
      </c>
      <c r="S122" s="22">
        <f>IF(COUNT(M122,Q122)=2,M122/Q122,"n.d.")</f>
        <v>5095.5151720047725</v>
      </c>
      <c r="T122" s="24">
        <f>IF(OR(COUNT(F122,M122)&lt;&gt;2,F122=0),"n.d.",M122/F122)</f>
        <v>1.0</v>
      </c>
      <c r="U122" s="24">
        <f>IF(OR(COUNT(G122,N122)&lt;&gt;2,G122=0),"n.d.",N122/G122)</f>
        <v>1.0</v>
      </c>
      <c r="V122" s="22">
        <v>55560.72999999998</v>
      </c>
    </row>
    <row r="123" spans="1:23" ht="19" customHeight="1">
      <c r="A123" s="18" t="s">
        <v>5</v>
      </c>
      <c r="B123" s="18" t="s">
        <v>189</v>
      </c>
      <c r="C123" s="18" t="s">
        <v>18</v>
      </c>
      <c r="D123" s="18" t="s">
        <v>190</v>
      </c>
      <c r="E123" s="25">
        <v>46204</v>
      </c>
      <c r="F123" s="22">
        <v>42542.55999999998</v>
      </c>
      <c r="G123" s="26">
        <v>115</v>
      </c>
      <c r="H123" s="22">
        <v>35319.84</v>
      </c>
      <c r="I123" s="23" t="s">
        <v>39</v>
      </c>
      <c r="J123" s="23" t="s">
        <v>39</v>
      </c>
      <c r="K123" s="22">
        <v>0</v>
      </c>
      <c r="L123" s="22">
        <v>7222.72</v>
      </c>
      <c r="M123" s="22">
        <f>V123</f>
        <v>42542.560000000005</v>
      </c>
      <c r="N123" s="26">
        <v>115</v>
      </c>
      <c r="O123" s="22">
        <f>IF(COUNT(F123,M123)=2,F123-M123,"n.d.")</f>
        <v>-2.9103830456733704e-11</v>
      </c>
      <c r="P123" s="26">
        <f>IF(COUNT(G123,N123)=2,G123-N123,"n.d.")</f>
        <v>0</v>
      </c>
      <c r="Q123" s="27">
        <f>IF(COUNTIFS('Taux'!$A$6:$A$20,A123,'Taux'!$B$6:$B$20,D123)=1,SUMIFS('Taux'!$D$6:$D$20,'Taux'!$A$6:$A$20,A123,'Taux'!$B$6:$B$20,D123),"n.d.")</f>
        <v>10.90384939</v>
      </c>
      <c r="R123" s="22">
        <f>IF(COUNT(F123,Q123)=2,F123/Q123,"n.d.")</f>
        <v>3901.6092829580048</v>
      </c>
      <c r="S123" s="22">
        <f>IF(COUNT(M123,Q123)=2,M123/Q123,"n.d.")</f>
        <v>3901.6092829580075</v>
      </c>
      <c r="T123" s="24">
        <f>IF(OR(COUNT(F123,M123)&lt;&gt;2,F123=0),"n.d.",M123/F123)</f>
        <v>1.0000000000000007</v>
      </c>
      <c r="U123" s="24">
        <f>IF(OR(COUNT(G123,N123)&lt;&gt;2,G123=0),"n.d.",N123/G123)</f>
        <v>1.0</v>
      </c>
      <c r="V123" s="22">
        <v>42542.56</v>
      </c>
    </row>
    <row r="124" spans="1:23" ht="19" customHeight="1">
      <c r="A124" s="18" t="s">
        <v>5</v>
      </c>
      <c r="B124" s="18" t="s">
        <v>189</v>
      </c>
      <c r="C124" s="18" t="s">
        <v>18</v>
      </c>
      <c r="D124" s="18" t="s">
        <v>190</v>
      </c>
      <c r="E124" s="25">
        <v>46235</v>
      </c>
      <c r="F124" s="22">
        <v>43074.34000000001</v>
      </c>
      <c r="G124" s="26">
        <v>91</v>
      </c>
      <c r="H124" s="22">
        <v>38392.78000000001</v>
      </c>
      <c r="I124" s="23" t="s">
        <v>39</v>
      </c>
      <c r="J124" s="23" t="s">
        <v>39</v>
      </c>
      <c r="K124" s="22">
        <v>0</v>
      </c>
      <c r="L124" s="22">
        <v>2935.37</v>
      </c>
      <c r="M124" s="22">
        <f>V124</f>
        <v>41328.15000000001</v>
      </c>
      <c r="N124" s="26">
        <v>74</v>
      </c>
      <c r="O124" s="22">
        <f>IF(COUNT(F124,M124)=2,F124-M124,"n.d.")</f>
        <v>1746.1900000000023</v>
      </c>
      <c r="P124" s="26">
        <f>IF(COUNT(G124,N124)=2,G124-N124,"n.d.")</f>
        <v>17</v>
      </c>
      <c r="Q124" s="27">
        <f>IF(COUNTIFS('Taux'!$A$6:$A$20,A124,'Taux'!$B$6:$B$20,D124)=1,SUMIFS('Taux'!$D$6:$D$20,'Taux'!$A$6:$A$20,A124,'Taux'!$B$6:$B$20,D124),"n.d.")</f>
        <v>10.90384939</v>
      </c>
      <c r="R124" s="22">
        <f>IF(COUNT(F124,Q124)=2,F124/Q124,"n.d.")</f>
        <v>3950.379215573521</v>
      </c>
      <c r="S124" s="22">
        <f>IF(COUNT(M124,Q124)=2,M124/Q124,"n.d.")</f>
        <v>3790.2348539317095</v>
      </c>
      <c r="T124" s="24">
        <f>IF(OR(COUNT(F124,M124)&lt;&gt;2,F124=0),"n.d.",M124/F124)</f>
        <v>0.9594610155373245</v>
      </c>
      <c r="U124" s="24">
        <f>IF(OR(COUNT(G124,N124)&lt;&gt;2,G124=0),"n.d.",N124/G124)</f>
        <v>0.8131868131868132</v>
      </c>
      <c r="V124" s="22">
        <v>41328.15000000001</v>
      </c>
    </row>
    <row r="125" spans="1:23" ht="19" customHeight="1">
      <c r="A125" s="18" t="s">
        <v>5</v>
      </c>
      <c r="B125" s="18" t="s">
        <v>189</v>
      </c>
      <c r="C125" s="18" t="s">
        <v>18</v>
      </c>
      <c r="D125" s="18" t="s">
        <v>190</v>
      </c>
      <c r="E125" s="25">
        <v>46266</v>
      </c>
      <c r="F125" s="22">
        <v>46303.51000000002</v>
      </c>
      <c r="G125" s="26">
        <v>123</v>
      </c>
      <c r="H125" s="22">
        <v>29683.47</v>
      </c>
      <c r="I125" s="23" t="s">
        <v>39</v>
      </c>
      <c r="J125" s="23" t="s">
        <v>39</v>
      </c>
      <c r="K125" s="22">
        <v>0</v>
      </c>
      <c r="L125" s="22">
        <v>333.07</v>
      </c>
      <c r="M125" s="22">
        <f>V125</f>
        <v>30016.54</v>
      </c>
      <c r="N125" s="26">
        <v>25</v>
      </c>
      <c r="O125" s="22">
        <f>IF(COUNT(F125,M125)=2,F125-M125,"n.d.")</f>
        <v>16286.970000000016</v>
      </c>
      <c r="P125" s="26">
        <f>IF(COUNT(G125,N125)=2,G125-N125,"n.d.")</f>
        <v>98</v>
      </c>
      <c r="Q125" s="27">
        <f>IF(COUNTIFS('Taux'!$A$6:$A$20,A125,'Taux'!$B$6:$B$20,D125)=1,SUMIFS('Taux'!$D$6:$D$20,'Taux'!$A$6:$A$20,A125,'Taux'!$B$6:$B$20,D125),"n.d.")</f>
        <v>10.90384939</v>
      </c>
      <c r="R125" s="22">
        <f>IF(COUNT(F125,Q125)=2,F125/Q125,"n.d.")</f>
        <v>4246.528757308892</v>
      </c>
      <c r="S125" s="22">
        <f>IF(COUNT(M125,Q125)=2,M125/Q125,"n.d.")</f>
        <v>2752.838830250938</v>
      </c>
      <c r="T125" s="24">
        <f>IF(OR(COUNT(F125,M125)&lt;&gt;2,F125=0),"n.d.",M125/F125)</f>
        <v>0.6482562553033234</v>
      </c>
      <c r="U125" s="24">
        <f>IF(OR(COUNT(G125,N125)&lt;&gt;2,G125=0),"n.d.",N125/G125)</f>
        <v>0.2032520325203252</v>
      </c>
      <c r="V125" s="22">
        <v>30016.54</v>
      </c>
    </row>
    <row r="126" spans="1:23" ht="19" customHeight="1">
      <c r="A126" s="18" t="s">
        <v>5</v>
      </c>
      <c r="B126" s="18" t="s">
        <v>191</v>
      </c>
      <c r="C126" s="18" t="s">
        <v>19</v>
      </c>
      <c r="D126" s="18" t="s">
        <v>192</v>
      </c>
      <c r="E126" s="25">
        <v>46113</v>
      </c>
      <c r="F126" s="22">
        <v>384406.8300000001</v>
      </c>
      <c r="G126" s="26">
        <v>600</v>
      </c>
      <c r="H126" s="22">
        <v>368266.0900000003</v>
      </c>
      <c r="I126" s="23" t="s">
        <v>39</v>
      </c>
      <c r="J126" s="23" t="s">
        <v>39</v>
      </c>
      <c r="K126" s="22">
        <v>0</v>
      </c>
      <c r="L126" s="22">
        <v>16140.74</v>
      </c>
      <c r="M126" s="22">
        <f>V126</f>
        <v>384406.8300000003</v>
      </c>
      <c r="N126" s="26">
        <v>600</v>
      </c>
      <c r="O126" s="22">
        <f>IF(COUNT(F126,M126)=2,F126-M126,"n.d.")</f>
        <v>-2.3283064365386963e-10</v>
      </c>
      <c r="P126" s="26">
        <f>IF(COUNT(G126,N126)=2,G126-N126,"n.d.")</f>
        <v>0</v>
      </c>
      <c r="Q126" s="27">
        <f>IF(COUNTIFS('Taux'!$A$6:$A$20,A126,'Taux'!$B$6:$B$20,D126)=1,SUMIFS('Taux'!$D$6:$D$20,'Taux'!$A$6:$A$20,A126,'Taux'!$B$6:$B$20,D126),"n.d.")</f>
        <v>11.34339828</v>
      </c>
      <c r="R126" s="22">
        <f>IF(COUNT(F126,Q126)=2,F126/Q126,"n.d.")</f>
        <v>33888.15419430023</v>
      </c>
      <c r="S126" s="22">
        <f>IF(COUNT(M126,Q126)=2,M126/Q126,"n.d.")</f>
        <v>33888.15419430025</v>
      </c>
      <c r="T126" s="24">
        <f>IF(OR(COUNT(F126,M126)&lt;&gt;2,F126=0),"n.d.",M126/F126)</f>
        <v>1.0000000000000007</v>
      </c>
      <c r="U126" s="24">
        <f>IF(OR(COUNT(G126,N126)&lt;&gt;2,G126=0),"n.d.",N126/G126)</f>
        <v>1.0</v>
      </c>
      <c r="V126" s="22">
        <v>384406.8300000003</v>
      </c>
    </row>
    <row r="127" spans="1:23" ht="19" customHeight="1">
      <c r="A127" s="18" t="s">
        <v>5</v>
      </c>
      <c r="B127" s="18" t="s">
        <v>191</v>
      </c>
      <c r="C127" s="18" t="s">
        <v>19</v>
      </c>
      <c r="D127" s="18" t="s">
        <v>192</v>
      </c>
      <c r="E127" s="25">
        <v>46143</v>
      </c>
      <c r="F127" s="22">
        <v>139417.6299999999</v>
      </c>
      <c r="G127" s="26">
        <v>518</v>
      </c>
      <c r="H127" s="22">
        <v>129130.2099999999</v>
      </c>
      <c r="I127" s="23" t="s">
        <v>39</v>
      </c>
      <c r="J127" s="23" t="s">
        <v>39</v>
      </c>
      <c r="K127" s="22">
        <v>0</v>
      </c>
      <c r="L127" s="22">
        <v>6916.57</v>
      </c>
      <c r="M127" s="22">
        <f>V127</f>
        <v>136046.7799999999</v>
      </c>
      <c r="N127" s="26">
        <v>516</v>
      </c>
      <c r="O127" s="22">
        <f>IF(COUNT(F127,M127)=2,F127-M127,"n.d.")</f>
        <v>3370.850000000006</v>
      </c>
      <c r="P127" s="26">
        <f>IF(COUNT(G127,N127)=2,G127-N127,"n.d.")</f>
        <v>2</v>
      </c>
      <c r="Q127" s="27">
        <f>IF(COUNTIFS('Taux'!$A$6:$A$20,A127,'Taux'!$B$6:$B$20,D127)=1,SUMIFS('Taux'!$D$6:$D$20,'Taux'!$A$6:$A$20,A127,'Taux'!$B$6:$B$20,D127),"n.d.")</f>
        <v>11.34339828</v>
      </c>
      <c r="R127" s="22">
        <f>IF(COUNT(F127,Q127)=2,F127/Q127,"n.d.")</f>
        <v>12290.640472865412</v>
      </c>
      <c r="S127" s="22">
        <f>IF(COUNT(M127,Q127)=2,M127/Q127,"n.d.")</f>
        <v>11993.476438173684</v>
      </c>
      <c r="T127" s="24">
        <f>IF(OR(COUNT(F127,M127)&lt;&gt;2,F127=0),"n.d.",M127/F127)</f>
        <v>0.9758219243864639</v>
      </c>
      <c r="U127" s="24">
        <f>IF(OR(COUNT(G127,N127)&lt;&gt;2,G127=0),"n.d.",N127/G127)</f>
        <v>0.9961389961389961</v>
      </c>
      <c r="V127" s="22">
        <v>136046.7799999999</v>
      </c>
    </row>
    <row r="128" spans="1:23" ht="19" customHeight="1">
      <c r="A128" s="18" t="s">
        <v>5</v>
      </c>
      <c r="B128" s="18" t="s">
        <v>191</v>
      </c>
      <c r="C128" s="18" t="s">
        <v>19</v>
      </c>
      <c r="D128" s="18" t="s">
        <v>192</v>
      </c>
      <c r="E128" s="25">
        <v>46174</v>
      </c>
      <c r="F128" s="22">
        <v>233126.0399999999</v>
      </c>
      <c r="G128" s="26">
        <v>635</v>
      </c>
      <c r="H128" s="22">
        <v>221743.1099999998</v>
      </c>
      <c r="I128" s="23" t="s">
        <v>39</v>
      </c>
      <c r="J128" s="23" t="s">
        <v>39</v>
      </c>
      <c r="K128" s="22">
        <v>0</v>
      </c>
      <c r="L128" s="22">
        <v>9133.240000000005</v>
      </c>
      <c r="M128" s="22">
        <f>V128</f>
        <v>230876.3499999998</v>
      </c>
      <c r="N128" s="26">
        <v>623</v>
      </c>
      <c r="O128" s="22">
        <f>IF(COUNT(F128,M128)=2,F128-M128,"n.d.")</f>
        <v>2249.6900000000605</v>
      </c>
      <c r="P128" s="26">
        <f>IF(COUNT(G128,N128)=2,G128-N128,"n.d.")</f>
        <v>12</v>
      </c>
      <c r="Q128" s="27">
        <f>IF(COUNTIFS('Taux'!$A$6:$A$20,A128,'Taux'!$B$6:$B$20,D128)=1,SUMIFS('Taux'!$D$6:$D$20,'Taux'!$A$6:$A$20,A128,'Taux'!$B$6:$B$20,D128),"n.d.")</f>
        <v>11.34339828</v>
      </c>
      <c r="R128" s="22">
        <f>IF(COUNT(F128,Q128)=2,F128/Q128,"n.d.")</f>
        <v>20551.693085751358</v>
      </c>
      <c r="S128" s="22">
        <f>IF(COUNT(M128,Q128)=2,M128/Q128,"n.d.")</f>
        <v>20353.367156918674</v>
      </c>
      <c r="T128" s="24">
        <f>IF(OR(COUNT(F128,M128)&lt;&gt;2,F128=0),"n.d.",M128/F128)</f>
        <v>0.9903498982782015</v>
      </c>
      <c r="U128" s="24">
        <f>IF(OR(COUNT(G128,N128)&lt;&gt;2,G128=0),"n.d.",N128/G128)</f>
        <v>0.9811023622047244</v>
      </c>
      <c r="V128" s="22">
        <v>230876.3499999998</v>
      </c>
    </row>
    <row r="129" spans="1:23" ht="19" customHeight="1">
      <c r="A129" s="18" t="s">
        <v>5</v>
      </c>
      <c r="B129" s="18" t="s">
        <v>191</v>
      </c>
      <c r="C129" s="18" t="s">
        <v>19</v>
      </c>
      <c r="D129" s="18" t="s">
        <v>192</v>
      </c>
      <c r="E129" s="25">
        <v>46204</v>
      </c>
      <c r="F129" s="22">
        <v>250328.1900000002</v>
      </c>
      <c r="G129" s="26">
        <v>541</v>
      </c>
      <c r="H129" s="22">
        <v>240575.4300000002</v>
      </c>
      <c r="I129" s="23" t="s">
        <v>39</v>
      </c>
      <c r="J129" s="23" t="s">
        <v>39</v>
      </c>
      <c r="K129" s="22">
        <v>0</v>
      </c>
      <c r="L129" s="22">
        <v>5510.730000000005</v>
      </c>
      <c r="M129" s="22">
        <f>V129</f>
        <v>246086.16000000018</v>
      </c>
      <c r="N129" s="26">
        <v>517</v>
      </c>
      <c r="O129" s="22">
        <f>IF(COUNT(F129,M129)=2,F129-M129,"n.d.")</f>
        <v>4242.030000000057</v>
      </c>
      <c r="P129" s="26">
        <f>IF(COUNT(G129,N129)=2,G129-N129,"n.d.")</f>
        <v>24</v>
      </c>
      <c r="Q129" s="27">
        <f>IF(COUNTIFS('Taux'!$A$6:$A$20,A129,'Taux'!$B$6:$B$20,D129)=1,SUMIFS('Taux'!$D$6:$D$20,'Taux'!$A$6:$A$20,A129,'Taux'!$B$6:$B$20,D129),"n.d.")</f>
        <v>11.34339828</v>
      </c>
      <c r="R129" s="22">
        <f>IF(COUNT(F129,Q129)=2,F129/Q129,"n.d.")</f>
        <v>22068.183080670267</v>
      </c>
      <c r="S129" s="22">
        <f>IF(COUNT(M129,Q129)=2,M129/Q129,"n.d.")</f>
        <v>21694.218427813164</v>
      </c>
      <c r="T129" s="24">
        <f>IF(OR(COUNT(F129,M129)&lt;&gt;2,F129=0),"n.d.",M129/F129)</f>
        <v>0.9830541258657283</v>
      </c>
      <c r="U129" s="24">
        <f>IF(OR(COUNT(G129,N129)&lt;&gt;2,G129=0),"n.d.",N129/G129)</f>
        <v>0.955637707948244</v>
      </c>
      <c r="V129" s="22">
        <v>246086.1600000002</v>
      </c>
    </row>
    <row r="130" spans="1:23" ht="19" customHeight="1">
      <c r="A130" s="18" t="s">
        <v>5</v>
      </c>
      <c r="B130" s="18" t="s">
        <v>191</v>
      </c>
      <c r="C130" s="18" t="s">
        <v>19</v>
      </c>
      <c r="D130" s="18" t="s">
        <v>192</v>
      </c>
      <c r="E130" s="25">
        <v>46235</v>
      </c>
      <c r="F130" s="22">
        <v>125416.33</v>
      </c>
      <c r="G130" s="26">
        <v>441</v>
      </c>
      <c r="H130" s="22">
        <v>114417.87</v>
      </c>
      <c r="I130" s="23" t="s">
        <v>39</v>
      </c>
      <c r="J130" s="23" t="s">
        <v>39</v>
      </c>
      <c r="K130" s="22">
        <v>0</v>
      </c>
      <c r="L130" s="22">
        <v>7751.849999999999</v>
      </c>
      <c r="M130" s="22">
        <f>V130</f>
        <v>122169.72000000004</v>
      </c>
      <c r="N130" s="26">
        <v>405</v>
      </c>
      <c r="O130" s="22">
        <f>IF(COUNT(F130,M130)=2,F130-M130,"n.d.")</f>
        <v>3246.6100000000006</v>
      </c>
      <c r="P130" s="26">
        <f>IF(COUNT(G130,N130)=2,G130-N130,"n.d.")</f>
        <v>36</v>
      </c>
      <c r="Q130" s="27">
        <f>IF(COUNTIFS('Taux'!$A$6:$A$20,A130,'Taux'!$B$6:$B$20,D130)=1,SUMIFS('Taux'!$D$6:$D$20,'Taux'!$A$6:$A$20,A130,'Taux'!$B$6:$B$20,D130),"n.d.")</f>
        <v>11.34339828</v>
      </c>
      <c r="R130" s="22">
        <f>IF(COUNT(F130,Q130)=2,F130/Q130,"n.d.")</f>
        <v>11056.327822071327</v>
      </c>
      <c r="S130" s="22">
        <f>IF(COUNT(M130,Q130)=2,M130/Q130,"n.d.")</f>
        <v>10770.116413473937</v>
      </c>
      <c r="T130" s="24">
        <f>IF(OR(COUNT(F130,M130)&lt;&gt;2,F130=0),"n.d.",M130/F130)</f>
        <v>0.9741133391480998</v>
      </c>
      <c r="U130" s="24">
        <f>IF(OR(COUNT(G130,N130)&lt;&gt;2,G130=0),"n.d.",N130/G130)</f>
        <v>0.9183673469387755</v>
      </c>
      <c r="V130" s="22">
        <v>122169.72</v>
      </c>
    </row>
    <row r="131" spans="1:23" ht="19" customHeight="1">
      <c r="A131" s="18" t="s">
        <v>5</v>
      </c>
      <c r="B131" s="18" t="s">
        <v>191</v>
      </c>
      <c r="C131" s="18" t="s">
        <v>19</v>
      </c>
      <c r="D131" s="18" t="s">
        <v>192</v>
      </c>
      <c r="E131" s="25">
        <v>46266</v>
      </c>
      <c r="F131" s="22">
        <v>310723.4099999999</v>
      </c>
      <c r="G131" s="26">
        <v>698</v>
      </c>
      <c r="H131" s="22">
        <v>146150.0899999998</v>
      </c>
      <c r="I131" s="23" t="s">
        <v>39</v>
      </c>
      <c r="J131" s="23" t="s">
        <v>39</v>
      </c>
      <c r="K131" s="22">
        <v>0</v>
      </c>
      <c r="L131" s="22">
        <v>5055.880000000003</v>
      </c>
      <c r="M131" s="22">
        <f>V131</f>
        <v>151205.96999999977</v>
      </c>
      <c r="N131" s="26">
        <v>398</v>
      </c>
      <c r="O131" s="22">
        <f>IF(COUNT(F131,M131)=2,F131-M131,"n.d.")</f>
        <v>159517.4400000001</v>
      </c>
      <c r="P131" s="26">
        <f>IF(COUNT(G131,N131)=2,G131-N131,"n.d.")</f>
        <v>300</v>
      </c>
      <c r="Q131" s="27">
        <f>IF(COUNTIFS('Taux'!$A$6:$A$20,A131,'Taux'!$B$6:$B$20,D131)=1,SUMIFS('Taux'!$D$6:$D$20,'Taux'!$A$6:$A$20,A131,'Taux'!$B$6:$B$20,D131),"n.d.")</f>
        <v>11.34339828</v>
      </c>
      <c r="R131" s="22">
        <f>IF(COUNT(F131,Q131)=2,F131/Q131,"n.d.")</f>
        <v>27392.444691627265</v>
      </c>
      <c r="S131" s="22">
        <f>IF(COUNT(M131,Q131)=2,M131/Q131,"n.d.")</f>
        <v>13329.865201559312</v>
      </c>
      <c r="T131" s="24">
        <f>IF(OR(COUNT(F131,M131)&lt;&gt;2,F131=0),"n.d.",M131/F131)</f>
        <v>0.4866256134354339</v>
      </c>
      <c r="U131" s="24">
        <f>IF(OR(COUNT(G131,N131)&lt;&gt;2,G131=0),"n.d.",N131/G131)</f>
        <v>0.5702005730659025</v>
      </c>
      <c r="V131" s="22">
        <v>151205.9699999998</v>
      </c>
    </row>
    <row r="132" spans="1:23" ht="19" customHeight="1">
      <c r="A132" s="18" t="s">
        <v>5</v>
      </c>
      <c r="B132" s="18" t="s">
        <v>182</v>
      </c>
      <c r="C132" s="18" t="s">
        <v>14</v>
      </c>
      <c r="D132" s="18" t="s">
        <v>183</v>
      </c>
      <c r="E132" s="25">
        <v>46113</v>
      </c>
      <c r="F132" s="22">
        <v>3310607.740000024</v>
      </c>
      <c r="G132" s="26">
        <v>16725</v>
      </c>
      <c r="H132" s="22">
        <v>2257245.010000002</v>
      </c>
      <c r="I132" s="22">
        <v>0</v>
      </c>
      <c r="J132" s="22">
        <v>35981.14000000003</v>
      </c>
      <c r="K132" s="23" t="s">
        <v>39</v>
      </c>
      <c r="L132" s="23" t="s">
        <v>39</v>
      </c>
      <c r="M132" s="22">
        <f>V132</f>
        <v>2293226.1500000022</v>
      </c>
      <c r="N132" s="26">
        <v>14335</v>
      </c>
      <c r="O132" s="22">
        <f>IF(COUNT(F132,M132)=2,F132-M132,"n.d.")</f>
        <v>1017381.5900000217</v>
      </c>
      <c r="P132" s="26">
        <f>IF(COUNT(G132,N132)=2,G132-N132,"n.d.")</f>
        <v>2390</v>
      </c>
      <c r="Q132" s="27">
        <f>IF(COUNTIFS('Taux'!$A$6:$A$20,A132,'Taux'!$B$6:$B$20,D132)=1,SUMIFS('Taux'!$D$6:$D$20,'Taux'!$A$6:$A$20,A132,'Taux'!$B$6:$B$20,D132),"n.d.")</f>
        <v>18.58943911</v>
      </c>
      <c r="R132" s="22">
        <f>IF(COUNT(F132,Q132)=2,F132/Q132,"n.d.")</f>
        <v>178090.78156742858</v>
      </c>
      <c r="S132" s="22">
        <f>IF(COUNT(M132,Q132)=2,M132/Q132,"n.d.")</f>
        <v>123361.77204864586</v>
      </c>
      <c r="T132" s="24">
        <f>IF(OR(COUNT(F132,M132)&lt;&gt;2,F132=0),"n.d.",M132/F132)</f>
        <v>0.6926903849986122</v>
      </c>
      <c r="U132" s="24">
        <f>IF(OR(COUNT(G132,N132)&lt;&gt;2,G132=0),"n.d.",N132/G132)</f>
        <v>0.8571001494768311</v>
      </c>
      <c r="V132" s="22">
        <v>2293226.150000002</v>
      </c>
    </row>
    <row r="133" spans="1:23" ht="19" customHeight="1">
      <c r="A133" s="18" t="s">
        <v>5</v>
      </c>
      <c r="B133" s="18" t="s">
        <v>182</v>
      </c>
      <c r="C133" s="18" t="s">
        <v>14</v>
      </c>
      <c r="D133" s="18" t="s">
        <v>183</v>
      </c>
      <c r="E133" s="25">
        <v>46143</v>
      </c>
      <c r="F133" s="22">
        <v>3439878.800000015</v>
      </c>
      <c r="G133" s="26">
        <v>16808</v>
      </c>
      <c r="H133" s="22">
        <v>2214528.610000001</v>
      </c>
      <c r="I133" s="22">
        <v>0</v>
      </c>
      <c r="J133" s="22">
        <v>35065.13999999982</v>
      </c>
      <c r="K133" s="23" t="s">
        <v>39</v>
      </c>
      <c r="L133" s="23" t="s">
        <v>39</v>
      </c>
      <c r="M133" s="22">
        <f>V133</f>
        <v>2249593.750000001</v>
      </c>
      <c r="N133" s="26">
        <v>13970</v>
      </c>
      <c r="O133" s="22">
        <f>IF(COUNT(F133,M133)=2,F133-M133,"n.d.")</f>
        <v>1190285.0500000138</v>
      </c>
      <c r="P133" s="26">
        <f>IF(COUNT(G133,N133)=2,G133-N133,"n.d.")</f>
        <v>2838</v>
      </c>
      <c r="Q133" s="27">
        <f>IF(COUNTIFS('Taux'!$A$6:$A$20,A133,'Taux'!$B$6:$B$20,D133)=1,SUMIFS('Taux'!$D$6:$D$20,'Taux'!$A$6:$A$20,A133,'Taux'!$B$6:$B$20,D133),"n.d.")</f>
        <v>18.58943911</v>
      </c>
      <c r="R133" s="22">
        <f>IF(COUNT(F133,Q133)=2,F133/Q133,"n.d.")</f>
        <v>185044.78696990738</v>
      </c>
      <c r="S133" s="22">
        <f>IF(COUNT(M133,Q133)=2,M133/Q133,"n.d.")</f>
        <v>121014.61139781537</v>
      </c>
      <c r="T133" s="24">
        <f>IF(OR(COUNT(F133,M133)&lt;&gt;2,F133=0),"n.d.",M133/F133)</f>
        <v>0.6539747127137129</v>
      </c>
      <c r="U133" s="24">
        <f>IF(OR(COUNT(G133,N133)&lt;&gt;2,G133=0),"n.d.",N133/G133)</f>
        <v>0.831151832460733</v>
      </c>
      <c r="V133" s="22">
        <v>2249593.750000001</v>
      </c>
    </row>
    <row r="134" spans="1:23" ht="19" customHeight="1">
      <c r="A134" s="18" t="s">
        <v>5</v>
      </c>
      <c r="B134" s="18" t="s">
        <v>182</v>
      </c>
      <c r="C134" s="18" t="s">
        <v>14</v>
      </c>
      <c r="D134" s="18" t="s">
        <v>183</v>
      </c>
      <c r="E134" s="25">
        <v>46174</v>
      </c>
      <c r="F134" s="22">
        <v>3537916.199999996</v>
      </c>
      <c r="G134" s="26">
        <v>18981</v>
      </c>
      <c r="H134" s="22">
        <v>1802014.029999999</v>
      </c>
      <c r="I134" s="22">
        <v>0</v>
      </c>
      <c r="J134" s="22">
        <v>37194.56999999994</v>
      </c>
      <c r="K134" s="23" t="s">
        <v>39</v>
      </c>
      <c r="L134" s="23" t="s">
        <v>39</v>
      </c>
      <c r="M134" s="22">
        <f>V134</f>
        <v>1839208.5999999985</v>
      </c>
      <c r="N134" s="26">
        <v>14984</v>
      </c>
      <c r="O134" s="22">
        <f>IF(COUNT(F134,M134)=2,F134-M134,"n.d.")</f>
        <v>1698707.599999998</v>
      </c>
      <c r="P134" s="26">
        <f>IF(COUNT(G134,N134)=2,G134-N134,"n.d.")</f>
        <v>3997</v>
      </c>
      <c r="Q134" s="27">
        <f>IF(COUNTIFS('Taux'!$A$6:$A$20,A134,'Taux'!$B$6:$B$20,D134)=1,SUMIFS('Taux'!$D$6:$D$20,'Taux'!$A$6:$A$20,A134,'Taux'!$B$6:$B$20,D134),"n.d.")</f>
        <v>18.58943911</v>
      </c>
      <c r="R134" s="22">
        <f>IF(COUNT(F134,Q134)=2,F134/Q134,"n.d.")</f>
        <v>190318.60934937032</v>
      </c>
      <c r="S134" s="22">
        <f>IF(COUNT(M134,Q134)=2,M134/Q134,"n.d.")</f>
        <v>98938.35898527002</v>
      </c>
      <c r="T134" s="24">
        <f>IF(OR(COUNT(F134,M134)&lt;&gt;2,F134=0),"n.d.",M134/F134)</f>
        <v>0.5198564624000988</v>
      </c>
      <c r="U134" s="24">
        <f>IF(OR(COUNT(G134,N134)&lt;&gt;2,G134=0),"n.d.",N134/G134)</f>
        <v>0.7894209999473157</v>
      </c>
      <c r="V134" s="22">
        <v>1839208.599999998</v>
      </c>
    </row>
    <row r="135" spans="1:23" ht="19" customHeight="1">
      <c r="A135" s="18" t="s">
        <v>5</v>
      </c>
      <c r="B135" s="18" t="s">
        <v>182</v>
      </c>
      <c r="C135" s="18" t="s">
        <v>14</v>
      </c>
      <c r="D135" s="18" t="s">
        <v>183</v>
      </c>
      <c r="E135" s="25">
        <v>46204</v>
      </c>
      <c r="F135" s="22">
        <v>4252435.729999964</v>
      </c>
      <c r="G135" s="26">
        <v>20844</v>
      </c>
      <c r="H135" s="22">
        <v>1844608.780000006</v>
      </c>
      <c r="I135" s="22">
        <v>0</v>
      </c>
      <c r="J135" s="22">
        <v>36958.94999999987</v>
      </c>
      <c r="K135" s="23" t="s">
        <v>39</v>
      </c>
      <c r="L135" s="23" t="s">
        <v>39</v>
      </c>
      <c r="M135" s="22">
        <f>V135</f>
        <v>1881567.7300000058</v>
      </c>
      <c r="N135" s="26">
        <v>14764</v>
      </c>
      <c r="O135" s="22">
        <f>IF(COUNT(F135,M135)=2,F135-M135,"n.d.")</f>
        <v>2370867.999999958</v>
      </c>
      <c r="P135" s="26">
        <f>IF(COUNT(G135,N135)=2,G135-N135,"n.d.")</f>
        <v>6080</v>
      </c>
      <c r="Q135" s="27">
        <f>IF(COUNTIFS('Taux'!$A$6:$A$20,A135,'Taux'!$B$6:$B$20,D135)=1,SUMIFS('Taux'!$D$6:$D$20,'Taux'!$A$6:$A$20,A135,'Taux'!$B$6:$B$20,D135),"n.d.")</f>
        <v>18.58943911</v>
      </c>
      <c r="R135" s="22">
        <f>IF(COUNT(F135,Q135)=2,F135/Q135,"n.d.")</f>
        <v>228755.46189623384</v>
      </c>
      <c r="S135" s="22">
        <f>IF(COUNT(M135,Q135)=2,M135/Q135,"n.d.")</f>
        <v>101217.02536941179</v>
      </c>
      <c r="T135" s="24">
        <f>IF(OR(COUNT(F135,M135)&lt;&gt;2,F135=0),"n.d.",M135/F135)</f>
        <v>0.4424682345522531</v>
      </c>
      <c r="U135" s="24">
        <f>IF(OR(COUNT(G135,N135)&lt;&gt;2,G135=0),"n.d.",N135/G135)</f>
        <v>0.7083093456150451</v>
      </c>
      <c r="V135" s="22">
        <v>1881567.730000006</v>
      </c>
    </row>
    <row r="136" spans="1:23" ht="19" customHeight="1">
      <c r="A136" s="18" t="s">
        <v>5</v>
      </c>
      <c r="B136" s="18" t="s">
        <v>182</v>
      </c>
      <c r="C136" s="18" t="s">
        <v>14</v>
      </c>
      <c r="D136" s="18" t="s">
        <v>183</v>
      </c>
      <c r="E136" s="25">
        <v>46235</v>
      </c>
      <c r="F136" s="22">
        <v>4095709.079999954</v>
      </c>
      <c r="G136" s="26">
        <v>20683</v>
      </c>
      <c r="H136" s="22">
        <v>1530045.009999999</v>
      </c>
      <c r="I136" s="22">
        <v>0</v>
      </c>
      <c r="J136" s="22">
        <v>23251.49000000008</v>
      </c>
      <c r="K136" s="23" t="s">
        <v>39</v>
      </c>
      <c r="L136" s="23" t="s">
        <v>39</v>
      </c>
      <c r="M136" s="22">
        <f>V136</f>
        <v>1553296.4999999988</v>
      </c>
      <c r="N136" s="26">
        <v>12141</v>
      </c>
      <c r="O136" s="22">
        <f>IF(COUNT(F136,M136)=2,F136-M136,"n.d.")</f>
        <v>2542412.5799999554</v>
      </c>
      <c r="P136" s="26">
        <f>IF(COUNT(G136,N136)=2,G136-N136,"n.d.")</f>
        <v>8542</v>
      </c>
      <c r="Q136" s="27">
        <f>IF(COUNTIFS('Taux'!$A$6:$A$20,A136,'Taux'!$B$6:$B$20,D136)=1,SUMIFS('Taux'!$D$6:$D$20,'Taux'!$A$6:$A$20,A136,'Taux'!$B$6:$B$20,D136),"n.d.")</f>
        <v>18.58943911</v>
      </c>
      <c r="R136" s="22">
        <f>IF(COUNT(F136,Q136)=2,F136/Q136,"n.d.")</f>
        <v>220324.51090989122</v>
      </c>
      <c r="S136" s="22">
        <f>IF(COUNT(M136,Q136)=2,M136/Q136,"n.d.")</f>
        <v>83558.00789946473</v>
      </c>
      <c r="T136" s="24">
        <f>IF(OR(COUNT(F136,M136)&lt;&gt;2,F136=0),"n.d.",M136/F136)</f>
        <v>0.379249714679446</v>
      </c>
      <c r="U136" s="24">
        <f>IF(OR(COUNT(G136,N136)&lt;&gt;2,G136=0),"n.d.",N136/G136)</f>
        <v>0.5870038195619591</v>
      </c>
      <c r="V136" s="22">
        <v>1553296.499999999</v>
      </c>
    </row>
    <row r="137" spans="1:23" ht="19" customHeight="1">
      <c r="A137" s="18" t="s">
        <v>5</v>
      </c>
      <c r="B137" s="18" t="s">
        <v>182</v>
      </c>
      <c r="C137" s="18" t="s">
        <v>14</v>
      </c>
      <c r="D137" s="18" t="s">
        <v>183</v>
      </c>
      <c r="E137" s="25">
        <v>46266</v>
      </c>
      <c r="F137" s="22">
        <v>4343101.549999991</v>
      </c>
      <c r="G137" s="26">
        <v>23633</v>
      </c>
      <c r="H137" s="22">
        <v>0</v>
      </c>
      <c r="I137" s="22">
        <v>0</v>
      </c>
      <c r="J137" s="22">
        <v>21748.81000000002</v>
      </c>
      <c r="K137" s="23" t="s">
        <v>39</v>
      </c>
      <c r="L137" s="23" t="s">
        <v>39</v>
      </c>
      <c r="M137" s="22">
        <f>V137</f>
        <v>21748.81000000002</v>
      </c>
      <c r="N137" s="26">
        <v>7481</v>
      </c>
      <c r="O137" s="22">
        <f>IF(COUNT(F137,M137)=2,F137-M137,"n.d.")</f>
        <v>4321352.739999992</v>
      </c>
      <c r="P137" s="26">
        <f>IF(COUNT(G137,N137)=2,G137-N137,"n.d.")</f>
        <v>16152</v>
      </c>
      <c r="Q137" s="27">
        <f>IF(COUNTIFS('Taux'!$A$6:$A$20,A137,'Taux'!$B$6:$B$20,D137)=1,SUMIFS('Taux'!$D$6:$D$20,'Taux'!$A$6:$A$20,A137,'Taux'!$B$6:$B$20,D137),"n.d.")</f>
        <v>18.58943911</v>
      </c>
      <c r="R137" s="22">
        <f>IF(COUNT(F137,Q137)=2,F137/Q137,"n.d.")</f>
        <v>233632.7376151798</v>
      </c>
      <c r="S137" s="22">
        <f>IF(COUNT(M137,Q137)=2,M137/Q137,"n.d.")</f>
        <v>1169.9551487973872</v>
      </c>
      <c r="T137" s="24">
        <f>IF(OR(COUNT(F137,M137)&lt;&gt;2,F137=0),"n.d.",M137/F137)</f>
        <v>0.005007667849719071</v>
      </c>
      <c r="U137" s="24">
        <f>IF(OR(COUNT(G137,N137)&lt;&gt;2,G137=0),"n.d.",N137/G137)</f>
        <v>0.31654889349638216</v>
      </c>
      <c r="V137" s="22">
        <v>21748.81000000002</v>
      </c>
    </row>
    <row r="138" spans="1:23" ht="19" customHeight="1">
      <c r="A138" s="18" t="s">
        <v>5</v>
      </c>
      <c r="B138" s="18" t="s">
        <v>185</v>
      </c>
      <c r="C138" s="18" t="s">
        <v>16</v>
      </c>
      <c r="D138" s="18" t="s">
        <v>186</v>
      </c>
      <c r="E138" s="25">
        <v>46113</v>
      </c>
      <c r="F138" s="22">
        <v>22695.36</v>
      </c>
      <c r="G138" s="26">
        <v>189</v>
      </c>
      <c r="H138" s="23" t="s">
        <v>39</v>
      </c>
      <c r="I138" s="23" t="s">
        <v>39</v>
      </c>
      <c r="J138" s="23" t="s">
        <v>39</v>
      </c>
      <c r="K138" s="23" t="s">
        <v>39</v>
      </c>
      <c r="L138" s="23" t="s">
        <v>39</v>
      </c>
      <c r="M138" s="22">
        <f>IF(COUNT()=0,SUM(),"n.d.")</f>
        <v>0</v>
      </c>
      <c r="N138" s="23" t="s">
        <v>39</v>
      </c>
      <c r="O138" s="22">
        <f>IF(COUNT(F138,M138)=2,F138-M138,"n.d.")</f>
        <v>22695.36</v>
      </c>
      <c r="P138" s="26" t="str">
        <f>IF(COUNT(G138,N138)=2,G138-N138,"n.d.")</f>
        <v>n.d.</v>
      </c>
      <c r="Q138" s="27">
        <f>IF(COUNTIFS('Taux'!$A$6:$A$20,A138,'Taux'!$B$6:$B$20,D138)=1,SUMIFS('Taux'!$D$6:$D$20,'Taux'!$A$6:$A$20,A138,'Taux'!$B$6:$B$20,D138),"n.d.")</f>
        <v>5.855892595</v>
      </c>
      <c r="R138" s="22">
        <f>IF(COUNT(F138,Q138)=2,F138/Q138,"n.d.")</f>
        <v>3875.6448537628958</v>
      </c>
      <c r="S138" s="22">
        <f>IF(COUNT(M138,Q138)=2,M138/Q138,"n.d.")</f>
        <v>0.0</v>
      </c>
      <c r="T138" s="24">
        <f>IF(OR(COUNT(F138,M138)&lt;&gt;2,F138=0),"n.d.",M138/F138)</f>
        <v>0.0</v>
      </c>
      <c r="U138" s="24" t="str">
        <f>IF(OR(COUNT(G138,N138)&lt;&gt;2,G138=0),"n.d.",N138/G138)</f>
        <v>n.d.</v>
      </c>
      <c r="V138" s="23" t="s">
        <v>39</v>
      </c>
    </row>
    <row r="139" spans="1:23" ht="19" customHeight="1">
      <c r="A139" s="18" t="s">
        <v>5</v>
      </c>
      <c r="B139" s="18" t="s">
        <v>185</v>
      </c>
      <c r="C139" s="18" t="s">
        <v>16</v>
      </c>
      <c r="D139" s="18" t="s">
        <v>186</v>
      </c>
      <c r="E139" s="25">
        <v>46143</v>
      </c>
      <c r="F139" s="22">
        <v>14874.3</v>
      </c>
      <c r="G139" s="26">
        <v>89</v>
      </c>
      <c r="H139" s="23" t="s">
        <v>39</v>
      </c>
      <c r="I139" s="23" t="s">
        <v>39</v>
      </c>
      <c r="J139" s="23" t="s">
        <v>39</v>
      </c>
      <c r="K139" s="23" t="s">
        <v>39</v>
      </c>
      <c r="L139" s="23" t="s">
        <v>39</v>
      </c>
      <c r="M139" s="22">
        <f>IF(COUNT()=0,SUM(),"n.d.")</f>
        <v>0</v>
      </c>
      <c r="N139" s="23" t="s">
        <v>39</v>
      </c>
      <c r="O139" s="22">
        <f>IF(COUNT(F139,M139)=2,F139-M139,"n.d.")</f>
        <v>14874.300000000003</v>
      </c>
      <c r="P139" s="26" t="str">
        <f>IF(COUNT(G139,N139)=2,G139-N139,"n.d.")</f>
        <v>n.d.</v>
      </c>
      <c r="Q139" s="27">
        <f>IF(COUNTIFS('Taux'!$A$6:$A$20,A139,'Taux'!$B$6:$B$20,D139)=1,SUMIFS('Taux'!$D$6:$D$20,'Taux'!$A$6:$A$20,A139,'Taux'!$B$6:$B$20,D139),"n.d.")</f>
        <v>5.855892595</v>
      </c>
      <c r="R139" s="22">
        <f>IF(COUNT(F139,Q139)=2,F139/Q139,"n.d.")</f>
        <v>2540.0568331291265</v>
      </c>
      <c r="S139" s="22">
        <f>IF(COUNT(M139,Q139)=2,M139/Q139,"n.d.")</f>
        <v>0.0</v>
      </c>
      <c r="T139" s="24">
        <f>IF(OR(COUNT(F139,M139)&lt;&gt;2,F139=0),"n.d.",M139/F139)</f>
        <v>0.0</v>
      </c>
      <c r="U139" s="24" t="str">
        <f>IF(OR(COUNT(G139,N139)&lt;&gt;2,G139=0),"n.d.",N139/G139)</f>
        <v>n.d.</v>
      </c>
      <c r="V139" s="23" t="s">
        <v>39</v>
      </c>
    </row>
    <row r="140" spans="1:23" ht="19" customHeight="1">
      <c r="A140" s="18" t="s">
        <v>5</v>
      </c>
      <c r="B140" s="18" t="s">
        <v>185</v>
      </c>
      <c r="C140" s="18" t="s">
        <v>16</v>
      </c>
      <c r="D140" s="18" t="s">
        <v>186</v>
      </c>
      <c r="E140" s="25">
        <v>46174</v>
      </c>
      <c r="F140" s="22">
        <v>9310.760000000026</v>
      </c>
      <c r="G140" s="26">
        <v>238</v>
      </c>
      <c r="H140" s="23" t="s">
        <v>39</v>
      </c>
      <c r="I140" s="23" t="s">
        <v>39</v>
      </c>
      <c r="J140" s="23" t="s">
        <v>39</v>
      </c>
      <c r="K140" s="23" t="s">
        <v>39</v>
      </c>
      <c r="L140" s="23" t="s">
        <v>39</v>
      </c>
      <c r="M140" s="22">
        <f>IF(COUNT()=0,SUM(),"n.d.")</f>
        <v>0</v>
      </c>
      <c r="N140" s="23" t="s">
        <v>39</v>
      </c>
      <c r="O140" s="22">
        <f>IF(COUNT(F140,M140)=2,F140-M140,"n.d.")</f>
        <v>9310.760000000026</v>
      </c>
      <c r="P140" s="26" t="str">
        <f>IF(COUNT(G140,N140)=2,G140-N140,"n.d.")</f>
        <v>n.d.</v>
      </c>
      <c r="Q140" s="27">
        <f>IF(COUNTIFS('Taux'!$A$6:$A$20,A140,'Taux'!$B$6:$B$20,D140)=1,SUMIFS('Taux'!$D$6:$D$20,'Taux'!$A$6:$A$20,A140,'Taux'!$B$6:$B$20,D140),"n.d.")</f>
        <v>5.855892595</v>
      </c>
      <c r="R140" s="22">
        <f>IF(COUNT(F140,Q140)=2,F140/Q140,"n.d.")</f>
        <v>1589.981347668489</v>
      </c>
      <c r="S140" s="22">
        <f>IF(COUNT(M140,Q140)=2,M140/Q140,"n.d.")</f>
        <v>0.0</v>
      </c>
      <c r="T140" s="24">
        <f>IF(OR(COUNT(F140,M140)&lt;&gt;2,F140=0),"n.d.",M140/F140)</f>
        <v>0.0</v>
      </c>
      <c r="U140" s="24" t="str">
        <f>IF(OR(COUNT(G140,N140)&lt;&gt;2,G140=0),"n.d.",N140/G140)</f>
        <v>n.d.</v>
      </c>
      <c r="V140" s="23" t="s">
        <v>39</v>
      </c>
    </row>
    <row r="141" spans="1:23" ht="19" customHeight="1">
      <c r="A141" s="18" t="s">
        <v>5</v>
      </c>
      <c r="B141" s="18" t="s">
        <v>185</v>
      </c>
      <c r="C141" s="18" t="s">
        <v>16</v>
      </c>
      <c r="D141" s="18" t="s">
        <v>186</v>
      </c>
      <c r="E141" s="25">
        <v>46204</v>
      </c>
      <c r="F141" s="22">
        <v>9959.560000000005</v>
      </c>
      <c r="G141" s="26">
        <v>113</v>
      </c>
      <c r="H141" s="23" t="s">
        <v>39</v>
      </c>
      <c r="I141" s="23" t="s">
        <v>39</v>
      </c>
      <c r="J141" s="23" t="s">
        <v>39</v>
      </c>
      <c r="K141" s="23" t="s">
        <v>39</v>
      </c>
      <c r="L141" s="23" t="s">
        <v>39</v>
      </c>
      <c r="M141" s="22">
        <f>IF(COUNT()=0,SUM(),"n.d.")</f>
        <v>0</v>
      </c>
      <c r="N141" s="23" t="s">
        <v>39</v>
      </c>
      <c r="O141" s="22">
        <f>IF(COUNT(F141,M141)=2,F141-M141,"n.d.")</f>
        <v>9959.560000000005</v>
      </c>
      <c r="P141" s="26" t="str">
        <f>IF(COUNT(G141,N141)=2,G141-N141,"n.d.")</f>
        <v>n.d.</v>
      </c>
      <c r="Q141" s="27">
        <f>IF(COUNTIFS('Taux'!$A$6:$A$20,A141,'Taux'!$B$6:$B$20,D141)=1,SUMIFS('Taux'!$D$6:$D$20,'Taux'!$A$6:$A$20,A141,'Taux'!$B$6:$B$20,D141),"n.d.")</f>
        <v>5.855892595</v>
      </c>
      <c r="R141" s="22">
        <f>IF(COUNT(F141,Q141)=2,F141/Q141,"n.d.")</f>
        <v>1700.7757294769858</v>
      </c>
      <c r="S141" s="22">
        <f>IF(COUNT(M141,Q141)=2,M141/Q141,"n.d.")</f>
        <v>0.0</v>
      </c>
      <c r="T141" s="24">
        <f>IF(OR(COUNT(F141,M141)&lt;&gt;2,F141=0),"n.d.",M141/F141)</f>
        <v>0.0</v>
      </c>
      <c r="U141" s="24" t="str">
        <f>IF(OR(COUNT(G141,N141)&lt;&gt;2,G141=0),"n.d.",N141/G141)</f>
        <v>n.d.</v>
      </c>
      <c r="V141" s="23" t="s">
        <v>39</v>
      </c>
    </row>
    <row r="142" spans="1:23" ht="19" customHeight="1">
      <c r="A142" s="18" t="s">
        <v>5</v>
      </c>
      <c r="B142" s="18" t="s">
        <v>185</v>
      </c>
      <c r="C142" s="18" t="s">
        <v>16</v>
      </c>
      <c r="D142" s="18" t="s">
        <v>186</v>
      </c>
      <c r="E142" s="25">
        <v>46235</v>
      </c>
      <c r="F142" s="22">
        <v>1465.87</v>
      </c>
      <c r="G142" s="26">
        <v>13</v>
      </c>
      <c r="H142" s="23" t="s">
        <v>39</v>
      </c>
      <c r="I142" s="23" t="s">
        <v>39</v>
      </c>
      <c r="J142" s="23" t="s">
        <v>39</v>
      </c>
      <c r="K142" s="23" t="s">
        <v>39</v>
      </c>
      <c r="L142" s="23" t="s">
        <v>39</v>
      </c>
      <c r="M142" s="22">
        <f>IF(COUNT()=0,SUM(),"n.d.")</f>
        <v>0</v>
      </c>
      <c r="N142" s="23" t="s">
        <v>39</v>
      </c>
      <c r="O142" s="22">
        <f>IF(COUNT(F142,M142)=2,F142-M142,"n.d.")</f>
        <v>1465.87</v>
      </c>
      <c r="P142" s="26" t="str">
        <f>IF(COUNT(G142,N142)=2,G142-N142,"n.d.")</f>
        <v>n.d.</v>
      </c>
      <c r="Q142" s="27">
        <f>IF(COUNTIFS('Taux'!$A$6:$A$20,A142,'Taux'!$B$6:$B$20,D142)=1,SUMIFS('Taux'!$D$6:$D$20,'Taux'!$A$6:$A$20,A142,'Taux'!$B$6:$B$20,D142),"n.d.")</f>
        <v>5.855892595</v>
      </c>
      <c r="R142" s="22">
        <f>IF(COUNT(F142,Q142)=2,F142/Q142,"n.d.")</f>
        <v>250.3239217965882</v>
      </c>
      <c r="S142" s="22">
        <f>IF(COUNT(M142,Q142)=2,M142/Q142,"n.d.")</f>
        <v>0.0</v>
      </c>
      <c r="T142" s="24">
        <f>IF(OR(COUNT(F142,M142)&lt;&gt;2,F142=0),"n.d.",M142/F142)</f>
        <v>0.0</v>
      </c>
      <c r="U142" s="24" t="str">
        <f>IF(OR(COUNT(G142,N142)&lt;&gt;2,G142=0),"n.d.",N142/G142)</f>
        <v>n.d.</v>
      </c>
      <c r="V142" s="23" t="s">
        <v>39</v>
      </c>
    </row>
    <row r="143" spans="1:23" ht="19" customHeight="1">
      <c r="A143" s="18" t="s">
        <v>5</v>
      </c>
      <c r="B143" s="18" t="s">
        <v>185</v>
      </c>
      <c r="C143" s="18" t="s">
        <v>16</v>
      </c>
      <c r="D143" s="18" t="s">
        <v>186</v>
      </c>
      <c r="E143" s="25">
        <v>46266</v>
      </c>
      <c r="F143" s="22">
        <v>15278.08</v>
      </c>
      <c r="G143" s="26">
        <v>83</v>
      </c>
      <c r="H143" s="23" t="s">
        <v>39</v>
      </c>
      <c r="I143" s="23" t="s">
        <v>39</v>
      </c>
      <c r="J143" s="23" t="s">
        <v>39</v>
      </c>
      <c r="K143" s="23" t="s">
        <v>39</v>
      </c>
      <c r="L143" s="23" t="s">
        <v>39</v>
      </c>
      <c r="M143" s="22">
        <f>IF(COUNT()=0,SUM(),"n.d.")</f>
        <v>0</v>
      </c>
      <c r="N143" s="23" t="s">
        <v>39</v>
      </c>
      <c r="O143" s="22">
        <f>IF(COUNT(F143,M143)=2,F143-M143,"n.d.")</f>
        <v>15278.08</v>
      </c>
      <c r="P143" s="26" t="str">
        <f>IF(COUNT(G143,N143)=2,G143-N143,"n.d.")</f>
        <v>n.d.</v>
      </c>
      <c r="Q143" s="27">
        <f>IF(COUNTIFS('Taux'!$A$6:$A$20,A143,'Taux'!$B$6:$B$20,D143)=1,SUMIFS('Taux'!$D$6:$D$20,'Taux'!$A$6:$A$20,A143,'Taux'!$B$6:$B$20,D143),"n.d.")</f>
        <v>5.855892595</v>
      </c>
      <c r="R143" s="22">
        <f>IF(COUNT(F143,Q143)=2,F143/Q143,"n.d.")</f>
        <v>2609.0096005252976</v>
      </c>
      <c r="S143" s="22">
        <f>IF(COUNT(M143,Q143)=2,M143/Q143,"n.d.")</f>
        <v>0.0</v>
      </c>
      <c r="T143" s="24">
        <f>IF(OR(COUNT(F143,M143)&lt;&gt;2,F143=0),"n.d.",M143/F143)</f>
        <v>0.0</v>
      </c>
      <c r="U143" s="24" t="str">
        <f>IF(OR(COUNT(G143,N143)&lt;&gt;2,G143=0),"n.d.",N143/G143)</f>
        <v>n.d.</v>
      </c>
      <c r="V143" s="23" t="s">
        <v>39</v>
      </c>
    </row>
    <row r="144" spans="1:23" ht="19" customHeight="1">
      <c r="A144" s="18" t="s">
        <v>5</v>
      </c>
      <c r="B144" s="18" t="s">
        <v>176</v>
      </c>
      <c r="C144" s="18" t="s">
        <v>87</v>
      </c>
      <c r="D144" s="18" t="s">
        <v>174</v>
      </c>
      <c r="E144" s="25">
        <v>46113</v>
      </c>
      <c r="F144" s="22">
        <v>6180</v>
      </c>
      <c r="G144" s="26">
        <v>75</v>
      </c>
      <c r="H144" s="22">
        <v>6180</v>
      </c>
      <c r="I144" s="22">
        <v>0</v>
      </c>
      <c r="J144" s="22">
        <v>0</v>
      </c>
      <c r="K144" s="23" t="s">
        <v>39</v>
      </c>
      <c r="L144" s="23" t="s">
        <v>39</v>
      </c>
      <c r="M144" s="22">
        <f>V144</f>
        <v>6180.0</v>
      </c>
      <c r="N144" s="26">
        <v>75</v>
      </c>
      <c r="O144" s="22">
        <f>IF(COUNT(F144,M144)=2,F144-M144,"n.d.")</f>
        <v>0.0</v>
      </c>
      <c r="P144" s="26">
        <f>IF(COUNT(G144,N144)=2,G144-N144,"n.d.")</f>
        <v>0.0</v>
      </c>
      <c r="Q144" s="27">
        <f>IF(COUNTIFS('Taux'!$A$6:$A$20,A144,'Taux'!$B$6:$B$20,D144)=1,SUMIFS('Taux'!$D$6:$D$20,'Taux'!$A$6:$A$20,A144,'Taux'!$B$6:$B$20,D144),"n.d.")</f>
        <v>1</v>
      </c>
      <c r="R144" s="22">
        <f>IF(COUNT(F144,Q144)=2,F144/Q144,"n.d.")</f>
        <v>6180.0</v>
      </c>
      <c r="S144" s="22">
        <f>IF(COUNT(M144,Q144)=2,M144/Q144,"n.d.")</f>
        <v>6180.0</v>
      </c>
      <c r="T144" s="24">
        <f>IF(OR(COUNT(F144,M144)&lt;&gt;2,F144=0),"n.d.",M144/F144)</f>
        <v>1.0</v>
      </c>
      <c r="U144" s="24">
        <f>IF(OR(COUNT(G144,N144)&lt;&gt;2,G144=0),"n.d.",N144/G144)</f>
        <v>1.0</v>
      </c>
      <c r="V144" s="22">
        <v>6180</v>
      </c>
    </row>
    <row r="145" spans="1:23" ht="19" customHeight="1">
      <c r="A145" s="18" t="s">
        <v>5</v>
      </c>
      <c r="B145" s="18" t="s">
        <v>176</v>
      </c>
      <c r="C145" s="18" t="s">
        <v>87</v>
      </c>
      <c r="D145" s="18" t="s">
        <v>174</v>
      </c>
      <c r="E145" s="25">
        <v>46143</v>
      </c>
      <c r="F145" s="22">
        <v>13201</v>
      </c>
      <c r="G145" s="26">
        <v>68</v>
      </c>
      <c r="H145" s="22">
        <v>13201</v>
      </c>
      <c r="I145" s="22">
        <v>0</v>
      </c>
      <c r="J145" s="22">
        <v>0</v>
      </c>
      <c r="K145" s="23" t="s">
        <v>39</v>
      </c>
      <c r="L145" s="23" t="s">
        <v>39</v>
      </c>
      <c r="M145" s="22">
        <f>V145</f>
        <v>13201.0</v>
      </c>
      <c r="N145" s="26">
        <v>68</v>
      </c>
      <c r="O145" s="22">
        <f>IF(COUNT(F145,M145)=2,F145-M145,"n.d.")</f>
        <v>0.0</v>
      </c>
      <c r="P145" s="26">
        <f>IF(COUNT(G145,N145)=2,G145-N145,"n.d.")</f>
        <v>0.0</v>
      </c>
      <c r="Q145" s="27">
        <f>IF(COUNTIFS('Taux'!$A$6:$A$20,A145,'Taux'!$B$6:$B$20,D145)=1,SUMIFS('Taux'!$D$6:$D$20,'Taux'!$A$6:$A$20,A145,'Taux'!$B$6:$B$20,D145),"n.d.")</f>
        <v>1</v>
      </c>
      <c r="R145" s="22">
        <f>IF(COUNT(F145,Q145)=2,F145/Q145,"n.d.")</f>
        <v>13201.0</v>
      </c>
      <c r="S145" s="22">
        <f>IF(COUNT(M145,Q145)=2,M145/Q145,"n.d.")</f>
        <v>13201.0</v>
      </c>
      <c r="T145" s="24">
        <f>IF(OR(COUNT(F145,M145)&lt;&gt;2,F145=0),"n.d.",M145/F145)</f>
        <v>1.0</v>
      </c>
      <c r="U145" s="24">
        <f>IF(OR(COUNT(G145,N145)&lt;&gt;2,G145=0),"n.d.",N145/G145)</f>
        <v>1.0</v>
      </c>
      <c r="V145" s="22">
        <v>13201</v>
      </c>
    </row>
    <row r="146" spans="1:23" ht="19" customHeight="1">
      <c r="A146" s="18" t="s">
        <v>5</v>
      </c>
      <c r="B146" s="18" t="s">
        <v>176</v>
      </c>
      <c r="C146" s="18" t="s">
        <v>87</v>
      </c>
      <c r="D146" s="18" t="s">
        <v>174</v>
      </c>
      <c r="E146" s="25">
        <v>46174</v>
      </c>
      <c r="F146" s="22">
        <v>5127</v>
      </c>
      <c r="G146" s="26">
        <v>70</v>
      </c>
      <c r="H146" s="22">
        <v>5127</v>
      </c>
      <c r="I146" s="22">
        <v>0</v>
      </c>
      <c r="J146" s="22">
        <v>0</v>
      </c>
      <c r="K146" s="23" t="s">
        <v>39</v>
      </c>
      <c r="L146" s="23" t="s">
        <v>39</v>
      </c>
      <c r="M146" s="22">
        <f>V146</f>
        <v>5127.0</v>
      </c>
      <c r="N146" s="26">
        <v>70</v>
      </c>
      <c r="O146" s="22">
        <f>IF(COUNT(F146,M146)=2,F146-M146,"n.d.")</f>
        <v>0.0</v>
      </c>
      <c r="P146" s="26">
        <f>IF(COUNT(G146,N146)=2,G146-N146,"n.d.")</f>
        <v>0.0</v>
      </c>
      <c r="Q146" s="27">
        <f>IF(COUNTIFS('Taux'!$A$6:$A$20,A146,'Taux'!$B$6:$B$20,D146)=1,SUMIFS('Taux'!$D$6:$D$20,'Taux'!$A$6:$A$20,A146,'Taux'!$B$6:$B$20,D146),"n.d.")</f>
        <v>1</v>
      </c>
      <c r="R146" s="22">
        <f>IF(COUNT(F146,Q146)=2,F146/Q146,"n.d.")</f>
        <v>5127.0</v>
      </c>
      <c r="S146" s="22">
        <f>IF(COUNT(M146,Q146)=2,M146/Q146,"n.d.")</f>
        <v>5127.0</v>
      </c>
      <c r="T146" s="24">
        <f>IF(OR(COUNT(F146,M146)&lt;&gt;2,F146=0),"n.d.",M146/F146)</f>
        <v>1.0</v>
      </c>
      <c r="U146" s="24">
        <f>IF(OR(COUNT(G146,N146)&lt;&gt;2,G146=0),"n.d.",N146/G146)</f>
        <v>1.0</v>
      </c>
      <c r="V146" s="22">
        <v>5127</v>
      </c>
    </row>
    <row r="147" spans="1:23" ht="19" customHeight="1">
      <c r="A147" s="18" t="s">
        <v>5</v>
      </c>
      <c r="B147" s="18" t="s">
        <v>176</v>
      </c>
      <c r="C147" s="18" t="s">
        <v>87</v>
      </c>
      <c r="D147" s="18" t="s">
        <v>174</v>
      </c>
      <c r="E147" s="25">
        <v>46204</v>
      </c>
      <c r="F147" s="22">
        <v>11384</v>
      </c>
      <c r="G147" s="26">
        <v>99</v>
      </c>
      <c r="H147" s="22">
        <v>11376</v>
      </c>
      <c r="I147" s="22">
        <v>0</v>
      </c>
      <c r="J147" s="22">
        <v>0</v>
      </c>
      <c r="K147" s="23" t="s">
        <v>39</v>
      </c>
      <c r="L147" s="23" t="s">
        <v>39</v>
      </c>
      <c r="M147" s="22">
        <f>V147</f>
        <v>11376.0</v>
      </c>
      <c r="N147" s="26">
        <v>95</v>
      </c>
      <c r="O147" s="22">
        <f>IF(COUNT(F147,M147)=2,F147-M147,"n.d.")</f>
        <v>8.0</v>
      </c>
      <c r="P147" s="26">
        <f>IF(COUNT(G147,N147)=2,G147-N147,"n.d.")</f>
        <v>4.0</v>
      </c>
      <c r="Q147" s="27">
        <f>IF(COUNTIFS('Taux'!$A$6:$A$20,A147,'Taux'!$B$6:$B$20,D147)=1,SUMIFS('Taux'!$D$6:$D$20,'Taux'!$A$6:$A$20,A147,'Taux'!$B$6:$B$20,D147),"n.d.")</f>
        <v>1</v>
      </c>
      <c r="R147" s="22">
        <f>IF(COUNT(F147,Q147)=2,F147/Q147,"n.d.")</f>
        <v>11384.0</v>
      </c>
      <c r="S147" s="22">
        <f>IF(COUNT(M147,Q147)=2,M147/Q147,"n.d.")</f>
        <v>11376.0</v>
      </c>
      <c r="T147" s="24">
        <f>IF(OR(COUNT(F147,M147)&lt;&gt;2,F147=0),"n.d.",M147/F147)</f>
        <v>0.9992972593113141</v>
      </c>
      <c r="U147" s="24">
        <f>IF(OR(COUNT(G147,N147)&lt;&gt;2,G147=0),"n.d.",N147/G147)</f>
        <v>0.9595959595959596</v>
      </c>
      <c r="V147" s="22">
        <v>11376</v>
      </c>
    </row>
    <row r="148" spans="1:23" ht="19" customHeight="1">
      <c r="A148" s="18" t="s">
        <v>5</v>
      </c>
      <c r="B148" s="18" t="s">
        <v>176</v>
      </c>
      <c r="C148" s="18" t="s">
        <v>87</v>
      </c>
      <c r="D148" s="18" t="s">
        <v>174</v>
      </c>
      <c r="E148" s="25">
        <v>46235</v>
      </c>
      <c r="F148" s="22">
        <v>6744</v>
      </c>
      <c r="G148" s="26">
        <v>82</v>
      </c>
      <c r="H148" s="22">
        <v>5166</v>
      </c>
      <c r="I148" s="22">
        <v>0</v>
      </c>
      <c r="J148" s="22">
        <v>27</v>
      </c>
      <c r="K148" s="23" t="s">
        <v>39</v>
      </c>
      <c r="L148" s="23" t="s">
        <v>39</v>
      </c>
      <c r="M148" s="22">
        <f>V148</f>
        <v>5192.0</v>
      </c>
      <c r="N148" s="26">
        <v>54</v>
      </c>
      <c r="O148" s="22">
        <f>IF(COUNT(F148,M148)=2,F148-M148,"n.d.")</f>
        <v>1552.0</v>
      </c>
      <c r="P148" s="26">
        <f>IF(COUNT(G148,N148)=2,G148-N148,"n.d.")</f>
        <v>28.0</v>
      </c>
      <c r="Q148" s="27">
        <f>IF(COUNTIFS('Taux'!$A$6:$A$20,A148,'Taux'!$B$6:$B$20,D148)=1,SUMIFS('Taux'!$D$6:$D$20,'Taux'!$A$6:$A$20,A148,'Taux'!$B$6:$B$20,D148),"n.d.")</f>
        <v>1</v>
      </c>
      <c r="R148" s="22">
        <f>IF(COUNT(F148,Q148)=2,F148/Q148,"n.d.")</f>
        <v>6744.0</v>
      </c>
      <c r="S148" s="22">
        <f>IF(COUNT(M148,Q148)=2,M148/Q148,"n.d.")</f>
        <v>5192.0</v>
      </c>
      <c r="T148" s="24">
        <f>IF(OR(COUNT(F148,M148)&lt;&gt;2,F148=0),"n.d.",M148/F148)</f>
        <v>0.7698695136417556</v>
      </c>
      <c r="U148" s="24">
        <f>IF(OR(COUNT(G148,N148)&lt;&gt;2,G148=0),"n.d.",N148/G148)</f>
        <v>0.6585365853658537</v>
      </c>
      <c r="V148" s="22">
        <v>5192</v>
      </c>
    </row>
    <row r="149" spans="1:23" ht="19" customHeight="1">
      <c r="A149" s="18" t="s">
        <v>5</v>
      </c>
      <c r="B149" s="18" t="s">
        <v>176</v>
      </c>
      <c r="C149" s="18" t="s">
        <v>87</v>
      </c>
      <c r="D149" s="18" t="s">
        <v>174</v>
      </c>
      <c r="E149" s="25">
        <v>46266</v>
      </c>
      <c r="F149" s="22">
        <v>4508</v>
      </c>
      <c r="G149" s="26">
        <v>25</v>
      </c>
      <c r="H149" s="22">
        <v>0</v>
      </c>
      <c r="I149" s="22">
        <v>0</v>
      </c>
      <c r="J149" s="22">
        <v>0</v>
      </c>
      <c r="K149" s="23" t="s">
        <v>39</v>
      </c>
      <c r="L149" s="23" t="s">
        <v>39</v>
      </c>
      <c r="M149" s="22">
        <f>V149</f>
        <v>0.0</v>
      </c>
      <c r="N149" s="26">
        <v>0</v>
      </c>
      <c r="O149" s="22">
        <f>IF(COUNT(F149,M149)=2,F149-M149,"n.d.")</f>
        <v>4508.0</v>
      </c>
      <c r="P149" s="26">
        <f>IF(COUNT(G149,N149)=2,G149-N149,"n.d.")</f>
        <v>25.0</v>
      </c>
      <c r="Q149" s="27">
        <f>IF(COUNTIFS('Taux'!$A$6:$A$20,A149,'Taux'!$B$6:$B$20,D149)=1,SUMIFS('Taux'!$D$6:$D$20,'Taux'!$A$6:$A$20,A149,'Taux'!$B$6:$B$20,D149),"n.d.")</f>
        <v>1</v>
      </c>
      <c r="R149" s="22">
        <f>IF(COUNT(F149,Q149)=2,F149/Q149,"n.d.")</f>
        <v>4508.0</v>
      </c>
      <c r="S149" s="22">
        <f>IF(COUNT(M149,Q149)=2,M149/Q149,"n.d.")</f>
        <v>0.0</v>
      </c>
      <c r="T149" s="24">
        <f>IF(OR(COUNT(F149,M149)&lt;&gt;2,F149=0),"n.d.",M149/F149)</f>
        <v>0.0</v>
      </c>
      <c r="U149" s="24">
        <f>IF(OR(COUNT(G149,N149)&lt;&gt;2,G149=0),"n.d.",N149/G149)</f>
        <v>0.0</v>
      </c>
      <c r="V149" s="22">
        <v>0</v>
      </c>
    </row>
    <row r="150" spans="1:23" ht="19" customHeight="1">
      <c r="A150" s="18" t="s">
        <v>5</v>
      </c>
      <c r="B150" s="18" t="s">
        <v>175</v>
      </c>
      <c r="C150" s="18" t="s">
        <v>83</v>
      </c>
      <c r="D150" s="18" t="s">
        <v>174</v>
      </c>
      <c r="E150" s="25">
        <v>46113</v>
      </c>
      <c r="F150" s="22">
        <v>775286</v>
      </c>
      <c r="G150" s="26">
        <v>4242</v>
      </c>
      <c r="H150" s="22">
        <v>654105</v>
      </c>
      <c r="I150" s="22">
        <v>318</v>
      </c>
      <c r="J150" s="22">
        <v>6594</v>
      </c>
      <c r="K150" s="23" t="s">
        <v>39</v>
      </c>
      <c r="L150" s="23" t="s">
        <v>39</v>
      </c>
      <c r="M150" s="22">
        <f>V150</f>
        <v>661018.0</v>
      </c>
      <c r="N150" s="26">
        <v>2435</v>
      </c>
      <c r="O150" s="22">
        <f>IF(COUNT(F150,M150)=2,F150-M150,"n.d.")</f>
        <v>114268.0</v>
      </c>
      <c r="P150" s="26">
        <f>IF(COUNT(G150,N150)=2,G150-N150,"n.d.")</f>
        <v>1807.0</v>
      </c>
      <c r="Q150" s="27">
        <f>IF(COUNTIFS('Taux'!$A$6:$A$20,A150,'Taux'!$B$6:$B$20,D150)=1,SUMIFS('Taux'!$D$6:$D$20,'Taux'!$A$6:$A$20,A150,'Taux'!$B$6:$B$20,D150),"n.d.")</f>
        <v>1</v>
      </c>
      <c r="R150" s="22">
        <f>IF(COUNT(F150,Q150)=2,F150/Q150,"n.d.")</f>
        <v>775286.0</v>
      </c>
      <c r="S150" s="22">
        <f>IF(COUNT(M150,Q150)=2,M150/Q150,"n.d.")</f>
        <v>661018.0</v>
      </c>
      <c r="T150" s="24">
        <f>IF(OR(COUNT(F150,M150)&lt;&gt;2,F150=0),"n.d.",M150/F150)</f>
        <v>0.8526118103512769</v>
      </c>
      <c r="U150" s="24">
        <f>IF(OR(COUNT(G150,N150)&lt;&gt;2,G150=0),"n.d.",N150/G150)</f>
        <v>0.5740216878830741</v>
      </c>
      <c r="V150" s="22">
        <v>661018</v>
      </c>
    </row>
    <row r="151" spans="1:23" ht="19" customHeight="1">
      <c r="A151" s="18" t="s">
        <v>5</v>
      </c>
      <c r="B151" s="18" t="s">
        <v>175</v>
      </c>
      <c r="C151" s="18" t="s">
        <v>83</v>
      </c>
      <c r="D151" s="18" t="s">
        <v>174</v>
      </c>
      <c r="E151" s="25">
        <v>46143</v>
      </c>
      <c r="F151" s="22">
        <v>676517</v>
      </c>
      <c r="G151" s="26">
        <v>4226</v>
      </c>
      <c r="H151" s="22">
        <v>514245</v>
      </c>
      <c r="I151" s="22">
        <v>119</v>
      </c>
      <c r="J151" s="22">
        <v>9059</v>
      </c>
      <c r="K151" s="23" t="s">
        <v>39</v>
      </c>
      <c r="L151" s="23" t="s">
        <v>39</v>
      </c>
      <c r="M151" s="22">
        <f>V151</f>
        <v>523422.0</v>
      </c>
      <c r="N151" s="26">
        <v>1926</v>
      </c>
      <c r="O151" s="22">
        <f>IF(COUNT(F151,M151)=2,F151-M151,"n.d.")</f>
        <v>153095.0</v>
      </c>
      <c r="P151" s="26">
        <f>IF(COUNT(G151,N151)=2,G151-N151,"n.d.")</f>
        <v>2300.0</v>
      </c>
      <c r="Q151" s="27">
        <f>IF(COUNTIFS('Taux'!$A$6:$A$20,A151,'Taux'!$B$6:$B$20,D151)=1,SUMIFS('Taux'!$D$6:$D$20,'Taux'!$A$6:$A$20,A151,'Taux'!$B$6:$B$20,D151),"n.d.")</f>
        <v>1</v>
      </c>
      <c r="R151" s="22">
        <f>IF(COUNT(F151,Q151)=2,F151/Q151,"n.d.")</f>
        <v>676517.0</v>
      </c>
      <c r="S151" s="22">
        <f>IF(COUNT(M151,Q151)=2,M151/Q151,"n.d.")</f>
        <v>523422.0</v>
      </c>
      <c r="T151" s="24">
        <f>IF(OR(COUNT(F151,M151)&lt;&gt;2,F151=0),"n.d.",M151/F151)</f>
        <v>0.7737011782409016</v>
      </c>
      <c r="U151" s="24">
        <f>IF(OR(COUNT(G151,N151)&lt;&gt;2,G151=0),"n.d.",N151/G151)</f>
        <v>0.4557501183151917</v>
      </c>
      <c r="V151" s="22">
        <v>523422</v>
      </c>
    </row>
    <row r="152" spans="1:23" ht="19" customHeight="1">
      <c r="A152" s="18" t="s">
        <v>5</v>
      </c>
      <c r="B152" s="18" t="s">
        <v>175</v>
      </c>
      <c r="C152" s="18" t="s">
        <v>83</v>
      </c>
      <c r="D152" s="18" t="s">
        <v>174</v>
      </c>
      <c r="E152" s="25">
        <v>46174</v>
      </c>
      <c r="F152" s="22">
        <v>803008</v>
      </c>
      <c r="G152" s="26">
        <v>3585</v>
      </c>
      <c r="H152" s="22">
        <v>691271</v>
      </c>
      <c r="I152" s="22">
        <v>7</v>
      </c>
      <c r="J152" s="22">
        <v>3</v>
      </c>
      <c r="K152" s="23" t="s">
        <v>39</v>
      </c>
      <c r="L152" s="23" t="s">
        <v>39</v>
      </c>
      <c r="M152" s="22">
        <f>V152</f>
        <v>691281.0</v>
      </c>
      <c r="N152" s="26">
        <v>2454</v>
      </c>
      <c r="O152" s="22">
        <f>IF(COUNT(F152,M152)=2,F152-M152,"n.d.")</f>
        <v>111727.0</v>
      </c>
      <c r="P152" s="26">
        <f>IF(COUNT(G152,N152)=2,G152-N152,"n.d.")</f>
        <v>1131.0</v>
      </c>
      <c r="Q152" s="27">
        <f>IF(COUNTIFS('Taux'!$A$6:$A$20,A152,'Taux'!$B$6:$B$20,D152)=1,SUMIFS('Taux'!$D$6:$D$20,'Taux'!$A$6:$A$20,A152,'Taux'!$B$6:$B$20,D152),"n.d.")</f>
        <v>1</v>
      </c>
      <c r="R152" s="22">
        <f>IF(COUNT(F152,Q152)=2,F152/Q152,"n.d.")</f>
        <v>803008.0</v>
      </c>
      <c r="S152" s="22">
        <f>IF(COUNT(M152,Q152)=2,M152/Q152,"n.d.")</f>
        <v>691281.0</v>
      </c>
      <c r="T152" s="24">
        <f>IF(OR(COUNT(F152,M152)&lt;&gt;2,F152=0),"n.d.",M152/F152)</f>
        <v>0.8608643998565394</v>
      </c>
      <c r="U152" s="24">
        <f>IF(OR(COUNT(G152,N152)&lt;&gt;2,G152=0),"n.d.",N152/G152)</f>
        <v>0.6845188284518828</v>
      </c>
      <c r="V152" s="22">
        <v>691281</v>
      </c>
    </row>
    <row r="153" spans="1:23" ht="19" customHeight="1">
      <c r="A153" s="18" t="s">
        <v>5</v>
      </c>
      <c r="B153" s="18" t="s">
        <v>175</v>
      </c>
      <c r="C153" s="18" t="s">
        <v>83</v>
      </c>
      <c r="D153" s="18" t="s">
        <v>174</v>
      </c>
      <c r="E153" s="25">
        <v>46204</v>
      </c>
      <c r="F153" s="22">
        <v>943570</v>
      </c>
      <c r="G153" s="26">
        <v>4146</v>
      </c>
      <c r="H153" s="22">
        <v>748990</v>
      </c>
      <c r="I153" s="22">
        <v>1</v>
      </c>
      <c r="J153" s="22">
        <v>0</v>
      </c>
      <c r="K153" s="23" t="s">
        <v>39</v>
      </c>
      <c r="L153" s="23" t="s">
        <v>39</v>
      </c>
      <c r="M153" s="22">
        <f>V153</f>
        <v>748991.0</v>
      </c>
      <c r="N153" s="26">
        <v>2896</v>
      </c>
      <c r="O153" s="22">
        <f>IF(COUNT(F153,M153)=2,F153-M153,"n.d.")</f>
        <v>194579.0</v>
      </c>
      <c r="P153" s="26">
        <f>IF(COUNT(G153,N153)=2,G153-N153,"n.d.")</f>
        <v>1250.0</v>
      </c>
      <c r="Q153" s="27">
        <f>IF(COUNTIFS('Taux'!$A$6:$A$20,A153,'Taux'!$B$6:$B$20,D153)=1,SUMIFS('Taux'!$D$6:$D$20,'Taux'!$A$6:$A$20,A153,'Taux'!$B$6:$B$20,D153),"n.d.")</f>
        <v>1</v>
      </c>
      <c r="R153" s="22">
        <f>IF(COUNT(F153,Q153)=2,F153/Q153,"n.d.")</f>
        <v>943570.0</v>
      </c>
      <c r="S153" s="22">
        <f>IF(COUNT(M153,Q153)=2,M153/Q153,"n.d.")</f>
        <v>748991.0</v>
      </c>
      <c r="T153" s="24">
        <f>IF(OR(COUNT(F153,M153)&lt;&gt;2,F153=0),"n.d.",M153/F153)</f>
        <v>0.7937842449420817</v>
      </c>
      <c r="U153" s="24">
        <f>IF(OR(COUNT(G153,N153)&lt;&gt;2,G153=0),"n.d.",N153/G153)</f>
        <v>0.6985045827303425</v>
      </c>
      <c r="V153" s="22">
        <v>748991</v>
      </c>
    </row>
    <row r="154" spans="1:23" ht="19" customHeight="1">
      <c r="A154" s="18" t="s">
        <v>5</v>
      </c>
      <c r="B154" s="18" t="s">
        <v>175</v>
      </c>
      <c r="C154" s="18" t="s">
        <v>83</v>
      </c>
      <c r="D154" s="18" t="s">
        <v>174</v>
      </c>
      <c r="E154" s="25">
        <v>46235</v>
      </c>
      <c r="F154" s="22">
        <v>970510</v>
      </c>
      <c r="G154" s="26">
        <v>3549</v>
      </c>
      <c r="H154" s="22">
        <v>600525</v>
      </c>
      <c r="I154" s="22">
        <v>0</v>
      </c>
      <c r="J154" s="22">
        <v>73</v>
      </c>
      <c r="K154" s="23" t="s">
        <v>39</v>
      </c>
      <c r="L154" s="23" t="s">
        <v>39</v>
      </c>
      <c r="M154" s="22">
        <f>V154</f>
        <v>600597.0</v>
      </c>
      <c r="N154" s="26">
        <v>1913</v>
      </c>
      <c r="O154" s="22">
        <f>IF(COUNT(F154,M154)=2,F154-M154,"n.d.")</f>
        <v>369913.0</v>
      </c>
      <c r="P154" s="26">
        <f>IF(COUNT(G154,N154)=2,G154-N154,"n.d.")</f>
        <v>1636.0</v>
      </c>
      <c r="Q154" s="27">
        <f>IF(COUNTIFS('Taux'!$A$6:$A$20,A154,'Taux'!$B$6:$B$20,D154)=1,SUMIFS('Taux'!$D$6:$D$20,'Taux'!$A$6:$A$20,A154,'Taux'!$B$6:$B$20,D154),"n.d.")</f>
        <v>1</v>
      </c>
      <c r="R154" s="22">
        <f>IF(COUNT(F154,Q154)=2,F154/Q154,"n.d.")</f>
        <v>970510.0</v>
      </c>
      <c r="S154" s="22">
        <f>IF(COUNT(M154,Q154)=2,M154/Q154,"n.d.")</f>
        <v>600597.0</v>
      </c>
      <c r="T154" s="24">
        <f>IF(OR(COUNT(F154,M154)&lt;&gt;2,F154=0),"n.d.",M154/F154)</f>
        <v>0.6188467918929222</v>
      </c>
      <c r="U154" s="24">
        <f>IF(OR(COUNT(G154,N154)&lt;&gt;2,G154=0),"n.d.",N154/G154)</f>
        <v>0.539025077486616</v>
      </c>
      <c r="V154" s="22">
        <v>600597</v>
      </c>
    </row>
    <row r="155" spans="1:23" ht="19" customHeight="1">
      <c r="A155" s="18" t="s">
        <v>5</v>
      </c>
      <c r="B155" s="18" t="s">
        <v>175</v>
      </c>
      <c r="C155" s="18" t="s">
        <v>83</v>
      </c>
      <c r="D155" s="18" t="s">
        <v>174</v>
      </c>
      <c r="E155" s="25">
        <v>46266</v>
      </c>
      <c r="F155" s="22">
        <v>847485</v>
      </c>
      <c r="G155" s="26">
        <v>2966</v>
      </c>
      <c r="H155" s="22">
        <v>304811</v>
      </c>
      <c r="I155" s="22">
        <v>0</v>
      </c>
      <c r="J155" s="22">
        <v>68982</v>
      </c>
      <c r="K155" s="23" t="s">
        <v>39</v>
      </c>
      <c r="L155" s="23" t="s">
        <v>39</v>
      </c>
      <c r="M155" s="22">
        <f>V155</f>
        <v>373793.0</v>
      </c>
      <c r="N155" s="26">
        <v>1000</v>
      </c>
      <c r="O155" s="22">
        <f>IF(COUNT(F155,M155)=2,F155-M155,"n.d.")</f>
        <v>473692.0</v>
      </c>
      <c r="P155" s="26">
        <f>IF(COUNT(G155,N155)=2,G155-N155,"n.d.")</f>
        <v>1966.0</v>
      </c>
      <c r="Q155" s="27">
        <f>IF(COUNTIFS('Taux'!$A$6:$A$20,A155,'Taux'!$B$6:$B$20,D155)=1,SUMIFS('Taux'!$D$6:$D$20,'Taux'!$A$6:$A$20,A155,'Taux'!$B$6:$B$20,D155),"n.d.")</f>
        <v>1</v>
      </c>
      <c r="R155" s="22">
        <f>IF(COUNT(F155,Q155)=2,F155/Q155,"n.d.")</f>
        <v>847485.0</v>
      </c>
      <c r="S155" s="22">
        <f>IF(COUNT(M155,Q155)=2,M155/Q155,"n.d.")</f>
        <v>373793.0</v>
      </c>
      <c r="T155" s="24">
        <f>IF(OR(COUNT(F155,M155)&lt;&gt;2,F155=0),"n.d.",M155/F155)</f>
        <v>0.44106149371375303</v>
      </c>
      <c r="U155" s="24">
        <f>IF(OR(COUNT(G155,N155)&lt;&gt;2,G155=0),"n.d.",N155/G155)</f>
        <v>0.33715441672285906</v>
      </c>
      <c r="V155" s="22">
        <v>373793</v>
      </c>
    </row>
    <row r="156" spans="1:23" ht="19" customHeight="1">
      <c r="A156" s="18" t="s">
        <v>5</v>
      </c>
      <c r="B156" s="18" t="s">
        <v>180</v>
      </c>
      <c r="C156" s="18" t="s">
        <v>12</v>
      </c>
      <c r="D156" s="18" t="s">
        <v>174</v>
      </c>
      <c r="E156" s="25">
        <v>46113</v>
      </c>
      <c r="F156" s="22">
        <v>1825315</v>
      </c>
      <c r="G156" s="26">
        <v>7596</v>
      </c>
      <c r="H156" s="22">
        <v>1814597</v>
      </c>
      <c r="I156" s="22">
        <v>10718</v>
      </c>
      <c r="J156" s="22">
        <v>0</v>
      </c>
      <c r="K156" s="23" t="s">
        <v>39</v>
      </c>
      <c r="L156" s="23" t="s">
        <v>39</v>
      </c>
      <c r="M156" s="22">
        <f>V156</f>
        <v>1825315</v>
      </c>
      <c r="N156" s="26">
        <v>7596</v>
      </c>
      <c r="O156" s="22">
        <f>IF(COUNT(F156,M156)=2,F156-M156,"n.d.")</f>
        <v>0</v>
      </c>
      <c r="P156" s="26">
        <f>IF(COUNT(G156,N156)=2,G156-N156,"n.d.")</f>
        <v>0</v>
      </c>
      <c r="Q156" s="27">
        <f>IF(COUNTIFS('Taux'!$A$6:$A$20,A156,'Taux'!$B$6:$B$20,D156)=1,SUMIFS('Taux'!$D$6:$D$20,'Taux'!$A$6:$A$20,A156,'Taux'!$B$6:$B$20,D156),"n.d.")</f>
        <v>1</v>
      </c>
      <c r="R156" s="22">
        <f>IF(COUNT(F156,Q156)=2,F156/Q156,"n.d.")</f>
        <v>1825315.0</v>
      </c>
      <c r="S156" s="22">
        <f>IF(COUNT(M156,Q156)=2,M156/Q156,"n.d.")</f>
        <v>1825315.0</v>
      </c>
      <c r="T156" s="24">
        <f>IF(OR(COUNT(F156,M156)&lt;&gt;2,F156=0),"n.d.",M156/F156)</f>
        <v>1.0</v>
      </c>
      <c r="U156" s="24">
        <f>IF(OR(COUNT(G156,N156)&lt;&gt;2,G156=0),"n.d.",N156/G156)</f>
        <v>1.0</v>
      </c>
      <c r="V156" s="22">
        <v>1825315</v>
      </c>
    </row>
    <row r="157" spans="1:23" ht="19" customHeight="1">
      <c r="A157" s="18" t="s">
        <v>5</v>
      </c>
      <c r="B157" s="18" t="s">
        <v>180</v>
      </c>
      <c r="C157" s="18" t="s">
        <v>12</v>
      </c>
      <c r="D157" s="18" t="s">
        <v>174</v>
      </c>
      <c r="E157" s="25">
        <v>46143</v>
      </c>
      <c r="F157" s="22">
        <v>1394486</v>
      </c>
      <c r="G157" s="26">
        <v>7302</v>
      </c>
      <c r="H157" s="22">
        <v>1314952</v>
      </c>
      <c r="I157" s="22">
        <v>0</v>
      </c>
      <c r="J157" s="22">
        <v>0</v>
      </c>
      <c r="K157" s="23" t="s">
        <v>39</v>
      </c>
      <c r="L157" s="23" t="s">
        <v>39</v>
      </c>
      <c r="M157" s="22">
        <f>V157</f>
        <v>1314952</v>
      </c>
      <c r="N157" s="26">
        <v>7302</v>
      </c>
      <c r="O157" s="22">
        <f>IF(COUNT(F157,M157)=2,F157-M157,"n.d.")</f>
        <v>79534</v>
      </c>
      <c r="P157" s="26">
        <f>IF(COUNT(G157,N157)=2,G157-N157,"n.d.")</f>
        <v>0</v>
      </c>
      <c r="Q157" s="27">
        <f>IF(COUNTIFS('Taux'!$A$6:$A$20,A157,'Taux'!$B$6:$B$20,D157)=1,SUMIFS('Taux'!$D$6:$D$20,'Taux'!$A$6:$A$20,A157,'Taux'!$B$6:$B$20,D157),"n.d.")</f>
        <v>1</v>
      </c>
      <c r="R157" s="22">
        <f>IF(COUNT(F157,Q157)=2,F157/Q157,"n.d.")</f>
        <v>1394486.0</v>
      </c>
      <c r="S157" s="22">
        <f>IF(COUNT(M157,Q157)=2,M157/Q157,"n.d.")</f>
        <v>1314952.0</v>
      </c>
      <c r="T157" s="24">
        <f>IF(OR(COUNT(F157,M157)&lt;&gt;2,F157=0),"n.d.",M157/F157)</f>
        <v>0.9429653650162139</v>
      </c>
      <c r="U157" s="24">
        <f>IF(OR(COUNT(G157,N157)&lt;&gt;2,G157=0),"n.d.",N157/G157)</f>
        <v>1.0</v>
      </c>
      <c r="V157" s="22">
        <v>1314952</v>
      </c>
    </row>
    <row r="158" spans="1:23" ht="19" customHeight="1">
      <c r="A158" s="18" t="s">
        <v>5</v>
      </c>
      <c r="B158" s="18" t="s">
        <v>180</v>
      </c>
      <c r="C158" s="18" t="s">
        <v>12</v>
      </c>
      <c r="D158" s="18" t="s">
        <v>174</v>
      </c>
      <c r="E158" s="25">
        <v>46174</v>
      </c>
      <c r="F158" s="22">
        <v>1738908</v>
      </c>
      <c r="G158" s="26">
        <v>7492</v>
      </c>
      <c r="H158" s="22">
        <v>1511149</v>
      </c>
      <c r="I158" s="22">
        <v>227758</v>
      </c>
      <c r="J158" s="22">
        <v>0</v>
      </c>
      <c r="K158" s="23" t="s">
        <v>39</v>
      </c>
      <c r="L158" s="23" t="s">
        <v>39</v>
      </c>
      <c r="M158" s="22">
        <f>V158</f>
        <v>1738908</v>
      </c>
      <c r="N158" s="26">
        <v>7492</v>
      </c>
      <c r="O158" s="22">
        <f>IF(COUNT(F158,M158)=2,F158-M158,"n.d.")</f>
        <v>0</v>
      </c>
      <c r="P158" s="26">
        <f>IF(COUNT(G158,N158)=2,G158-N158,"n.d.")</f>
        <v>0</v>
      </c>
      <c r="Q158" s="27">
        <f>IF(COUNTIFS('Taux'!$A$6:$A$20,A158,'Taux'!$B$6:$B$20,D158)=1,SUMIFS('Taux'!$D$6:$D$20,'Taux'!$A$6:$A$20,A158,'Taux'!$B$6:$B$20,D158),"n.d.")</f>
        <v>1</v>
      </c>
      <c r="R158" s="22">
        <f>IF(COUNT(F158,Q158)=2,F158/Q158,"n.d.")</f>
        <v>1738908.0</v>
      </c>
      <c r="S158" s="22">
        <f>IF(COUNT(M158,Q158)=2,M158/Q158,"n.d.")</f>
        <v>1738908.0</v>
      </c>
      <c r="T158" s="24">
        <f>IF(OR(COUNT(F158,M158)&lt;&gt;2,F158=0),"n.d.",M158/F158)</f>
        <v>1.0</v>
      </c>
      <c r="U158" s="24">
        <f>IF(OR(COUNT(G158,N158)&lt;&gt;2,G158=0),"n.d.",N158/G158)</f>
        <v>1.0</v>
      </c>
      <c r="V158" s="22">
        <v>1738908</v>
      </c>
    </row>
    <row r="159" spans="1:23" ht="19" customHeight="1">
      <c r="A159" s="18" t="s">
        <v>5</v>
      </c>
      <c r="B159" s="18" t="s">
        <v>180</v>
      </c>
      <c r="C159" s="18" t="s">
        <v>12</v>
      </c>
      <c r="D159" s="18" t="s">
        <v>174</v>
      </c>
      <c r="E159" s="25">
        <v>46204</v>
      </c>
      <c r="F159" s="22">
        <v>1680101</v>
      </c>
      <c r="G159" s="26">
        <v>7814</v>
      </c>
      <c r="H159" s="22">
        <v>1485242</v>
      </c>
      <c r="I159" s="22">
        <v>194859</v>
      </c>
      <c r="J159" s="22">
        <v>0</v>
      </c>
      <c r="K159" s="23" t="s">
        <v>39</v>
      </c>
      <c r="L159" s="23" t="s">
        <v>39</v>
      </c>
      <c r="M159" s="22">
        <f>V159</f>
        <v>1680101</v>
      </c>
      <c r="N159" s="26">
        <v>7814</v>
      </c>
      <c r="O159" s="22">
        <f>IF(COUNT(F159,M159)=2,F159-M159,"n.d.")</f>
        <v>0</v>
      </c>
      <c r="P159" s="26">
        <f>IF(COUNT(G159,N159)=2,G159-N159,"n.d.")</f>
        <v>0</v>
      </c>
      <c r="Q159" s="27">
        <f>IF(COUNTIFS('Taux'!$A$6:$A$20,A159,'Taux'!$B$6:$B$20,D159)=1,SUMIFS('Taux'!$D$6:$D$20,'Taux'!$A$6:$A$20,A159,'Taux'!$B$6:$B$20,D159),"n.d.")</f>
        <v>1</v>
      </c>
      <c r="R159" s="22">
        <f>IF(COUNT(F159,Q159)=2,F159/Q159,"n.d.")</f>
        <v>1680101.0</v>
      </c>
      <c r="S159" s="22">
        <f>IF(COUNT(M159,Q159)=2,M159/Q159,"n.d.")</f>
        <v>1680101.0</v>
      </c>
      <c r="T159" s="24">
        <f>IF(OR(COUNT(F159,M159)&lt;&gt;2,F159=0),"n.d.",M159/F159)</f>
        <v>1.0</v>
      </c>
      <c r="U159" s="24">
        <f>IF(OR(COUNT(G159,N159)&lt;&gt;2,G159=0),"n.d.",N159/G159)</f>
        <v>1.0</v>
      </c>
      <c r="V159" s="22">
        <v>1680101</v>
      </c>
    </row>
    <row r="160" spans="1:23" ht="19" customHeight="1">
      <c r="A160" s="18" t="s">
        <v>5</v>
      </c>
      <c r="B160" s="18" t="s">
        <v>180</v>
      </c>
      <c r="C160" s="18" t="s">
        <v>12</v>
      </c>
      <c r="D160" s="18" t="s">
        <v>174</v>
      </c>
      <c r="E160" s="25">
        <v>46235</v>
      </c>
      <c r="F160" s="22">
        <v>1332248</v>
      </c>
      <c r="G160" s="26">
        <v>7478</v>
      </c>
      <c r="H160" s="22">
        <v>682272</v>
      </c>
      <c r="I160" s="22">
        <v>0</v>
      </c>
      <c r="J160" s="22">
        <v>0</v>
      </c>
      <c r="K160" s="23" t="s">
        <v>39</v>
      </c>
      <c r="L160" s="23" t="s">
        <v>39</v>
      </c>
      <c r="M160" s="22">
        <f>V160</f>
        <v>682272</v>
      </c>
      <c r="N160" s="26">
        <v>2376</v>
      </c>
      <c r="O160" s="22">
        <f>IF(COUNT(F160,M160)=2,F160-M160,"n.d.")</f>
        <v>649976</v>
      </c>
      <c r="P160" s="26">
        <f>IF(COUNT(G160,N160)=2,G160-N160,"n.d.")</f>
        <v>5102</v>
      </c>
      <c r="Q160" s="27">
        <f>IF(COUNTIFS('Taux'!$A$6:$A$20,A160,'Taux'!$B$6:$B$20,D160)=1,SUMIFS('Taux'!$D$6:$D$20,'Taux'!$A$6:$A$20,A160,'Taux'!$B$6:$B$20,D160),"n.d.")</f>
        <v>1</v>
      </c>
      <c r="R160" s="22">
        <f>IF(COUNT(F160,Q160)=2,F160/Q160,"n.d.")</f>
        <v>1332248.0</v>
      </c>
      <c r="S160" s="22">
        <f>IF(COUNT(M160,Q160)=2,M160/Q160,"n.d.")</f>
        <v>682272.0</v>
      </c>
      <c r="T160" s="24">
        <f>IF(OR(COUNT(F160,M160)&lt;&gt;2,F160=0),"n.d.",M160/F160)</f>
        <v>0.5121208663852376</v>
      </c>
      <c r="U160" s="24">
        <f>IF(OR(COUNT(G160,N160)&lt;&gt;2,G160=0),"n.d.",N160/G160)</f>
        <v>0.31773201390746186</v>
      </c>
      <c r="V160" s="22">
        <v>682272</v>
      </c>
    </row>
    <row r="161" spans="1:23" ht="19" customHeight="1">
      <c r="A161" s="18" t="s">
        <v>5</v>
      </c>
      <c r="B161" s="18" t="s">
        <v>180</v>
      </c>
      <c r="C161" s="18" t="s">
        <v>12</v>
      </c>
      <c r="D161" s="18" t="s">
        <v>174</v>
      </c>
      <c r="E161" s="25">
        <v>46266</v>
      </c>
      <c r="F161" s="22">
        <v>1473477</v>
      </c>
      <c r="G161" s="26">
        <v>8999</v>
      </c>
      <c r="H161" s="22">
        <v>34796</v>
      </c>
      <c r="I161" s="22">
        <v>0</v>
      </c>
      <c r="J161" s="22">
        <v>0</v>
      </c>
      <c r="K161" s="23" t="s">
        <v>39</v>
      </c>
      <c r="L161" s="23" t="s">
        <v>39</v>
      </c>
      <c r="M161" s="22">
        <f>V161</f>
        <v>34796</v>
      </c>
      <c r="N161" s="26">
        <v>139</v>
      </c>
      <c r="O161" s="22">
        <f>IF(COUNT(F161,M161)=2,F161-M161,"n.d.")</f>
        <v>1438681</v>
      </c>
      <c r="P161" s="26">
        <f>IF(COUNT(G161,N161)=2,G161-N161,"n.d.")</f>
        <v>8860</v>
      </c>
      <c r="Q161" s="27">
        <f>IF(COUNTIFS('Taux'!$A$6:$A$20,A161,'Taux'!$B$6:$B$20,D161)=1,SUMIFS('Taux'!$D$6:$D$20,'Taux'!$A$6:$A$20,A161,'Taux'!$B$6:$B$20,D161),"n.d.")</f>
        <v>1</v>
      </c>
      <c r="R161" s="22">
        <f>IF(COUNT(F161,Q161)=2,F161/Q161,"n.d.")</f>
        <v>1473477.0</v>
      </c>
      <c r="S161" s="22">
        <f>IF(COUNT(M161,Q161)=2,M161/Q161,"n.d.")</f>
        <v>34796.0</v>
      </c>
      <c r="T161" s="24">
        <f>IF(OR(COUNT(F161,M161)&lt;&gt;2,F161=0),"n.d.",M161/F161)</f>
        <v>0.023614891851043485</v>
      </c>
      <c r="U161" s="24">
        <f>IF(OR(COUNT(G161,N161)&lt;&gt;2,G161=0),"n.d.",N161/G161)</f>
        <v>0.015446160684520501</v>
      </c>
      <c r="V161" s="22">
        <v>34796</v>
      </c>
    </row>
  </sheetData>
  <conditionalFormatting sqref="A6:W161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83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8" customWidth="1"/>
    <col min="2" max="2" width="12.7109375" style="18" customWidth="1"/>
    <col min="3" max="3" width="22.7109375" style="18" customWidth="1"/>
    <col min="4" max="4" width="12.7109375" style="18" customWidth="1"/>
    <col min="5" max="5" width="16.7109375" style="18" customWidth="1"/>
    <col min="6" max="19" width="21.7109375" style="18" customWidth="1"/>
    <col min="21" max="28" width="18.7109375" style="18" customWidth="1"/>
  </cols>
  <sheetData>
    <row r="2" spans="1:20" ht="19" customHeight="1">
      <c r="A2" s="19" t="s">
        <v>212</v>
      </c>
    </row>
    <row r="3" spans="1:20" ht="19" customHeight="1">
      <c r="A3" s="20" t="s">
        <v>213</v>
      </c>
    </row>
    <row r="5" spans="1:20" ht="42" customHeight="1">
      <c r="A5" s="21" t="s">
        <v>144</v>
      </c>
      <c r="B5" s="21" t="s">
        <v>145</v>
      </c>
      <c r="C5" s="21" t="s">
        <v>146</v>
      </c>
      <c r="D5" s="21" t="s">
        <v>147</v>
      </c>
      <c r="E5" s="21" t="s">
        <v>214</v>
      </c>
      <c r="F5" s="21" t="s">
        <v>215</v>
      </c>
      <c r="G5" s="21" t="s">
        <v>198</v>
      </c>
      <c r="H5" s="21" t="s">
        <v>199</v>
      </c>
      <c r="I5" s="21" t="s">
        <v>200</v>
      </c>
      <c r="J5" s="21" t="s">
        <v>201</v>
      </c>
      <c r="K5" s="21" t="s">
        <v>202</v>
      </c>
      <c r="L5" s="21" t="s">
        <v>203</v>
      </c>
      <c r="M5" s="21" t="s">
        <v>216</v>
      </c>
      <c r="N5" s="21" t="s">
        <v>217</v>
      </c>
      <c r="O5" s="21" t="s">
        <v>211</v>
      </c>
      <c r="P5" s="21" t="s">
        <v>218</v>
      </c>
      <c r="Q5" s="21" t="s">
        <v>148</v>
      </c>
      <c r="R5" s="21" t="s">
        <v>219</v>
      </c>
      <c r="S5" s="21" t="s">
        <v>220</v>
      </c>
    </row>
    <row r="6" spans="1:20" ht="19" customHeight="1">
      <c r="A6" s="18" t="s">
        <v>38</v>
      </c>
      <c r="B6" s="18" t="s">
        <v>177</v>
      </c>
      <c r="C6" s="18" t="s">
        <v>9</v>
      </c>
      <c r="D6" s="18" t="s">
        <v>174</v>
      </c>
      <c r="E6" s="18" t="s">
        <v>49</v>
      </c>
      <c r="F6" s="22">
        <v>35597890</v>
      </c>
      <c r="G6" s="22">
        <v>35575075</v>
      </c>
      <c r="H6" s="22">
        <v>0</v>
      </c>
      <c r="I6" s="23" t="s">
        <v>39</v>
      </c>
      <c r="J6" s="22">
        <v>13695</v>
      </c>
      <c r="K6" s="23" t="s">
        <v>39</v>
      </c>
      <c r="L6" s="22">
        <f>IF(COUNT(G6,J6,H6)=3,SUM(G6,J6,H6),"n.d.")</f>
        <v>35588770.0</v>
      </c>
      <c r="M6" s="22">
        <f>P6</f>
        <v>9120.0</v>
      </c>
      <c r="N6" s="22">
        <f>IF(COUNT(M6,J6)=2,M6+J6,"n.d.")</f>
        <v>22815.0</v>
      </c>
      <c r="O6" s="22">
        <v>35588770</v>
      </c>
      <c r="P6" s="22">
        <v>9120</v>
      </c>
      <c r="Q6" s="27">
        <f>IF(COUNTIFS('Taux'!$A$6:$A$20,A6,'Taux'!$B$6:$B$20,D6)=1,SUMIFS('Taux'!$D$6:$D$20,'Taux'!$A$6:$A$20,A6,'Taux'!$B$6:$B$20,D6),"n.d.")</f>
        <v>1</v>
      </c>
      <c r="R6" s="22">
        <f>IF(COUNT(M6,Q6)=2,M6/Q6,"n.d.")</f>
        <v>9120.0</v>
      </c>
      <c r="S6" s="22">
        <f>IF(COUNT(N6,Q6)=2,N6/Q6,"n.d.")</f>
        <v>22815.0</v>
      </c>
    </row>
    <row r="7" spans="1:20" ht="19" customHeight="1">
      <c r="A7" s="18" t="s">
        <v>38</v>
      </c>
      <c r="B7" s="18" t="s">
        <v>177</v>
      </c>
      <c r="C7" s="18" t="s">
        <v>9</v>
      </c>
      <c r="D7" s="18" t="s">
        <v>174</v>
      </c>
      <c r="E7" s="18" t="s">
        <v>50</v>
      </c>
      <c r="F7" s="22">
        <v>5799952</v>
      </c>
      <c r="G7" s="22">
        <v>5798264</v>
      </c>
      <c r="H7" s="22">
        <v>0</v>
      </c>
      <c r="I7" s="23" t="s">
        <v>39</v>
      </c>
      <c r="J7" s="22">
        <v>0</v>
      </c>
      <c r="K7" s="23" t="s">
        <v>39</v>
      </c>
      <c r="L7" s="22">
        <f>IF(COUNT(G7,J7,H7)=3,SUM(G7,J7,H7),"n.d.")</f>
        <v>5798264.0</v>
      </c>
      <c r="M7" s="22">
        <f>P7</f>
        <v>1688.0</v>
      </c>
      <c r="N7" s="22">
        <f>IF(COUNT(M7,J7)=2,M7+J7,"n.d.")</f>
        <v>1688.0</v>
      </c>
      <c r="O7" s="22">
        <v>5798264</v>
      </c>
      <c r="P7" s="22">
        <v>1688</v>
      </c>
      <c r="Q7" s="27">
        <f>IF(COUNTIFS('Taux'!$A$6:$A$20,A7,'Taux'!$B$6:$B$20,D7)=1,SUMIFS('Taux'!$D$6:$D$20,'Taux'!$A$6:$A$20,A7,'Taux'!$B$6:$B$20,D7),"n.d.")</f>
        <v>1</v>
      </c>
      <c r="R7" s="22">
        <f>IF(COUNT(M7,Q7)=2,M7/Q7,"n.d.")</f>
        <v>1688.0</v>
      </c>
      <c r="S7" s="22">
        <f>IF(COUNT(N7,Q7)=2,N7/Q7,"n.d.")</f>
        <v>1688.0</v>
      </c>
    </row>
    <row r="8" spans="1:20" ht="19" customHeight="1">
      <c r="A8" s="18" t="s">
        <v>38</v>
      </c>
      <c r="B8" s="18" t="s">
        <v>177</v>
      </c>
      <c r="C8" s="18" t="s">
        <v>9</v>
      </c>
      <c r="D8" s="18" t="s">
        <v>174</v>
      </c>
      <c r="E8" s="18" t="s">
        <v>51</v>
      </c>
      <c r="F8" s="22">
        <v>649443</v>
      </c>
      <c r="G8" s="22">
        <v>537283</v>
      </c>
      <c r="H8" s="22">
        <v>0</v>
      </c>
      <c r="I8" s="23" t="s">
        <v>39</v>
      </c>
      <c r="J8" s="22">
        <v>0</v>
      </c>
      <c r="K8" s="23" t="s">
        <v>39</v>
      </c>
      <c r="L8" s="22">
        <f>IF(COUNT(G8,J8,H8)=3,SUM(G8,J8,H8),"n.d.")</f>
        <v>537283.0</v>
      </c>
      <c r="M8" s="22">
        <f>P8</f>
        <v>112161.0</v>
      </c>
      <c r="N8" s="22">
        <f>IF(COUNT(M8,J8)=2,M8+J8,"n.d.")</f>
        <v>112161.0</v>
      </c>
      <c r="O8" s="22">
        <v>537283</v>
      </c>
      <c r="P8" s="22">
        <v>112161</v>
      </c>
      <c r="Q8" s="27">
        <f>IF(COUNTIFS('Taux'!$A$6:$A$20,A8,'Taux'!$B$6:$B$20,D8)=1,SUMIFS('Taux'!$D$6:$D$20,'Taux'!$A$6:$A$20,A8,'Taux'!$B$6:$B$20,D8),"n.d.")</f>
        <v>1</v>
      </c>
      <c r="R8" s="22">
        <f>IF(COUNT(M8,Q8)=2,M8/Q8,"n.d.")</f>
        <v>112161.0</v>
      </c>
      <c r="S8" s="22">
        <f>IF(COUNT(N8,Q8)=2,N8/Q8,"n.d.")</f>
        <v>112161.0</v>
      </c>
    </row>
    <row r="9" spans="1:20" ht="19" customHeight="1">
      <c r="A9" s="18" t="s">
        <v>38</v>
      </c>
      <c r="B9" s="18" t="s">
        <v>173</v>
      </c>
      <c r="C9" s="18" t="s">
        <v>7</v>
      </c>
      <c r="D9" s="18" t="s">
        <v>174</v>
      </c>
      <c r="E9" s="18" t="s">
        <v>49</v>
      </c>
      <c r="F9" s="22">
        <v>138693910</v>
      </c>
      <c r="G9" s="22">
        <v>56013616</v>
      </c>
      <c r="H9" s="22">
        <v>358781</v>
      </c>
      <c r="I9" s="22">
        <v>82320460</v>
      </c>
      <c r="J9" s="23" t="s">
        <v>39</v>
      </c>
      <c r="K9" s="23" t="s">
        <v>39</v>
      </c>
      <c r="L9" s="22">
        <f>IF(COUNT(G9,H9,I9)=3,SUM(G9,H9,I9),"n.d.")</f>
        <v>138692857.0</v>
      </c>
      <c r="M9" s="22">
        <f>P9</f>
        <v>1053.0</v>
      </c>
      <c r="N9" s="22">
        <f>IF(COUNT(M9,H9)=2,M9+H9,"n.d.")</f>
        <v>359834.0</v>
      </c>
      <c r="O9" s="22">
        <v>138692857</v>
      </c>
      <c r="P9" s="22">
        <v>1053</v>
      </c>
      <c r="Q9" s="27">
        <f>IF(COUNTIFS('Taux'!$A$6:$A$20,A9,'Taux'!$B$6:$B$20,D9)=1,SUMIFS('Taux'!$D$6:$D$20,'Taux'!$A$6:$A$20,A9,'Taux'!$B$6:$B$20,D9),"n.d.")</f>
        <v>1</v>
      </c>
      <c r="R9" s="22">
        <f>IF(COUNT(M9,Q9)=2,M9/Q9,"n.d.")</f>
        <v>1053.0</v>
      </c>
      <c r="S9" s="22">
        <f>IF(COUNT(N9,Q9)=2,N9/Q9,"n.d.")</f>
        <v>359834.0</v>
      </c>
    </row>
    <row r="10" spans="1:20" ht="19" customHeight="1">
      <c r="A10" s="18" t="s">
        <v>38</v>
      </c>
      <c r="B10" s="18" t="s">
        <v>173</v>
      </c>
      <c r="C10" s="18" t="s">
        <v>7</v>
      </c>
      <c r="D10" s="18" t="s">
        <v>174</v>
      </c>
      <c r="E10" s="18" t="s">
        <v>50</v>
      </c>
      <c r="F10" s="22">
        <v>42326597</v>
      </c>
      <c r="G10" s="22">
        <v>15803469</v>
      </c>
      <c r="H10" s="22">
        <v>35204</v>
      </c>
      <c r="I10" s="22">
        <v>26453825</v>
      </c>
      <c r="J10" s="23" t="s">
        <v>39</v>
      </c>
      <c r="K10" s="23" t="s">
        <v>39</v>
      </c>
      <c r="L10" s="22">
        <f>IF(COUNT(G10,H10,I10)=3,SUM(G10,H10,I10),"n.d.")</f>
        <v>42292498.0</v>
      </c>
      <c r="M10" s="22">
        <f>P10</f>
        <v>34099.0</v>
      </c>
      <c r="N10" s="22">
        <f>IF(COUNT(M10,H10)=2,M10+H10,"n.d.")</f>
        <v>69303.0</v>
      </c>
      <c r="O10" s="22">
        <v>42292498</v>
      </c>
      <c r="P10" s="22">
        <v>34099</v>
      </c>
      <c r="Q10" s="27">
        <f>IF(COUNTIFS('Taux'!$A$6:$A$20,A10,'Taux'!$B$6:$B$20,D10)=1,SUMIFS('Taux'!$D$6:$D$20,'Taux'!$A$6:$A$20,A10,'Taux'!$B$6:$B$20,D10),"n.d.")</f>
        <v>1</v>
      </c>
      <c r="R10" s="22">
        <f>IF(COUNT(M10,Q10)=2,M10/Q10,"n.d.")</f>
        <v>34099.0</v>
      </c>
      <c r="S10" s="22">
        <f>IF(COUNT(N10,Q10)=2,N10/Q10,"n.d.")</f>
        <v>69303.0</v>
      </c>
    </row>
    <row r="11" spans="1:20" ht="19" customHeight="1">
      <c r="A11" s="18" t="s">
        <v>38</v>
      </c>
      <c r="B11" s="18" t="s">
        <v>173</v>
      </c>
      <c r="C11" s="18" t="s">
        <v>7</v>
      </c>
      <c r="D11" s="18" t="s">
        <v>174</v>
      </c>
      <c r="E11" s="18" t="s">
        <v>51</v>
      </c>
      <c r="F11" s="22">
        <v>20624760</v>
      </c>
      <c r="G11" s="22">
        <v>7091021</v>
      </c>
      <c r="H11" s="22">
        <v>7998</v>
      </c>
      <c r="I11" s="22">
        <v>12175064</v>
      </c>
      <c r="J11" s="23" t="s">
        <v>39</v>
      </c>
      <c r="K11" s="23" t="s">
        <v>39</v>
      </c>
      <c r="L11" s="22">
        <f>IF(COUNT(G11,H11,I11)=3,SUM(G11,H11,I11),"n.d.")</f>
        <v>19274083.0</v>
      </c>
      <c r="M11" s="22">
        <f>P11</f>
        <v>1350677.0</v>
      </c>
      <c r="N11" s="22">
        <f>IF(COUNT(M11,H11)=2,M11+H11,"n.d.")</f>
        <v>1358675.0</v>
      </c>
      <c r="O11" s="22">
        <v>19274083</v>
      </c>
      <c r="P11" s="22">
        <v>1350677</v>
      </c>
      <c r="Q11" s="27">
        <f>IF(COUNTIFS('Taux'!$A$6:$A$20,A11,'Taux'!$B$6:$B$20,D11)=1,SUMIFS('Taux'!$D$6:$D$20,'Taux'!$A$6:$A$20,A11,'Taux'!$B$6:$B$20,D11),"n.d.")</f>
        <v>1</v>
      </c>
      <c r="R11" s="22">
        <f>IF(COUNT(M11,Q11)=2,M11/Q11,"n.d.")</f>
        <v>1350677.0</v>
      </c>
      <c r="S11" s="22">
        <f>IF(COUNT(N11,Q11)=2,N11/Q11,"n.d.")</f>
        <v>1358675.0</v>
      </c>
    </row>
    <row r="12" spans="1:20" ht="19" customHeight="1">
      <c r="A12" s="18" t="s">
        <v>38</v>
      </c>
      <c r="B12" s="18" t="s">
        <v>180</v>
      </c>
      <c r="C12" s="18" t="s">
        <v>12</v>
      </c>
      <c r="D12" s="18" t="s">
        <v>174</v>
      </c>
      <c r="E12" s="18" t="s">
        <v>49</v>
      </c>
      <c r="F12" s="22">
        <v>348845</v>
      </c>
      <c r="G12" s="22">
        <v>267499</v>
      </c>
      <c r="H12" s="22">
        <v>81347</v>
      </c>
      <c r="I12" s="22">
        <v>0</v>
      </c>
      <c r="J12" s="23" t="s">
        <v>39</v>
      </c>
      <c r="K12" s="23" t="s">
        <v>39</v>
      </c>
      <c r="L12" s="22">
        <f>IF(COUNT(G12,H12,I12)=3,SUM(G12,H12,I12),"n.d.")</f>
        <v>348846.0</v>
      </c>
      <c r="M12" s="22">
        <f>P12</f>
        <v>0.0</v>
      </c>
      <c r="N12" s="22">
        <f>IF(COUNT(M12,H12)=2,M12+H12,"n.d.")</f>
        <v>81347.0</v>
      </c>
      <c r="O12" s="22">
        <v>348845</v>
      </c>
      <c r="P12" s="22">
        <v>0</v>
      </c>
      <c r="Q12" s="27">
        <f>IF(COUNTIFS('Taux'!$A$6:$A$20,A12,'Taux'!$B$6:$B$20,D12)=1,SUMIFS('Taux'!$D$6:$D$20,'Taux'!$A$6:$A$20,A12,'Taux'!$B$6:$B$20,D12),"n.d.")</f>
        <v>1</v>
      </c>
      <c r="R12" s="22">
        <f>IF(COUNT(M12,Q12)=2,M12/Q12,"n.d.")</f>
        <v>0.0</v>
      </c>
      <c r="S12" s="22">
        <f>IF(COUNT(N12,Q12)=2,N12/Q12,"n.d.")</f>
        <v>81347.0</v>
      </c>
    </row>
    <row r="13" spans="1:20" ht="19" customHeight="1">
      <c r="A13" s="18" t="s">
        <v>38</v>
      </c>
      <c r="B13" s="18" t="s">
        <v>180</v>
      </c>
      <c r="C13" s="18" t="s">
        <v>12</v>
      </c>
      <c r="D13" s="18" t="s">
        <v>174</v>
      </c>
      <c r="E13" s="18" t="s">
        <v>50</v>
      </c>
      <c r="F13" s="22">
        <v>19576702</v>
      </c>
      <c r="G13" s="22">
        <v>19309241</v>
      </c>
      <c r="H13" s="22">
        <v>30485</v>
      </c>
      <c r="I13" s="22">
        <v>0</v>
      </c>
      <c r="J13" s="23" t="s">
        <v>39</v>
      </c>
      <c r="K13" s="23" t="s">
        <v>39</v>
      </c>
      <c r="L13" s="22">
        <f>IF(COUNT(G13,H13,I13)=3,SUM(G13,H13,I13),"n.d.")</f>
        <v>19339726.0</v>
      </c>
      <c r="M13" s="22">
        <f>P13</f>
        <v>236975.0</v>
      </c>
      <c r="N13" s="22">
        <f>IF(COUNT(M13,H13)=2,M13+H13,"n.d.")</f>
        <v>267460.0</v>
      </c>
      <c r="O13" s="22">
        <v>19339726</v>
      </c>
      <c r="P13" s="22">
        <v>236975</v>
      </c>
      <c r="Q13" s="27">
        <f>IF(COUNTIFS('Taux'!$A$6:$A$20,A13,'Taux'!$B$6:$B$20,D13)=1,SUMIFS('Taux'!$D$6:$D$20,'Taux'!$A$6:$A$20,A13,'Taux'!$B$6:$B$20,D13),"n.d.")</f>
        <v>1</v>
      </c>
      <c r="R13" s="22">
        <f>IF(COUNT(M13,Q13)=2,M13/Q13,"n.d.")</f>
        <v>236975.0</v>
      </c>
      <c r="S13" s="22">
        <f>IF(COUNT(N13,Q13)=2,N13/Q13,"n.d.")</f>
        <v>267460.0</v>
      </c>
    </row>
    <row r="14" spans="1:20" ht="19" customHeight="1">
      <c r="A14" s="18" t="s">
        <v>38</v>
      </c>
      <c r="B14" s="18" t="s">
        <v>180</v>
      </c>
      <c r="C14" s="18" t="s">
        <v>12</v>
      </c>
      <c r="D14" s="18" t="s">
        <v>174</v>
      </c>
      <c r="E14" s="18" t="s">
        <v>51</v>
      </c>
      <c r="F14" s="22">
        <v>10212626</v>
      </c>
      <c r="G14" s="22">
        <v>7243846</v>
      </c>
      <c r="H14" s="22">
        <v>0</v>
      </c>
      <c r="I14" s="22">
        <v>0</v>
      </c>
      <c r="J14" s="23" t="s">
        <v>39</v>
      </c>
      <c r="K14" s="23" t="s">
        <v>39</v>
      </c>
      <c r="L14" s="22">
        <f>IF(COUNT(G14,H14,I14)=3,SUM(G14,H14,I14),"n.d.")</f>
        <v>7243846.0</v>
      </c>
      <c r="M14" s="22">
        <f>P14</f>
        <v>2968780.0</v>
      </c>
      <c r="N14" s="22">
        <f>IF(COUNT(M14,H14)=2,M14+H14,"n.d.")</f>
        <v>2968780.0</v>
      </c>
      <c r="O14" s="22">
        <v>7243846</v>
      </c>
      <c r="P14" s="22">
        <v>2968780</v>
      </c>
      <c r="Q14" s="27">
        <f>IF(COUNTIFS('Taux'!$A$6:$A$20,A14,'Taux'!$B$6:$B$20,D14)=1,SUMIFS('Taux'!$D$6:$D$20,'Taux'!$A$6:$A$20,A14,'Taux'!$B$6:$B$20,D14),"n.d.")</f>
        <v>1</v>
      </c>
      <c r="R14" s="22">
        <f>IF(COUNT(M14,Q14)=2,M14/Q14,"n.d.")</f>
        <v>2968780.0</v>
      </c>
      <c r="S14" s="22">
        <f>IF(COUNT(N14,Q14)=2,N14/Q14,"n.d.")</f>
        <v>2968780.0</v>
      </c>
    </row>
    <row r="15" spans="1:20" ht="19" customHeight="1">
      <c r="A15" s="18" t="s">
        <v>38</v>
      </c>
      <c r="B15" s="18" t="s">
        <v>175</v>
      </c>
      <c r="C15" s="18" t="s">
        <v>83</v>
      </c>
      <c r="D15" s="18" t="s">
        <v>174</v>
      </c>
      <c r="E15" s="18" t="s">
        <v>49</v>
      </c>
      <c r="F15" s="22">
        <v>120219169</v>
      </c>
      <c r="G15" s="22">
        <v>118422535</v>
      </c>
      <c r="H15" s="22">
        <v>7679</v>
      </c>
      <c r="I15" s="22">
        <v>863519</v>
      </c>
      <c r="J15" s="23" t="s">
        <v>39</v>
      </c>
      <c r="K15" s="23" t="s">
        <v>39</v>
      </c>
      <c r="L15" s="22">
        <f>IF(COUNT(G15,H15,I15)=3,SUM(G15,H15,I15),"n.d.")</f>
        <v>119293733.0</v>
      </c>
      <c r="M15" s="22">
        <f>P15</f>
        <v>925436.0</v>
      </c>
      <c r="N15" s="22">
        <f>IF(COUNT(M15,H15)=2,M15+H15,"n.d.")</f>
        <v>933115.0</v>
      </c>
      <c r="O15" s="22">
        <v>119293733</v>
      </c>
      <c r="P15" s="22">
        <v>925436</v>
      </c>
      <c r="Q15" s="27">
        <f>IF(COUNTIFS('Taux'!$A$6:$A$20,A15,'Taux'!$B$6:$B$20,D15)=1,SUMIFS('Taux'!$D$6:$D$20,'Taux'!$A$6:$A$20,A15,'Taux'!$B$6:$B$20,D15),"n.d.")</f>
        <v>1</v>
      </c>
      <c r="R15" s="22">
        <f>IF(COUNT(M15,Q15)=2,M15/Q15,"n.d.")</f>
        <v>925436.0</v>
      </c>
      <c r="S15" s="22">
        <f>IF(COUNT(N15,Q15)=2,N15/Q15,"n.d.")</f>
        <v>933115.0</v>
      </c>
    </row>
    <row r="16" spans="1:20" ht="19" customHeight="1">
      <c r="A16" s="18" t="s">
        <v>38</v>
      </c>
      <c r="B16" s="18" t="s">
        <v>175</v>
      </c>
      <c r="C16" s="18" t="s">
        <v>83</v>
      </c>
      <c r="D16" s="18" t="s">
        <v>174</v>
      </c>
      <c r="E16" s="18" t="s">
        <v>50</v>
      </c>
      <c r="F16" s="22">
        <v>18317521</v>
      </c>
      <c r="G16" s="22">
        <v>17534711</v>
      </c>
      <c r="H16" s="22">
        <v>18694</v>
      </c>
      <c r="I16" s="22">
        <v>229263</v>
      </c>
      <c r="J16" s="23" t="s">
        <v>39</v>
      </c>
      <c r="K16" s="23" t="s">
        <v>39</v>
      </c>
      <c r="L16" s="22">
        <f>IF(COUNT(G16,H16,I16)=3,SUM(G16,H16,I16),"n.d.")</f>
        <v>17782668.0</v>
      </c>
      <c r="M16" s="22">
        <f>P16</f>
        <v>534855.0</v>
      </c>
      <c r="N16" s="22">
        <f>IF(COUNT(M16,H16)=2,M16+H16,"n.d.")</f>
        <v>553549.0</v>
      </c>
      <c r="O16" s="22">
        <v>17782667</v>
      </c>
      <c r="P16" s="22">
        <v>534855</v>
      </c>
      <c r="Q16" s="27">
        <f>IF(COUNTIFS('Taux'!$A$6:$A$20,A16,'Taux'!$B$6:$B$20,D16)=1,SUMIFS('Taux'!$D$6:$D$20,'Taux'!$A$6:$A$20,A16,'Taux'!$B$6:$B$20,D16),"n.d.")</f>
        <v>1</v>
      </c>
      <c r="R16" s="22">
        <f>IF(COUNT(M16,Q16)=2,M16/Q16,"n.d.")</f>
        <v>534855.0</v>
      </c>
      <c r="S16" s="22">
        <f>IF(COUNT(N16,Q16)=2,N16/Q16,"n.d.")</f>
        <v>553549.0</v>
      </c>
    </row>
    <row r="17" spans="1:20" ht="19" customHeight="1">
      <c r="A17" s="18" t="s">
        <v>38</v>
      </c>
      <c r="B17" s="18" t="s">
        <v>175</v>
      </c>
      <c r="C17" s="18" t="s">
        <v>83</v>
      </c>
      <c r="D17" s="18" t="s">
        <v>174</v>
      </c>
      <c r="E17" s="18" t="s">
        <v>51</v>
      </c>
      <c r="F17" s="22">
        <v>4971406</v>
      </c>
      <c r="G17" s="22">
        <v>2721256</v>
      </c>
      <c r="H17" s="22">
        <v>436</v>
      </c>
      <c r="I17" s="22">
        <v>263340</v>
      </c>
      <c r="J17" s="23" t="s">
        <v>39</v>
      </c>
      <c r="K17" s="23" t="s">
        <v>39</v>
      </c>
      <c r="L17" s="22">
        <f>IF(COUNT(G17,H17,I17)=3,SUM(G17,H17,I17),"n.d.")</f>
        <v>2985032.0</v>
      </c>
      <c r="M17" s="22">
        <f>P17</f>
        <v>1986374.0</v>
      </c>
      <c r="N17" s="22">
        <f>IF(COUNT(M17,H17)=2,M17+H17,"n.d.")</f>
        <v>1986810.0</v>
      </c>
      <c r="O17" s="22">
        <v>2985032</v>
      </c>
      <c r="P17" s="22">
        <v>1986374</v>
      </c>
      <c r="Q17" s="27">
        <f>IF(COUNTIFS('Taux'!$A$6:$A$20,A17,'Taux'!$B$6:$B$20,D17)=1,SUMIFS('Taux'!$D$6:$D$20,'Taux'!$A$6:$A$20,A17,'Taux'!$B$6:$B$20,D17),"n.d.")</f>
        <v>1</v>
      </c>
      <c r="R17" s="22">
        <f>IF(COUNT(M17,Q17)=2,M17/Q17,"n.d.")</f>
        <v>1986374.0</v>
      </c>
      <c r="S17" s="22">
        <f>IF(COUNT(N17,Q17)=2,N17/Q17,"n.d.")</f>
        <v>1986810.0</v>
      </c>
    </row>
    <row r="18" spans="1:20" ht="19" customHeight="1">
      <c r="A18" s="18" t="s">
        <v>38</v>
      </c>
      <c r="B18" s="18" t="s">
        <v>178</v>
      </c>
      <c r="C18" s="18" t="s">
        <v>10</v>
      </c>
      <c r="D18" s="18" t="s">
        <v>174</v>
      </c>
      <c r="E18" s="18" t="s">
        <v>49</v>
      </c>
      <c r="F18" s="22">
        <v>116775257</v>
      </c>
      <c r="G18" s="22">
        <v>115026964</v>
      </c>
      <c r="H18" s="22">
        <v>1748293</v>
      </c>
      <c r="I18" s="22">
        <v>0</v>
      </c>
      <c r="J18" s="23" t="s">
        <v>39</v>
      </c>
      <c r="K18" s="23" t="s">
        <v>39</v>
      </c>
      <c r="L18" s="22">
        <f>IF(COUNT(G18,H18,I18)=3,SUM(G18,H18,I18),"n.d.")</f>
        <v>116775257.0</v>
      </c>
      <c r="M18" s="22">
        <f>P18</f>
        <v>0.0</v>
      </c>
      <c r="N18" s="22">
        <f>IF(COUNT(M18,H18)=2,M18+H18,"n.d.")</f>
        <v>1748293.0</v>
      </c>
      <c r="O18" s="22">
        <v>116775257</v>
      </c>
      <c r="P18" s="22">
        <v>0</v>
      </c>
      <c r="Q18" s="27">
        <f>IF(COUNTIFS('Taux'!$A$6:$A$20,A18,'Taux'!$B$6:$B$20,D18)=1,SUMIFS('Taux'!$D$6:$D$20,'Taux'!$A$6:$A$20,A18,'Taux'!$B$6:$B$20,D18),"n.d.")</f>
        <v>1</v>
      </c>
      <c r="R18" s="22">
        <f>IF(COUNT(M18,Q18)=2,M18/Q18,"n.d.")</f>
        <v>0.0</v>
      </c>
      <c r="S18" s="22">
        <f>IF(COUNT(N18,Q18)=2,N18/Q18,"n.d.")</f>
        <v>1748293.0</v>
      </c>
    </row>
    <row r="19" spans="1:20" ht="19" customHeight="1">
      <c r="A19" s="18" t="s">
        <v>38</v>
      </c>
      <c r="B19" s="18" t="s">
        <v>178</v>
      </c>
      <c r="C19" s="18" t="s">
        <v>10</v>
      </c>
      <c r="D19" s="18" t="s">
        <v>174</v>
      </c>
      <c r="E19" s="18" t="s">
        <v>50</v>
      </c>
      <c r="F19" s="22">
        <v>12759393</v>
      </c>
      <c r="G19" s="22">
        <v>12398891</v>
      </c>
      <c r="H19" s="22">
        <v>223335</v>
      </c>
      <c r="I19" s="22">
        <v>0</v>
      </c>
      <c r="J19" s="23" t="s">
        <v>39</v>
      </c>
      <c r="K19" s="23" t="s">
        <v>39</v>
      </c>
      <c r="L19" s="22">
        <f>IF(COUNT(G19,H19,I19)=3,SUM(G19,H19,I19),"n.d.")</f>
        <v>12622226.0</v>
      </c>
      <c r="M19" s="22">
        <f>P19</f>
        <v>137168.0</v>
      </c>
      <c r="N19" s="22">
        <f>IF(COUNT(M19,H19)=2,M19+H19,"n.d.")</f>
        <v>360503.0</v>
      </c>
      <c r="O19" s="22">
        <v>12622226</v>
      </c>
      <c r="P19" s="22">
        <v>137168</v>
      </c>
      <c r="Q19" s="27">
        <f>IF(COUNTIFS('Taux'!$A$6:$A$20,A19,'Taux'!$B$6:$B$20,D19)=1,SUMIFS('Taux'!$D$6:$D$20,'Taux'!$A$6:$A$20,A19,'Taux'!$B$6:$B$20,D19),"n.d.")</f>
        <v>1</v>
      </c>
      <c r="R19" s="22">
        <f>IF(COUNT(M19,Q19)=2,M19/Q19,"n.d.")</f>
        <v>137168.0</v>
      </c>
      <c r="S19" s="22">
        <f>IF(COUNT(N19,Q19)=2,N19/Q19,"n.d.")</f>
        <v>360503.0</v>
      </c>
    </row>
    <row r="20" spans="1:20" ht="19" customHeight="1">
      <c r="A20" s="18" t="s">
        <v>38</v>
      </c>
      <c r="B20" s="18" t="s">
        <v>178</v>
      </c>
      <c r="C20" s="18" t="s">
        <v>10</v>
      </c>
      <c r="D20" s="18" t="s">
        <v>174</v>
      </c>
      <c r="E20" s="18" t="s">
        <v>51</v>
      </c>
      <c r="F20" s="22">
        <v>6678520</v>
      </c>
      <c r="G20" s="22">
        <v>5764071</v>
      </c>
      <c r="H20" s="22">
        <v>264190</v>
      </c>
      <c r="I20" s="22">
        <v>0</v>
      </c>
      <c r="J20" s="23" t="s">
        <v>39</v>
      </c>
      <c r="K20" s="23" t="s">
        <v>39</v>
      </c>
      <c r="L20" s="22">
        <f>IF(COUNT(G20,H20,I20)=3,SUM(G20,H20,I20),"n.d.")</f>
        <v>6028261.0</v>
      </c>
      <c r="M20" s="22">
        <f>P20</f>
        <v>650259.0</v>
      </c>
      <c r="N20" s="22">
        <f>IF(COUNT(M20,H20)=2,M20+H20,"n.d.")</f>
        <v>914449.0</v>
      </c>
      <c r="O20" s="22">
        <v>6028261</v>
      </c>
      <c r="P20" s="22">
        <v>650259</v>
      </c>
      <c r="Q20" s="27">
        <f>IF(COUNTIFS('Taux'!$A$6:$A$20,A20,'Taux'!$B$6:$B$20,D20)=1,SUMIFS('Taux'!$D$6:$D$20,'Taux'!$A$6:$A$20,A20,'Taux'!$B$6:$B$20,D20),"n.d.")</f>
        <v>1</v>
      </c>
      <c r="R20" s="22">
        <f>IF(COUNT(M20,Q20)=2,M20/Q20,"n.d.")</f>
        <v>650259.0</v>
      </c>
      <c r="S20" s="22">
        <f>IF(COUNT(N20,Q20)=2,N20/Q20,"n.d.")</f>
        <v>914449.0</v>
      </c>
    </row>
    <row r="21" spans="1:20" ht="19" customHeight="1">
      <c r="A21" s="18" t="s">
        <v>38</v>
      </c>
      <c r="B21" s="18" t="s">
        <v>179</v>
      </c>
      <c r="C21" s="18" t="s">
        <v>11</v>
      </c>
      <c r="D21" s="18" t="s">
        <v>174</v>
      </c>
      <c r="E21" s="18" t="s">
        <v>49</v>
      </c>
      <c r="F21" s="22">
        <v>1979335</v>
      </c>
      <c r="G21" s="22">
        <v>229126</v>
      </c>
      <c r="H21" s="22">
        <v>0</v>
      </c>
      <c r="I21" s="22">
        <v>1740614</v>
      </c>
      <c r="J21" s="23" t="s">
        <v>39</v>
      </c>
      <c r="K21" s="23" t="s">
        <v>39</v>
      </c>
      <c r="L21" s="22">
        <f>IF(COUNT(G21,H21,I21)=3,SUM(G21,H21,I21),"n.d.")</f>
        <v>1969740.0</v>
      </c>
      <c r="M21" s="22">
        <f>P21</f>
        <v>9595.0</v>
      </c>
      <c r="N21" s="22">
        <f>IF(COUNT(M21,H21)=2,M21+H21,"n.d.")</f>
        <v>9595.0</v>
      </c>
      <c r="O21" s="22">
        <v>1969740</v>
      </c>
      <c r="P21" s="22">
        <v>9595</v>
      </c>
      <c r="Q21" s="27">
        <f>IF(COUNTIFS('Taux'!$A$6:$A$20,A21,'Taux'!$B$6:$B$20,D21)=1,SUMIFS('Taux'!$D$6:$D$20,'Taux'!$A$6:$A$20,A21,'Taux'!$B$6:$B$20,D21),"n.d.")</f>
        <v>1</v>
      </c>
      <c r="R21" s="22">
        <f>IF(COUNT(M21,Q21)=2,M21/Q21,"n.d.")</f>
        <v>9595.0</v>
      </c>
      <c r="S21" s="22">
        <f>IF(COUNT(N21,Q21)=2,N21/Q21,"n.d.")</f>
        <v>9595.0</v>
      </c>
    </row>
    <row r="22" spans="1:20" ht="19" customHeight="1">
      <c r="A22" s="18" t="s">
        <v>38</v>
      </c>
      <c r="B22" s="18" t="s">
        <v>179</v>
      </c>
      <c r="C22" s="18" t="s">
        <v>11</v>
      </c>
      <c r="D22" s="18" t="s">
        <v>174</v>
      </c>
      <c r="E22" s="18" t="s">
        <v>50</v>
      </c>
      <c r="F22" s="22">
        <v>15886362</v>
      </c>
      <c r="G22" s="22">
        <v>2805366</v>
      </c>
      <c r="H22" s="22">
        <v>12291</v>
      </c>
      <c r="I22" s="22">
        <v>12974796</v>
      </c>
      <c r="J22" s="23" t="s">
        <v>39</v>
      </c>
      <c r="K22" s="23" t="s">
        <v>39</v>
      </c>
      <c r="L22" s="22">
        <f>IF(COUNT(G22,H22,I22)=3,SUM(G22,H22,I22),"n.d.")</f>
        <v>15792453.0</v>
      </c>
      <c r="M22" s="22">
        <f>P22</f>
        <v>93910.0</v>
      </c>
      <c r="N22" s="22">
        <f>IF(COUNT(M22,H22)=2,M22+H22,"n.d.")</f>
        <v>106201.0</v>
      </c>
      <c r="O22" s="22">
        <v>15792452</v>
      </c>
      <c r="P22" s="22">
        <v>93910</v>
      </c>
      <c r="Q22" s="27">
        <f>IF(COUNTIFS('Taux'!$A$6:$A$20,A22,'Taux'!$B$6:$B$20,D22)=1,SUMIFS('Taux'!$D$6:$D$20,'Taux'!$A$6:$A$20,A22,'Taux'!$B$6:$B$20,D22),"n.d.")</f>
        <v>1</v>
      </c>
      <c r="R22" s="22">
        <f>IF(COUNT(M22,Q22)=2,M22/Q22,"n.d.")</f>
        <v>93910.0</v>
      </c>
      <c r="S22" s="22">
        <f>IF(COUNT(N22,Q22)=2,N22/Q22,"n.d.")</f>
        <v>106201.0</v>
      </c>
    </row>
    <row r="23" spans="1:20" ht="19" customHeight="1">
      <c r="A23" s="18" t="s">
        <v>38</v>
      </c>
      <c r="B23" s="18" t="s">
        <v>179</v>
      </c>
      <c r="C23" s="18" t="s">
        <v>11</v>
      </c>
      <c r="D23" s="18" t="s">
        <v>174</v>
      </c>
      <c r="E23" s="18" t="s">
        <v>51</v>
      </c>
      <c r="F23" s="22">
        <v>14274561</v>
      </c>
      <c r="G23" s="22">
        <v>4906894</v>
      </c>
      <c r="H23" s="22">
        <v>212</v>
      </c>
      <c r="I23" s="22">
        <v>8890050</v>
      </c>
      <c r="J23" s="23" t="s">
        <v>39</v>
      </c>
      <c r="K23" s="23" t="s">
        <v>39</v>
      </c>
      <c r="L23" s="22">
        <f>IF(COUNT(G23,H23,I23)=3,SUM(G23,H23,I23),"n.d.")</f>
        <v>13797156.0</v>
      </c>
      <c r="M23" s="22">
        <f>P23</f>
        <v>477404.0</v>
      </c>
      <c r="N23" s="22">
        <f>IF(COUNT(M23,H23)=2,M23+H23,"n.d.")</f>
        <v>477616.0</v>
      </c>
      <c r="O23" s="22">
        <v>13797157</v>
      </c>
      <c r="P23" s="22">
        <v>477404</v>
      </c>
      <c r="Q23" s="27">
        <f>IF(COUNTIFS('Taux'!$A$6:$A$20,A23,'Taux'!$B$6:$B$20,D23)=1,SUMIFS('Taux'!$D$6:$D$20,'Taux'!$A$6:$A$20,A23,'Taux'!$B$6:$B$20,D23),"n.d.")</f>
        <v>1</v>
      </c>
      <c r="R23" s="22">
        <f>IF(COUNT(M23,Q23)=2,M23/Q23,"n.d.")</f>
        <v>477404.0</v>
      </c>
      <c r="S23" s="22">
        <f>IF(COUNT(N23,Q23)=2,N23/Q23,"n.d.")</f>
        <v>477616.0</v>
      </c>
    </row>
    <row r="24" spans="1:20" ht="19" customHeight="1">
      <c r="A24" s="18" t="s">
        <v>38</v>
      </c>
      <c r="B24" s="18" t="s">
        <v>13</v>
      </c>
      <c r="C24" s="18" t="s">
        <v>13</v>
      </c>
      <c r="D24" s="18" t="s">
        <v>181</v>
      </c>
      <c r="E24" s="18" t="s">
        <v>49</v>
      </c>
      <c r="F24" s="22">
        <v>1919718</v>
      </c>
      <c r="G24" s="22">
        <v>215128</v>
      </c>
      <c r="H24" s="22">
        <v>1495177</v>
      </c>
      <c r="I24" s="22">
        <v>209412</v>
      </c>
      <c r="J24" s="23" t="s">
        <v>39</v>
      </c>
      <c r="K24" s="23" t="s">
        <v>39</v>
      </c>
      <c r="L24" s="22">
        <f>IF(COUNT(G24,H24,I24)=3,SUM(G24,H24,I24),"n.d.")</f>
        <v>1919717.0</v>
      </c>
      <c r="M24" s="22">
        <f>P24</f>
        <v>0.0</v>
      </c>
      <c r="N24" s="22">
        <f>IF(COUNT(M24,H24)=2,M24+H24,"n.d.")</f>
        <v>1495177.0</v>
      </c>
      <c r="O24" s="22">
        <v>1919718</v>
      </c>
      <c r="P24" s="22">
        <v>0</v>
      </c>
      <c r="Q24" s="27">
        <f>IF(COUNTIFS('Taux'!$A$6:$A$20,A24,'Taux'!$B$6:$B$20,D24)=1,SUMIFS('Taux'!$D$6:$D$20,'Taux'!$A$6:$A$20,A24,'Taux'!$B$6:$B$20,D24),"n.d.")</f>
        <v>0.85443381</v>
      </c>
      <c r="R24" s="22">
        <f>IF(COUNT(M24,Q24)=2,M24/Q24,"n.d.")</f>
        <v>0.0</v>
      </c>
      <c r="S24" s="22">
        <f>IF(COUNT(N24,Q24)=2,N24/Q24,"n.d.")</f>
        <v>1749903.8339786672</v>
      </c>
    </row>
    <row r="25" spans="1:20" ht="19" customHeight="1">
      <c r="A25" s="18" t="s">
        <v>38</v>
      </c>
      <c r="B25" s="18" t="s">
        <v>13</v>
      </c>
      <c r="C25" s="18" t="s">
        <v>13</v>
      </c>
      <c r="D25" s="18" t="s">
        <v>181</v>
      </c>
      <c r="E25" s="18" t="s">
        <v>50</v>
      </c>
      <c r="F25" s="22">
        <v>1293122</v>
      </c>
      <c r="G25" s="22">
        <v>616931</v>
      </c>
      <c r="H25" s="22">
        <v>586462</v>
      </c>
      <c r="I25" s="22">
        <v>49680</v>
      </c>
      <c r="J25" s="23" t="s">
        <v>39</v>
      </c>
      <c r="K25" s="23" t="s">
        <v>39</v>
      </c>
      <c r="L25" s="22">
        <f>IF(COUNT(G25,H25,I25)=3,SUM(G25,H25,I25),"n.d.")</f>
        <v>1253073.0</v>
      </c>
      <c r="M25" s="22">
        <f>P25</f>
        <v>40048.0</v>
      </c>
      <c r="N25" s="22">
        <f>IF(COUNT(M25,H25)=2,M25+H25,"n.d.")</f>
        <v>626510.0</v>
      </c>
      <c r="O25" s="22">
        <v>1253073</v>
      </c>
      <c r="P25" s="22">
        <v>40048</v>
      </c>
      <c r="Q25" s="27">
        <f>IF(COUNTIFS('Taux'!$A$6:$A$20,A25,'Taux'!$B$6:$B$20,D25)=1,SUMIFS('Taux'!$D$6:$D$20,'Taux'!$A$6:$A$20,A25,'Taux'!$B$6:$B$20,D25),"n.d.")</f>
        <v>0.85443381</v>
      </c>
      <c r="R25" s="22">
        <f>IF(COUNT(M25,Q25)=2,M25/Q25,"n.d.")</f>
        <v>46870.804421936446</v>
      </c>
      <c r="S25" s="22">
        <f>IF(COUNT(N25,Q25)=2,N25/Q25,"n.d.")</f>
        <v>733245.7970032811</v>
      </c>
    </row>
    <row r="26" spans="1:20" ht="19" customHeight="1">
      <c r="A26" s="18" t="s">
        <v>38</v>
      </c>
      <c r="B26" s="18" t="s">
        <v>13</v>
      </c>
      <c r="C26" s="18" t="s">
        <v>13</v>
      </c>
      <c r="D26" s="18" t="s">
        <v>181</v>
      </c>
      <c r="E26" s="18" t="s">
        <v>51</v>
      </c>
      <c r="F26" s="22">
        <v>804306</v>
      </c>
      <c r="G26" s="22">
        <v>456551</v>
      </c>
      <c r="H26" s="22">
        <v>21906</v>
      </c>
      <c r="I26" s="22">
        <v>25241</v>
      </c>
      <c r="J26" s="23" t="s">
        <v>39</v>
      </c>
      <c r="K26" s="23" t="s">
        <v>39</v>
      </c>
      <c r="L26" s="22">
        <f>IF(COUNT(G26,H26,I26)=3,SUM(G26,H26,I26),"n.d.")</f>
        <v>503698.0</v>
      </c>
      <c r="M26" s="22">
        <f>P26</f>
        <v>300608.0</v>
      </c>
      <c r="N26" s="22">
        <f>IF(COUNT(M26,H26)=2,M26+H26,"n.d.")</f>
        <v>322514.0</v>
      </c>
      <c r="O26" s="22">
        <v>503698</v>
      </c>
      <c r="P26" s="22">
        <v>300608</v>
      </c>
      <c r="Q26" s="27">
        <f>IF(COUNTIFS('Taux'!$A$6:$A$20,A26,'Taux'!$B$6:$B$20,D26)=1,SUMIFS('Taux'!$D$6:$D$20,'Taux'!$A$6:$A$20,A26,'Taux'!$B$6:$B$20,D26),"n.d.")</f>
        <v>0.85443381</v>
      </c>
      <c r="R26" s="22">
        <f>IF(COUNT(M26,Q26)=2,M26/Q26,"n.d.")</f>
        <v>351821.28385111544</v>
      </c>
      <c r="S26" s="22">
        <f>IF(COUNT(N26,Q26)=2,N26/Q26,"n.d.")</f>
        <v>377459.31425630266</v>
      </c>
    </row>
    <row r="27" spans="1:20" ht="19" customHeight="1">
      <c r="A27" s="18" t="s">
        <v>38</v>
      </c>
      <c r="B27" s="18" t="s">
        <v>176</v>
      </c>
      <c r="C27" s="18" t="s">
        <v>87</v>
      </c>
      <c r="D27" s="18" t="s">
        <v>174</v>
      </c>
      <c r="E27" s="18" t="s">
        <v>49</v>
      </c>
      <c r="F27" s="22">
        <v>1091685.037869048</v>
      </c>
      <c r="G27" s="22">
        <v>1034853.737869048</v>
      </c>
      <c r="H27" s="22">
        <v>0</v>
      </c>
      <c r="I27" s="22">
        <v>50654.21000000002</v>
      </c>
      <c r="J27" s="23" t="s">
        <v>39</v>
      </c>
      <c r="K27" s="23" t="s">
        <v>39</v>
      </c>
      <c r="L27" s="22">
        <f>IF(COUNT(G27,H27,I27)=3,SUM(G27,H27,I27),"n.d.")</f>
        <v>1085507.9478690478</v>
      </c>
      <c r="M27" s="22">
        <f>P27</f>
        <v>6177.090000000084</v>
      </c>
      <c r="N27" s="22">
        <f>IF(COUNT(M27,H27)=2,M27+H27,"n.d.")</f>
        <v>6177.090000000084</v>
      </c>
      <c r="O27" s="22">
        <v>1085507.947869048</v>
      </c>
      <c r="P27" s="22">
        <v>6177.090000000084</v>
      </c>
      <c r="Q27" s="27">
        <f>IF(COUNTIFS('Taux'!$A$6:$A$20,A27,'Taux'!$B$6:$B$20,D27)=1,SUMIFS('Taux'!$D$6:$D$20,'Taux'!$A$6:$A$20,A27,'Taux'!$B$6:$B$20,D27),"n.d.")</f>
        <v>1</v>
      </c>
      <c r="R27" s="22">
        <f>IF(COUNT(M27,Q27)=2,M27/Q27,"n.d.")</f>
        <v>6177.090000000084</v>
      </c>
      <c r="S27" s="22">
        <f>IF(COUNT(N27,Q27)=2,N27/Q27,"n.d.")</f>
        <v>6177.090000000084</v>
      </c>
    </row>
    <row r="28" spans="1:20" ht="19" customHeight="1">
      <c r="A28" s="18" t="s">
        <v>38</v>
      </c>
      <c r="B28" s="18" t="s">
        <v>176</v>
      </c>
      <c r="C28" s="18" t="s">
        <v>87</v>
      </c>
      <c r="D28" s="18" t="s">
        <v>174</v>
      </c>
      <c r="E28" s="18" t="s">
        <v>50</v>
      </c>
      <c r="F28" s="22">
        <v>245197.5900000002</v>
      </c>
      <c r="G28" s="22">
        <v>244204.3300000002</v>
      </c>
      <c r="H28" s="22">
        <v>0</v>
      </c>
      <c r="I28" s="22">
        <v>563.38</v>
      </c>
      <c r="J28" s="23" t="s">
        <v>39</v>
      </c>
      <c r="K28" s="23" t="s">
        <v>39</v>
      </c>
      <c r="L28" s="22">
        <f>IF(COUNT(G28,H28,I28)=3,SUM(G28,H28,I28),"n.d.")</f>
        <v>244767.71000000025</v>
      </c>
      <c r="M28" s="22">
        <f>P28</f>
        <v>429.87999999994645</v>
      </c>
      <c r="N28" s="22">
        <f>IF(COUNT(M28,H28)=2,M28+H28,"n.d.")</f>
        <v>429.87999999994645</v>
      </c>
      <c r="O28" s="22">
        <v>244767.7100000003</v>
      </c>
      <c r="P28" s="22">
        <v>429.8799999999464</v>
      </c>
      <c r="Q28" s="27">
        <f>IF(COUNTIFS('Taux'!$A$6:$A$20,A28,'Taux'!$B$6:$B$20,D28)=1,SUMIFS('Taux'!$D$6:$D$20,'Taux'!$A$6:$A$20,A28,'Taux'!$B$6:$B$20,D28),"n.d.")</f>
        <v>1</v>
      </c>
      <c r="R28" s="22">
        <f>IF(COUNT(M28,Q28)=2,M28/Q28,"n.d.")</f>
        <v>429.87999999994645</v>
      </c>
      <c r="S28" s="22">
        <f>IF(COUNT(N28,Q28)=2,N28/Q28,"n.d.")</f>
        <v>429.87999999994645</v>
      </c>
    </row>
    <row r="29" spans="1:20" ht="19" customHeight="1">
      <c r="A29" s="18" t="s">
        <v>38</v>
      </c>
      <c r="B29" s="18" t="s">
        <v>176</v>
      </c>
      <c r="C29" s="18" t="s">
        <v>87</v>
      </c>
      <c r="D29" s="18" t="s">
        <v>174</v>
      </c>
      <c r="E29" s="18" t="s">
        <v>51</v>
      </c>
      <c r="F29" s="22">
        <v>54745.46</v>
      </c>
      <c r="G29" s="22">
        <v>49360.14000000005</v>
      </c>
      <c r="H29" s="22">
        <v>0</v>
      </c>
      <c r="I29" s="22">
        <v>0</v>
      </c>
      <c r="J29" s="23" t="s">
        <v>39</v>
      </c>
      <c r="K29" s="23" t="s">
        <v>39</v>
      </c>
      <c r="L29" s="22">
        <f>IF(COUNT(G29,H29,I29)=3,SUM(G29,H29,I29),"n.d.")</f>
        <v>49360.14000000005</v>
      </c>
      <c r="M29" s="22">
        <f>P29</f>
        <v>5385.319999999949</v>
      </c>
      <c r="N29" s="22">
        <f>IF(COUNT(M29,H29)=2,M29+H29,"n.d.")</f>
        <v>5385.319999999949</v>
      </c>
      <c r="O29" s="22">
        <v>49360.14000000005</v>
      </c>
      <c r="P29" s="22">
        <v>5385.319999999949</v>
      </c>
      <c r="Q29" s="27">
        <f>IF(COUNTIFS('Taux'!$A$6:$A$20,A29,'Taux'!$B$6:$B$20,D29)=1,SUMIFS('Taux'!$D$6:$D$20,'Taux'!$A$6:$A$20,A29,'Taux'!$B$6:$B$20,D29),"n.d.")</f>
        <v>1</v>
      </c>
      <c r="R29" s="22">
        <f>IF(COUNT(M29,Q29)=2,M29/Q29,"n.d.")</f>
        <v>5385.319999999949</v>
      </c>
      <c r="S29" s="22">
        <f>IF(COUNT(N29,Q29)=2,N29/Q29,"n.d.")</f>
        <v>5385.319999999949</v>
      </c>
    </row>
    <row r="30" spans="1:20" ht="19" customHeight="1">
      <c r="A30" s="18" t="s">
        <v>38</v>
      </c>
      <c r="B30" s="18" t="s">
        <v>187</v>
      </c>
      <c r="C30" s="18" t="s">
        <v>17</v>
      </c>
      <c r="D30" s="18" t="s">
        <v>188</v>
      </c>
      <c r="E30" s="18" t="s">
        <v>221</v>
      </c>
      <c r="F30" s="22">
        <v>1360.75</v>
      </c>
      <c r="G30" s="22">
        <v>1100.43</v>
      </c>
      <c r="H30" s="23" t="s">
        <v>39</v>
      </c>
      <c r="I30" s="23" t="s">
        <v>39</v>
      </c>
      <c r="J30" s="22">
        <v>0</v>
      </c>
      <c r="K30" s="22">
        <v>260.32</v>
      </c>
      <c r="L30" s="22">
        <f>IF(COUNT(G30,J30,K30)=3,SUM(G30,J30,K30),"n.d.")</f>
        <v>1360.75</v>
      </c>
      <c r="M30" s="22">
        <f>P30</f>
        <v>0</v>
      </c>
      <c r="N30" s="22">
        <f>IF(COUNT(M30)=1,M30,"n.d.")</f>
        <v>0</v>
      </c>
      <c r="O30" s="22">
        <v>1360.75</v>
      </c>
      <c r="P30" s="22">
        <v>0</v>
      </c>
      <c r="Q30" s="27">
        <f>IF(COUNTIFS('Taux'!$A$6:$A$20,A30,'Taux'!$B$6:$B$20,D30)=1,SUMIFS('Taux'!$D$6:$D$20,'Taux'!$A$6:$A$20,A30,'Taux'!$B$6:$B$20,D30),"n.d.")</f>
        <v>7.47595715</v>
      </c>
      <c r="R30" s="22">
        <f>IF(COUNT(M30,Q30)=2,M30/Q30,"n.d.")</f>
        <v>0.0</v>
      </c>
      <c r="S30" s="22">
        <f>IF(COUNT(N30,Q30)=2,N30/Q30,"n.d.")</f>
        <v>0.0</v>
      </c>
    </row>
    <row r="31" spans="1:20" ht="19" customHeight="1">
      <c r="A31" s="18" t="s">
        <v>38</v>
      </c>
      <c r="B31" s="18" t="s">
        <v>187</v>
      </c>
      <c r="C31" s="18" t="s">
        <v>17</v>
      </c>
      <c r="D31" s="18" t="s">
        <v>188</v>
      </c>
      <c r="E31" s="18" t="s">
        <v>80</v>
      </c>
      <c r="F31" s="22">
        <v>707.71</v>
      </c>
      <c r="G31" s="22">
        <v>707.71</v>
      </c>
      <c r="H31" s="23" t="s">
        <v>39</v>
      </c>
      <c r="I31" s="23" t="s">
        <v>39</v>
      </c>
      <c r="J31" s="22">
        <v>0</v>
      </c>
      <c r="K31" s="22">
        <v>0</v>
      </c>
      <c r="L31" s="22">
        <f>IF(COUNT(G31,J31,K31)=3,SUM(G31,J31,K31),"n.d.")</f>
        <v>707.71</v>
      </c>
      <c r="M31" s="22">
        <f>P31</f>
        <v>0</v>
      </c>
      <c r="N31" s="22">
        <f>IF(COUNT(M31)=1,M31,"n.d.")</f>
        <v>0</v>
      </c>
      <c r="O31" s="22">
        <v>707.71</v>
      </c>
      <c r="P31" s="22">
        <v>0</v>
      </c>
      <c r="Q31" s="27">
        <f>IF(COUNTIFS('Taux'!$A$6:$A$20,A31,'Taux'!$B$6:$B$20,D31)=1,SUMIFS('Taux'!$D$6:$D$20,'Taux'!$A$6:$A$20,A31,'Taux'!$B$6:$B$20,D31),"n.d.")</f>
        <v>7.47595715</v>
      </c>
      <c r="R31" s="22">
        <f>IF(COUNT(M31,Q31)=2,M31/Q31,"n.d.")</f>
        <v>0.0</v>
      </c>
      <c r="S31" s="22">
        <f>IF(COUNT(N31,Q31)=2,N31/Q31,"n.d.")</f>
        <v>0.0</v>
      </c>
    </row>
    <row r="32" spans="1:20" ht="19" customHeight="1">
      <c r="A32" s="18" t="s">
        <v>38</v>
      </c>
      <c r="B32" s="18" t="s">
        <v>187</v>
      </c>
      <c r="C32" s="18" t="s">
        <v>17</v>
      </c>
      <c r="D32" s="18" t="s">
        <v>188</v>
      </c>
      <c r="E32" s="18" t="s">
        <v>50</v>
      </c>
      <c r="F32" s="22">
        <v>979562.14</v>
      </c>
      <c r="G32" s="22">
        <v>916209.2199999997</v>
      </c>
      <c r="H32" s="23" t="s">
        <v>39</v>
      </c>
      <c r="I32" s="23" t="s">
        <v>39</v>
      </c>
      <c r="J32" s="22">
        <v>0</v>
      </c>
      <c r="K32" s="22">
        <v>63352.92000000001</v>
      </c>
      <c r="L32" s="22">
        <f>IF(COUNT(G32,J32,K32)=3,SUM(G32,J32,K32),"n.d.")</f>
        <v>979562.1399999998</v>
      </c>
      <c r="M32" s="22">
        <f>P32</f>
        <v>0</v>
      </c>
      <c r="N32" s="22">
        <f>IF(COUNT(M32)=1,M32,"n.d.")</f>
        <v>0</v>
      </c>
      <c r="O32" s="22">
        <v>979562.1399999998</v>
      </c>
      <c r="P32" s="22">
        <v>0</v>
      </c>
      <c r="Q32" s="27">
        <f>IF(COUNTIFS('Taux'!$A$6:$A$20,A32,'Taux'!$B$6:$B$20,D32)=1,SUMIFS('Taux'!$D$6:$D$20,'Taux'!$A$6:$A$20,A32,'Taux'!$B$6:$B$20,D32),"n.d.")</f>
        <v>7.47595715</v>
      </c>
      <c r="R32" s="22">
        <f>IF(COUNT(M32,Q32)=2,M32/Q32,"n.d.")</f>
        <v>0.0</v>
      </c>
      <c r="S32" s="22">
        <f>IF(COUNT(N32,Q32)=2,N32/Q32,"n.d.")</f>
        <v>0.0</v>
      </c>
    </row>
    <row r="33" spans="1:20" ht="19" customHeight="1">
      <c r="A33" s="18" t="s">
        <v>38</v>
      </c>
      <c r="B33" s="18" t="s">
        <v>187</v>
      </c>
      <c r="C33" s="18" t="s">
        <v>17</v>
      </c>
      <c r="D33" s="18" t="s">
        <v>188</v>
      </c>
      <c r="E33" s="18" t="s">
        <v>51</v>
      </c>
      <c r="F33" s="22">
        <v>860922.6800000001</v>
      </c>
      <c r="G33" s="22">
        <v>432030.6900000002</v>
      </c>
      <c r="H33" s="23" t="s">
        <v>39</v>
      </c>
      <c r="I33" s="23" t="s">
        <v>39</v>
      </c>
      <c r="J33" s="22">
        <v>0</v>
      </c>
      <c r="K33" s="22">
        <v>246594.18</v>
      </c>
      <c r="L33" s="22">
        <f>IF(COUNT(G33,J33,K33)=3,SUM(G33,J33,K33),"n.d.")</f>
        <v>678624.8700000002</v>
      </c>
      <c r="M33" s="22">
        <f>P33</f>
        <v>182297.80999999982</v>
      </c>
      <c r="N33" s="22">
        <f>IF(COUNT(M33)=1,M33,"n.d.")</f>
        <v>182297.80999999982</v>
      </c>
      <c r="O33" s="22">
        <v>678624.8700000002</v>
      </c>
      <c r="P33" s="22">
        <v>182297.8099999998</v>
      </c>
      <c r="Q33" s="27">
        <f>IF(COUNTIFS('Taux'!$A$6:$A$20,A33,'Taux'!$B$6:$B$20,D33)=1,SUMIFS('Taux'!$D$6:$D$20,'Taux'!$A$6:$A$20,A33,'Taux'!$B$6:$B$20,D33),"n.d.")</f>
        <v>7.47595715</v>
      </c>
      <c r="R33" s="22">
        <f>IF(COUNT(M33,Q33)=2,M33/Q33,"n.d.")</f>
        <v>24384.544526181482</v>
      </c>
      <c r="S33" s="22">
        <f>IF(COUNT(N33,Q33)=2,N33/Q33,"n.d.")</f>
        <v>24384.544526181482</v>
      </c>
    </row>
    <row r="34" spans="1:20" ht="19" customHeight="1">
      <c r="A34" s="18" t="s">
        <v>38</v>
      </c>
      <c r="B34" s="18" t="s">
        <v>189</v>
      </c>
      <c r="C34" s="18" t="s">
        <v>18</v>
      </c>
      <c r="D34" s="18" t="s">
        <v>190</v>
      </c>
      <c r="E34" s="18" t="s">
        <v>221</v>
      </c>
      <c r="F34" s="22">
        <v>0</v>
      </c>
      <c r="G34" s="22">
        <v>0</v>
      </c>
      <c r="H34" s="23" t="s">
        <v>39</v>
      </c>
      <c r="I34" s="23" t="s">
        <v>39</v>
      </c>
      <c r="J34" s="22">
        <v>0</v>
      </c>
      <c r="K34" s="22">
        <v>0</v>
      </c>
      <c r="L34" s="22">
        <f>IF(COUNT(G34,J34,K34)=3,SUM(G34,J34,K34),"n.d.")</f>
        <v>0</v>
      </c>
      <c r="M34" s="22">
        <f>P34</f>
        <v>0</v>
      </c>
      <c r="N34" s="22">
        <f>IF(COUNT(M34)=1,M34,"n.d.")</f>
        <v>0</v>
      </c>
      <c r="O34" s="22">
        <v>0</v>
      </c>
      <c r="P34" s="22">
        <v>0</v>
      </c>
      <c r="Q34" s="27">
        <f>IF(COUNTIFS('Taux'!$A$6:$A$20,A34,'Taux'!$B$6:$B$20,D34)=1,SUMIFS('Taux'!$D$6:$D$20,'Taux'!$A$6:$A$20,A34,'Taux'!$B$6:$B$20,D34),"n.d.")</f>
        <v>10.90384939</v>
      </c>
      <c r="R34" s="22">
        <f>IF(COUNT(M34,Q34)=2,M34/Q34,"n.d.")</f>
        <v>0.0</v>
      </c>
      <c r="S34" s="22">
        <f>IF(COUNT(N34,Q34)=2,N34/Q34,"n.d.")</f>
        <v>0.0</v>
      </c>
    </row>
    <row r="35" spans="1:20" ht="19" customHeight="1">
      <c r="A35" s="18" t="s">
        <v>38</v>
      </c>
      <c r="B35" s="18" t="s">
        <v>189</v>
      </c>
      <c r="C35" s="18" t="s">
        <v>18</v>
      </c>
      <c r="D35" s="18" t="s">
        <v>190</v>
      </c>
      <c r="E35" s="18" t="s">
        <v>80</v>
      </c>
      <c r="F35" s="22">
        <v>19392.95</v>
      </c>
      <c r="G35" s="22">
        <v>18849.71</v>
      </c>
      <c r="H35" s="23" t="s">
        <v>39</v>
      </c>
      <c r="I35" s="23" t="s">
        <v>39</v>
      </c>
      <c r="J35" s="22">
        <v>0</v>
      </c>
      <c r="K35" s="22">
        <v>543.24</v>
      </c>
      <c r="L35" s="22">
        <f>IF(COUNT(G35,J35,K35)=3,SUM(G35,J35,K35),"n.d.")</f>
        <v>19392.95</v>
      </c>
      <c r="M35" s="22">
        <f>P35</f>
        <v>0</v>
      </c>
      <c r="N35" s="22">
        <f>IF(COUNT(M35)=1,M35,"n.d.")</f>
        <v>0</v>
      </c>
      <c r="O35" s="22">
        <v>19392.95</v>
      </c>
      <c r="P35" s="22">
        <v>0</v>
      </c>
      <c r="Q35" s="27">
        <f>IF(COUNTIFS('Taux'!$A$6:$A$20,A35,'Taux'!$B$6:$B$20,D35)=1,SUMIFS('Taux'!$D$6:$D$20,'Taux'!$A$6:$A$20,A35,'Taux'!$B$6:$B$20,D35),"n.d.")</f>
        <v>10.90384939</v>
      </c>
      <c r="R35" s="22">
        <f>IF(COUNT(M35,Q35)=2,M35/Q35,"n.d.")</f>
        <v>0.0</v>
      </c>
      <c r="S35" s="22">
        <f>IF(COUNT(N35,Q35)=2,N35/Q35,"n.d.")</f>
        <v>0.0</v>
      </c>
    </row>
    <row r="36" spans="1:20" ht="19" customHeight="1">
      <c r="A36" s="18" t="s">
        <v>38</v>
      </c>
      <c r="B36" s="18" t="s">
        <v>189</v>
      </c>
      <c r="C36" s="18" t="s">
        <v>18</v>
      </c>
      <c r="D36" s="18" t="s">
        <v>190</v>
      </c>
      <c r="E36" s="18" t="s">
        <v>50</v>
      </c>
      <c r="F36" s="22">
        <v>1208230.41</v>
      </c>
      <c r="G36" s="22">
        <v>422096.93</v>
      </c>
      <c r="H36" s="23" t="s">
        <v>39</v>
      </c>
      <c r="I36" s="23" t="s">
        <v>39</v>
      </c>
      <c r="J36" s="22">
        <v>0</v>
      </c>
      <c r="K36" s="22">
        <v>786133.4799999997</v>
      </c>
      <c r="L36" s="22">
        <f>IF(COUNT(G36,J36,K36)=3,SUM(G36,J36,K36),"n.d.")</f>
        <v>1208230.4099999997</v>
      </c>
      <c r="M36" s="22">
        <f>P36</f>
        <v>0</v>
      </c>
      <c r="N36" s="22">
        <f>IF(COUNT(M36)=1,M36,"n.d.")</f>
        <v>0</v>
      </c>
      <c r="O36" s="22">
        <v>1208230.41</v>
      </c>
      <c r="P36" s="22">
        <v>0</v>
      </c>
      <c r="Q36" s="27">
        <f>IF(COUNTIFS('Taux'!$A$6:$A$20,A36,'Taux'!$B$6:$B$20,D36)=1,SUMIFS('Taux'!$D$6:$D$20,'Taux'!$A$6:$A$20,A36,'Taux'!$B$6:$B$20,D36),"n.d.")</f>
        <v>10.90384939</v>
      </c>
      <c r="R36" s="22">
        <f>IF(COUNT(M36,Q36)=2,M36/Q36,"n.d.")</f>
        <v>0.0</v>
      </c>
      <c r="S36" s="22">
        <f>IF(COUNT(N36,Q36)=2,N36/Q36,"n.d.")</f>
        <v>0.0</v>
      </c>
    </row>
    <row r="37" spans="1:20" ht="19" customHeight="1">
      <c r="A37" s="18" t="s">
        <v>38</v>
      </c>
      <c r="B37" s="18" t="s">
        <v>189</v>
      </c>
      <c r="C37" s="18" t="s">
        <v>18</v>
      </c>
      <c r="D37" s="18" t="s">
        <v>190</v>
      </c>
      <c r="E37" s="18" t="s">
        <v>51</v>
      </c>
      <c r="F37" s="22">
        <v>695256.0099999999</v>
      </c>
      <c r="G37" s="22">
        <v>508406.14</v>
      </c>
      <c r="H37" s="23" t="s">
        <v>39</v>
      </c>
      <c r="I37" s="23" t="s">
        <v>39</v>
      </c>
      <c r="J37" s="22">
        <v>0</v>
      </c>
      <c r="K37" s="22">
        <v>64601.81</v>
      </c>
      <c r="L37" s="22">
        <f>IF(COUNT(G37,J37,K37)=3,SUM(G37,J37,K37),"n.d.")</f>
        <v>573007.95</v>
      </c>
      <c r="M37" s="22">
        <f>P37</f>
        <v>122248.05999999994</v>
      </c>
      <c r="N37" s="22">
        <f>IF(COUNT(M37)=1,M37,"n.d.")</f>
        <v>122248.05999999994</v>
      </c>
      <c r="O37" s="22">
        <v>573007.95</v>
      </c>
      <c r="P37" s="22">
        <v>122248.0599999999</v>
      </c>
      <c r="Q37" s="27">
        <f>IF(COUNTIFS('Taux'!$A$6:$A$20,A37,'Taux'!$B$6:$B$20,D37)=1,SUMIFS('Taux'!$D$6:$D$20,'Taux'!$A$6:$A$20,A37,'Taux'!$B$6:$B$20,D37),"n.d.")</f>
        <v>10.90384939</v>
      </c>
      <c r="R37" s="22">
        <f>IF(COUNT(M37,Q37)=2,M37/Q37,"n.d.")</f>
        <v>11211.458965318663</v>
      </c>
      <c r="S37" s="22">
        <f>IF(COUNT(N37,Q37)=2,N37/Q37,"n.d.")</f>
        <v>11211.458965318663</v>
      </c>
    </row>
    <row r="38" spans="1:20" ht="19" customHeight="1">
      <c r="A38" s="18" t="s">
        <v>38</v>
      </c>
      <c r="B38" s="18" t="s">
        <v>191</v>
      </c>
      <c r="C38" s="18" t="s">
        <v>19</v>
      </c>
      <c r="D38" s="18" t="s">
        <v>192</v>
      </c>
      <c r="E38" s="18" t="s">
        <v>221</v>
      </c>
      <c r="F38" s="22">
        <v>0</v>
      </c>
      <c r="G38" s="22">
        <v>0</v>
      </c>
      <c r="H38" s="23" t="s">
        <v>39</v>
      </c>
      <c r="I38" s="23" t="s">
        <v>39</v>
      </c>
      <c r="J38" s="22">
        <v>0</v>
      </c>
      <c r="K38" s="22">
        <v>0</v>
      </c>
      <c r="L38" s="22">
        <f>IF(COUNT(G38,J38,K38)=3,SUM(G38,J38,K38),"n.d.")</f>
        <v>0</v>
      </c>
      <c r="M38" s="22">
        <f>P38</f>
        <v>0</v>
      </c>
      <c r="N38" s="22">
        <f>IF(COUNT(M38)=1,M38,"n.d.")</f>
        <v>0</v>
      </c>
      <c r="O38" s="22">
        <v>0</v>
      </c>
      <c r="P38" s="22">
        <v>0</v>
      </c>
      <c r="Q38" s="27">
        <f>IF(COUNTIFS('Taux'!$A$6:$A$20,A38,'Taux'!$B$6:$B$20,D38)=1,SUMIFS('Taux'!$D$6:$D$20,'Taux'!$A$6:$A$20,A38,'Taux'!$B$6:$B$20,D38),"n.d.")</f>
        <v>11.34339828</v>
      </c>
      <c r="R38" s="22">
        <f>IF(COUNT(M38,Q38)=2,M38/Q38,"n.d.")</f>
        <v>0.0</v>
      </c>
      <c r="S38" s="22">
        <f>IF(COUNT(N38,Q38)=2,N38/Q38,"n.d.")</f>
        <v>0.0</v>
      </c>
    </row>
    <row r="39" spans="1:20" ht="19" customHeight="1">
      <c r="A39" s="18" t="s">
        <v>38</v>
      </c>
      <c r="B39" s="18" t="s">
        <v>191</v>
      </c>
      <c r="C39" s="18" t="s">
        <v>19</v>
      </c>
      <c r="D39" s="18" t="s">
        <v>192</v>
      </c>
      <c r="E39" s="18" t="s">
        <v>80</v>
      </c>
      <c r="F39" s="22">
        <v>0</v>
      </c>
      <c r="G39" s="22">
        <v>0</v>
      </c>
      <c r="H39" s="23" t="s">
        <v>39</v>
      </c>
      <c r="I39" s="23" t="s">
        <v>39</v>
      </c>
      <c r="J39" s="22">
        <v>0</v>
      </c>
      <c r="K39" s="22">
        <v>0</v>
      </c>
      <c r="L39" s="22">
        <f>IF(COUNT(G39,J39,K39)=3,SUM(G39,J39,K39),"n.d.")</f>
        <v>0</v>
      </c>
      <c r="M39" s="22">
        <f>P39</f>
        <v>0</v>
      </c>
      <c r="N39" s="22">
        <f>IF(COUNT(M39)=1,M39,"n.d.")</f>
        <v>0</v>
      </c>
      <c r="O39" s="22">
        <v>0</v>
      </c>
      <c r="P39" s="22">
        <v>0</v>
      </c>
      <c r="Q39" s="27">
        <f>IF(COUNTIFS('Taux'!$A$6:$A$20,A39,'Taux'!$B$6:$B$20,D39)=1,SUMIFS('Taux'!$D$6:$D$20,'Taux'!$A$6:$A$20,A39,'Taux'!$B$6:$B$20,D39),"n.d.")</f>
        <v>11.34339828</v>
      </c>
      <c r="R39" s="22">
        <f>IF(COUNT(M39,Q39)=2,M39/Q39,"n.d.")</f>
        <v>0.0</v>
      </c>
      <c r="S39" s="22">
        <f>IF(COUNT(N39,Q39)=2,N39/Q39,"n.d.")</f>
        <v>0.0</v>
      </c>
    </row>
    <row r="40" spans="1:20" ht="19" customHeight="1">
      <c r="A40" s="18" t="s">
        <v>38</v>
      </c>
      <c r="B40" s="18" t="s">
        <v>191</v>
      </c>
      <c r="C40" s="18" t="s">
        <v>19</v>
      </c>
      <c r="D40" s="18" t="s">
        <v>192</v>
      </c>
      <c r="E40" s="18" t="s">
        <v>50</v>
      </c>
      <c r="F40" s="22">
        <v>1598170.86</v>
      </c>
      <c r="G40" s="22">
        <v>1480274.83</v>
      </c>
      <c r="H40" s="23" t="s">
        <v>39</v>
      </c>
      <c r="I40" s="23" t="s">
        <v>39</v>
      </c>
      <c r="J40" s="22">
        <v>0</v>
      </c>
      <c r="K40" s="22">
        <v>117896.0300000001</v>
      </c>
      <c r="L40" s="22">
        <f>IF(COUNT(G40,J40,K40)=3,SUM(G40,J40,K40),"n.d.")</f>
        <v>1598170.86</v>
      </c>
      <c r="M40" s="22">
        <f>P40</f>
        <v>0</v>
      </c>
      <c r="N40" s="22">
        <f>IF(COUNT(M40)=1,M40,"n.d.")</f>
        <v>0</v>
      </c>
      <c r="O40" s="22">
        <v>1598170.86</v>
      </c>
      <c r="P40" s="22">
        <v>0</v>
      </c>
      <c r="Q40" s="27">
        <f>IF(COUNTIFS('Taux'!$A$6:$A$20,A40,'Taux'!$B$6:$B$20,D40)=1,SUMIFS('Taux'!$D$6:$D$20,'Taux'!$A$6:$A$20,A40,'Taux'!$B$6:$B$20,D40),"n.d.")</f>
        <v>11.34339828</v>
      </c>
      <c r="R40" s="22">
        <f>IF(COUNT(M40,Q40)=2,M40/Q40,"n.d.")</f>
        <v>0.0</v>
      </c>
      <c r="S40" s="22">
        <f>IF(COUNT(N40,Q40)=2,N40/Q40,"n.d.")</f>
        <v>0.0</v>
      </c>
    </row>
    <row r="41" spans="1:20" ht="19" customHeight="1">
      <c r="A41" s="18" t="s">
        <v>38</v>
      </c>
      <c r="B41" s="18" t="s">
        <v>191</v>
      </c>
      <c r="C41" s="18" t="s">
        <v>19</v>
      </c>
      <c r="D41" s="18" t="s">
        <v>192</v>
      </c>
      <c r="E41" s="18" t="s">
        <v>51</v>
      </c>
      <c r="F41" s="22">
        <v>1887916.95</v>
      </c>
      <c r="G41" s="22">
        <v>1239545.429999999</v>
      </c>
      <c r="H41" s="23" t="s">
        <v>39</v>
      </c>
      <c r="I41" s="23" t="s">
        <v>39</v>
      </c>
      <c r="J41" s="22">
        <v>0</v>
      </c>
      <c r="K41" s="22">
        <v>491727.46</v>
      </c>
      <c r="L41" s="22">
        <f>IF(COUNT(G41,J41,K41)=3,SUM(G41,J41,K41),"n.d.")</f>
        <v>1731272.8899999992</v>
      </c>
      <c r="M41" s="22">
        <f>P41</f>
        <v>156644.06000000075</v>
      </c>
      <c r="N41" s="22">
        <f>IF(COUNT(M41)=1,M41,"n.d.")</f>
        <v>156644.06000000075</v>
      </c>
      <c r="O41" s="22">
        <v>1731272.889999999</v>
      </c>
      <c r="P41" s="22">
        <v>156644.0600000008</v>
      </c>
      <c r="Q41" s="27">
        <f>IF(COUNTIFS('Taux'!$A$6:$A$20,A41,'Taux'!$B$6:$B$20,D41)=1,SUMIFS('Taux'!$D$6:$D$20,'Taux'!$A$6:$A$20,A41,'Taux'!$B$6:$B$20,D41),"n.d.")</f>
        <v>11.34339828</v>
      </c>
      <c r="R41" s="22">
        <f>IF(COUNT(M41,Q41)=2,M41/Q41,"n.d.")</f>
        <v>13809.270919825338</v>
      </c>
      <c r="S41" s="22">
        <f>IF(COUNT(N41,Q41)=2,N41/Q41,"n.d.")</f>
        <v>13809.270919825338</v>
      </c>
    </row>
    <row r="42" spans="1:20" ht="19" customHeight="1">
      <c r="A42" s="18" t="s">
        <v>38</v>
      </c>
      <c r="B42" s="18" t="s">
        <v>182</v>
      </c>
      <c r="C42" s="18" t="s">
        <v>14</v>
      </c>
      <c r="D42" s="18" t="s">
        <v>183</v>
      </c>
      <c r="E42" s="18" t="s">
        <v>49</v>
      </c>
      <c r="F42" s="22">
        <v>28354693.2399995</v>
      </c>
      <c r="G42" s="22">
        <v>11342512.68</v>
      </c>
      <c r="H42" s="22">
        <v>4489640.28</v>
      </c>
      <c r="I42" s="22">
        <v>705346.939999964</v>
      </c>
      <c r="J42" s="23" t="s">
        <v>39</v>
      </c>
      <c r="K42" s="23" t="s">
        <v>39</v>
      </c>
      <c r="L42" s="22">
        <f>IF(COUNT(G42,H42,I42)=3,SUM(G42,H42,I42),"n.d.")</f>
        <v>16537499.899999963</v>
      </c>
      <c r="M42" s="22">
        <f>P42</f>
        <v>11817193.339999534</v>
      </c>
      <c r="N42" s="22">
        <f>IF(COUNT(M42,H42)=2,M42+H42,"n.d.")</f>
        <v>16306833.619999535</v>
      </c>
      <c r="O42" s="22">
        <v>16537499.89999996</v>
      </c>
      <c r="P42" s="22">
        <v>11817193.33999953</v>
      </c>
      <c r="Q42" s="27">
        <f>IF(COUNTIFS('Taux'!$A$6:$A$20,A42,'Taux'!$B$6:$B$20,D42)=1,SUMIFS('Taux'!$D$6:$D$20,'Taux'!$A$6:$A$20,A42,'Taux'!$B$6:$B$20,D42),"n.d.")</f>
        <v>18.58943911</v>
      </c>
      <c r="R42" s="22">
        <f>IF(COUNT(M42,Q42)=2,M42/Q42,"n.d.")</f>
        <v>635693.9157805248</v>
      </c>
      <c r="S42" s="22">
        <f>IF(COUNT(N42,Q42)=2,N42/Q42,"n.d.")</f>
        <v>877209.5555711221</v>
      </c>
    </row>
    <row r="43" spans="1:20" ht="19" customHeight="1">
      <c r="A43" s="18" t="s">
        <v>38</v>
      </c>
      <c r="B43" s="18" t="s">
        <v>182</v>
      </c>
      <c r="C43" s="18" t="s">
        <v>14</v>
      </c>
      <c r="D43" s="18" t="s">
        <v>183</v>
      </c>
      <c r="E43" s="18" t="s">
        <v>50</v>
      </c>
      <c r="F43" s="22">
        <v>30300988.4499998</v>
      </c>
      <c r="G43" s="22">
        <v>22612303.8800004</v>
      </c>
      <c r="H43" s="22">
        <v>0</v>
      </c>
      <c r="I43" s="22">
        <v>379707.170000025</v>
      </c>
      <c r="J43" s="23" t="s">
        <v>39</v>
      </c>
      <c r="K43" s="23" t="s">
        <v>39</v>
      </c>
      <c r="L43" s="22">
        <f>IF(COUNT(G43,H43,I43)=3,SUM(G43,H43,I43),"n.d.")</f>
        <v>22992011.050000425</v>
      </c>
      <c r="M43" s="22">
        <f>P43</f>
        <v>7308977.399999376</v>
      </c>
      <c r="N43" s="22">
        <f>IF(COUNT(M43,H43)=2,M43+H43,"n.d.")</f>
        <v>7308977.399999376</v>
      </c>
      <c r="O43" s="22">
        <v>22992011.05000043</v>
      </c>
      <c r="P43" s="22">
        <v>7308977.399999376</v>
      </c>
      <c r="Q43" s="27">
        <f>IF(COUNTIFS('Taux'!$A$6:$A$20,A43,'Taux'!$B$6:$B$20,D43)=1,SUMIFS('Taux'!$D$6:$D$20,'Taux'!$A$6:$A$20,A43,'Taux'!$B$6:$B$20,D43),"n.d.")</f>
        <v>18.58943911</v>
      </c>
      <c r="R43" s="22">
        <f>IF(COUNT(M43,Q43)=2,M43/Q43,"n.d.")</f>
        <v>393179.01722314936</v>
      </c>
      <c r="S43" s="22">
        <f>IF(COUNT(N43,Q43)=2,N43/Q43,"n.d.")</f>
        <v>393179.01722314936</v>
      </c>
    </row>
    <row r="44" spans="1:20" ht="19" customHeight="1">
      <c r="A44" s="18" t="s">
        <v>38</v>
      </c>
      <c r="B44" s="18" t="s">
        <v>182</v>
      </c>
      <c r="C44" s="18" t="s">
        <v>14</v>
      </c>
      <c r="D44" s="18" t="s">
        <v>183</v>
      </c>
      <c r="E44" s="18" t="s">
        <v>51</v>
      </c>
      <c r="F44" s="22">
        <v>22015137.43999991</v>
      </c>
      <c r="G44" s="22">
        <v>9769166.46999998</v>
      </c>
      <c r="H44" s="22">
        <v>0</v>
      </c>
      <c r="I44" s="22">
        <v>193278.500000003</v>
      </c>
      <c r="J44" s="23" t="s">
        <v>39</v>
      </c>
      <c r="K44" s="23" t="s">
        <v>39</v>
      </c>
      <c r="L44" s="22">
        <f>IF(COUNT(G44,H44,I44)=3,SUM(G44,H44,I44),"n.d.")</f>
        <v>9962444.969999984</v>
      </c>
      <c r="M44" s="22">
        <f>P44</f>
        <v>12052692.469999924</v>
      </c>
      <c r="N44" s="22">
        <f>IF(COUNT(M44,H44)=2,M44+H44,"n.d.")</f>
        <v>12052692.469999924</v>
      </c>
      <c r="O44" s="22">
        <v>9962444.969999984</v>
      </c>
      <c r="P44" s="22">
        <v>12052692.46999992</v>
      </c>
      <c r="Q44" s="27">
        <f>IF(COUNTIFS('Taux'!$A$6:$A$20,A44,'Taux'!$B$6:$B$20,D44)=1,SUMIFS('Taux'!$D$6:$D$20,'Taux'!$A$6:$A$20,A44,'Taux'!$B$6:$B$20,D44),"n.d.")</f>
        <v>18.58943911</v>
      </c>
      <c r="R44" s="22">
        <f>IF(COUNT(M44,Q44)=2,M44/Q44,"n.d.")</f>
        <v>648362.3523378014</v>
      </c>
      <c r="S44" s="22">
        <f>IF(COUNT(N44,Q44)=2,N44/Q44,"n.d.")</f>
        <v>648362.3523378014</v>
      </c>
    </row>
    <row r="45" spans="1:20" ht="19" customHeight="1">
      <c r="A45" s="18" t="s">
        <v>5</v>
      </c>
      <c r="B45" s="18" t="s">
        <v>177</v>
      </c>
      <c r="C45" s="18" t="s">
        <v>9</v>
      </c>
      <c r="D45" s="18" t="s">
        <v>174</v>
      </c>
      <c r="E45" s="18" t="s">
        <v>49</v>
      </c>
      <c r="F45" s="22">
        <v>35597890</v>
      </c>
      <c r="G45" s="22">
        <v>35556336</v>
      </c>
      <c r="H45" s="22">
        <v>0</v>
      </c>
      <c r="I45" s="23" t="s">
        <v>39</v>
      </c>
      <c r="J45" s="22">
        <v>41555</v>
      </c>
      <c r="K45" s="23" t="s">
        <v>39</v>
      </c>
      <c r="L45" s="22">
        <f>IF(COUNT(G45,J45,H45)=3,SUM(G45,J45,H45),"n.d.")</f>
        <v>35597891.0</v>
      </c>
      <c r="M45" s="22">
        <f>P45</f>
        <v>0.0</v>
      </c>
      <c r="N45" s="22">
        <f>IF(COUNT(M45,J45)=2,M45+J45,"n.d.")</f>
        <v>41555.0</v>
      </c>
      <c r="O45" s="22">
        <v>35597890</v>
      </c>
      <c r="P45" s="22">
        <v>0</v>
      </c>
      <c r="Q45" s="27">
        <f>IF(COUNTIFS('Taux'!$A$6:$A$20,A45,'Taux'!$B$6:$B$20,D45)=1,SUMIFS('Taux'!$D$6:$D$20,'Taux'!$A$6:$A$20,A45,'Taux'!$B$6:$B$20,D45),"n.d.")</f>
        <v>1</v>
      </c>
      <c r="R45" s="22">
        <f>IF(COUNT(M45,Q45)=2,M45/Q45,"n.d.")</f>
        <v>0.0</v>
      </c>
      <c r="S45" s="22">
        <f>IF(COUNT(N45,Q45)=2,N45/Q45,"n.d.")</f>
        <v>41555.0</v>
      </c>
    </row>
    <row r="46" spans="1:20" ht="19" customHeight="1">
      <c r="A46" s="18" t="s">
        <v>5</v>
      </c>
      <c r="B46" s="18" t="s">
        <v>177</v>
      </c>
      <c r="C46" s="18" t="s">
        <v>9</v>
      </c>
      <c r="D46" s="18" t="s">
        <v>174</v>
      </c>
      <c r="E46" s="18" t="s">
        <v>50</v>
      </c>
      <c r="F46" s="22">
        <v>5799952</v>
      </c>
      <c r="G46" s="22">
        <v>5798562</v>
      </c>
      <c r="H46" s="22">
        <v>0</v>
      </c>
      <c r="I46" s="23" t="s">
        <v>39</v>
      </c>
      <c r="J46" s="22">
        <v>0</v>
      </c>
      <c r="K46" s="23" t="s">
        <v>39</v>
      </c>
      <c r="L46" s="22">
        <f>IF(COUNT(G46,J46,H46)=3,SUM(G46,J46,H46),"n.d.")</f>
        <v>5798562.0</v>
      </c>
      <c r="M46" s="22">
        <f>P46</f>
        <v>1390.0</v>
      </c>
      <c r="N46" s="22">
        <f>IF(COUNT(M46,J46)=2,M46+J46,"n.d.")</f>
        <v>1390.0</v>
      </c>
      <c r="O46" s="22">
        <v>5798562</v>
      </c>
      <c r="P46" s="22">
        <v>1390</v>
      </c>
      <c r="Q46" s="27">
        <f>IF(COUNTIFS('Taux'!$A$6:$A$20,A46,'Taux'!$B$6:$B$20,D46)=1,SUMIFS('Taux'!$D$6:$D$20,'Taux'!$A$6:$A$20,A46,'Taux'!$B$6:$B$20,D46),"n.d.")</f>
        <v>1</v>
      </c>
      <c r="R46" s="22">
        <f>IF(COUNT(M46,Q46)=2,M46/Q46,"n.d.")</f>
        <v>1390.0</v>
      </c>
      <c r="S46" s="22">
        <f>IF(COUNT(N46,Q46)=2,N46/Q46,"n.d.")</f>
        <v>1390.0</v>
      </c>
    </row>
    <row r="47" spans="1:20" ht="19" customHeight="1">
      <c r="A47" s="18" t="s">
        <v>5</v>
      </c>
      <c r="B47" s="18" t="s">
        <v>177</v>
      </c>
      <c r="C47" s="18" t="s">
        <v>9</v>
      </c>
      <c r="D47" s="18" t="s">
        <v>174</v>
      </c>
      <c r="E47" s="18" t="s">
        <v>51</v>
      </c>
      <c r="F47" s="22">
        <v>893826</v>
      </c>
      <c r="G47" s="22">
        <v>789171</v>
      </c>
      <c r="H47" s="22">
        <v>0</v>
      </c>
      <c r="I47" s="23" t="s">
        <v>39</v>
      </c>
      <c r="J47" s="22">
        <v>0</v>
      </c>
      <c r="K47" s="23" t="s">
        <v>39</v>
      </c>
      <c r="L47" s="22">
        <f>IF(COUNT(G47,J47,H47)=3,SUM(G47,J47,H47),"n.d.")</f>
        <v>789171.0</v>
      </c>
      <c r="M47" s="22">
        <f>P47</f>
        <v>104655.0</v>
      </c>
      <c r="N47" s="22">
        <f>IF(COUNT(M47,J47)=2,M47+J47,"n.d.")</f>
        <v>104655.0</v>
      </c>
      <c r="O47" s="22">
        <v>789171</v>
      </c>
      <c r="P47" s="22">
        <v>104655</v>
      </c>
      <c r="Q47" s="27">
        <f>IF(COUNTIFS('Taux'!$A$6:$A$20,A47,'Taux'!$B$6:$B$20,D47)=1,SUMIFS('Taux'!$D$6:$D$20,'Taux'!$A$6:$A$20,A47,'Taux'!$B$6:$B$20,D47),"n.d.")</f>
        <v>1</v>
      </c>
      <c r="R47" s="22">
        <f>IF(COUNT(M47,Q47)=2,M47/Q47,"n.d.")</f>
        <v>104655.0</v>
      </c>
      <c r="S47" s="22">
        <f>IF(COUNT(N47,Q47)=2,N47/Q47,"n.d.")</f>
        <v>104655.0</v>
      </c>
    </row>
    <row r="48" spans="1:20" ht="19" customHeight="1">
      <c r="A48" s="18" t="s">
        <v>5</v>
      </c>
      <c r="B48" s="18" t="s">
        <v>173</v>
      </c>
      <c r="C48" s="18" t="s">
        <v>7</v>
      </c>
      <c r="D48" s="18" t="s">
        <v>174</v>
      </c>
      <c r="E48" s="18" t="s">
        <v>49</v>
      </c>
      <c r="F48" s="22">
        <v>137446609</v>
      </c>
      <c r="G48" s="22">
        <v>55414344</v>
      </c>
      <c r="H48" s="22">
        <v>285655</v>
      </c>
      <c r="I48" s="22">
        <v>81748642</v>
      </c>
      <c r="J48" s="23" t="s">
        <v>39</v>
      </c>
      <c r="K48" s="23" t="s">
        <v>39</v>
      </c>
      <c r="L48" s="22">
        <f>IF(COUNT(G48,H48,I48)=3,SUM(G48,H48,I48),"n.d.")</f>
        <v>137448641.0</v>
      </c>
      <c r="M48" s="22">
        <f>P48</f>
        <v>-2032.0</v>
      </c>
      <c r="N48" s="22">
        <f>IF(COUNT(M48,H48)=2,M48+H48,"n.d.")</f>
        <v>283623.0</v>
      </c>
      <c r="O48" s="22">
        <v>137448641</v>
      </c>
      <c r="P48" s="22">
        <v>-2032</v>
      </c>
      <c r="Q48" s="27">
        <f>IF(COUNTIFS('Taux'!$A$6:$A$20,A48,'Taux'!$B$6:$B$20,D48)=1,SUMIFS('Taux'!$D$6:$D$20,'Taux'!$A$6:$A$20,A48,'Taux'!$B$6:$B$20,D48),"n.d.")</f>
        <v>1</v>
      </c>
      <c r="R48" s="22">
        <f>IF(COUNT(M48,Q48)=2,M48/Q48,"n.d.")</f>
        <v>-2032.0</v>
      </c>
      <c r="S48" s="22">
        <f>IF(COUNT(N48,Q48)=2,N48/Q48,"n.d.")</f>
        <v>283623.0</v>
      </c>
    </row>
    <row r="49" spans="1:20" ht="19" customHeight="1">
      <c r="A49" s="18" t="s">
        <v>5</v>
      </c>
      <c r="B49" s="18" t="s">
        <v>173</v>
      </c>
      <c r="C49" s="18" t="s">
        <v>7</v>
      </c>
      <c r="D49" s="18" t="s">
        <v>174</v>
      </c>
      <c r="E49" s="18" t="s">
        <v>50</v>
      </c>
      <c r="F49" s="22">
        <v>42179412</v>
      </c>
      <c r="G49" s="22">
        <v>15769045</v>
      </c>
      <c r="H49" s="22">
        <v>16089</v>
      </c>
      <c r="I49" s="22">
        <v>26379277</v>
      </c>
      <c r="J49" s="23" t="s">
        <v>39</v>
      </c>
      <c r="K49" s="23" t="s">
        <v>39</v>
      </c>
      <c r="L49" s="22">
        <f>IF(COUNT(G49,H49,I49)=3,SUM(G49,H49,I49),"n.d.")</f>
        <v>42164411.0</v>
      </c>
      <c r="M49" s="22">
        <f>P49</f>
        <v>15001.0</v>
      </c>
      <c r="N49" s="22">
        <f>IF(COUNT(M49,H49)=2,M49+H49,"n.d.")</f>
        <v>31090.0</v>
      </c>
      <c r="O49" s="22">
        <v>42164411</v>
      </c>
      <c r="P49" s="22">
        <v>15001</v>
      </c>
      <c r="Q49" s="27">
        <f>IF(COUNTIFS('Taux'!$A$6:$A$20,A49,'Taux'!$B$6:$B$20,D49)=1,SUMIFS('Taux'!$D$6:$D$20,'Taux'!$A$6:$A$20,A49,'Taux'!$B$6:$B$20,D49),"n.d.")</f>
        <v>1</v>
      </c>
      <c r="R49" s="22">
        <f>IF(COUNT(M49,Q49)=2,M49/Q49,"n.d.")</f>
        <v>15001.0</v>
      </c>
      <c r="S49" s="22">
        <f>IF(COUNT(N49,Q49)=2,N49/Q49,"n.d.")</f>
        <v>31090.0</v>
      </c>
    </row>
    <row r="50" spans="1:20" ht="19" customHeight="1">
      <c r="A50" s="18" t="s">
        <v>5</v>
      </c>
      <c r="B50" s="18" t="s">
        <v>173</v>
      </c>
      <c r="C50" s="18" t="s">
        <v>7</v>
      </c>
      <c r="D50" s="18" t="s">
        <v>174</v>
      </c>
      <c r="E50" s="18" t="s">
        <v>51</v>
      </c>
      <c r="F50" s="22">
        <v>30594590</v>
      </c>
      <c r="G50" s="22">
        <v>10593638</v>
      </c>
      <c r="H50" s="22">
        <v>11103</v>
      </c>
      <c r="I50" s="22">
        <v>18522500</v>
      </c>
      <c r="J50" s="23" t="s">
        <v>39</v>
      </c>
      <c r="K50" s="23" t="s">
        <v>39</v>
      </c>
      <c r="L50" s="22">
        <f>IF(COUNT(G50,H50,I50)=3,SUM(G50,H50,I50),"n.d.")</f>
        <v>29127241.0</v>
      </c>
      <c r="M50" s="22">
        <f>P50</f>
        <v>1467349.0</v>
      </c>
      <c r="N50" s="22">
        <f>IF(COUNT(M50,H50)=2,M50+H50,"n.d.")</f>
        <v>1478452.0</v>
      </c>
      <c r="O50" s="22">
        <v>29127240</v>
      </c>
      <c r="P50" s="22">
        <v>1467349</v>
      </c>
      <c r="Q50" s="27">
        <f>IF(COUNTIFS('Taux'!$A$6:$A$20,A50,'Taux'!$B$6:$B$20,D50)=1,SUMIFS('Taux'!$D$6:$D$20,'Taux'!$A$6:$A$20,A50,'Taux'!$B$6:$B$20,D50),"n.d.")</f>
        <v>1</v>
      </c>
      <c r="R50" s="22">
        <f>IF(COUNT(M50,Q50)=2,M50/Q50,"n.d.")</f>
        <v>1467349.0</v>
      </c>
      <c r="S50" s="22">
        <f>IF(COUNT(N50,Q50)=2,N50/Q50,"n.d.")</f>
        <v>1478452.0</v>
      </c>
    </row>
    <row r="51" spans="1:20" ht="19" customHeight="1">
      <c r="A51" s="18" t="s">
        <v>5</v>
      </c>
      <c r="B51" s="18" t="s">
        <v>178</v>
      </c>
      <c r="C51" s="18" t="s">
        <v>10</v>
      </c>
      <c r="D51" s="18" t="s">
        <v>174</v>
      </c>
      <c r="E51" s="18" t="s">
        <v>49</v>
      </c>
      <c r="F51" s="22">
        <v>116775257</v>
      </c>
      <c r="G51" s="22">
        <v>115014042</v>
      </c>
      <c r="H51" s="22">
        <v>1761215</v>
      </c>
      <c r="I51" s="22">
        <v>0</v>
      </c>
      <c r="J51" s="23" t="s">
        <v>39</v>
      </c>
      <c r="K51" s="23" t="s">
        <v>39</v>
      </c>
      <c r="L51" s="22">
        <f>IF(COUNT(G51,H51,I51)=3,SUM(G51,H51,I51),"n.d.")</f>
        <v>116775257.0</v>
      </c>
      <c r="M51" s="22">
        <f>P51</f>
        <v>0.0</v>
      </c>
      <c r="N51" s="22">
        <f>IF(COUNT(M51,H51)=2,M51+H51,"n.d.")</f>
        <v>1761215.0</v>
      </c>
      <c r="O51" s="22">
        <v>116775257</v>
      </c>
      <c r="P51" s="22">
        <v>0</v>
      </c>
      <c r="Q51" s="27">
        <f>IF(COUNTIFS('Taux'!$A$6:$A$20,A51,'Taux'!$B$6:$B$20,D51)=1,SUMIFS('Taux'!$D$6:$D$20,'Taux'!$A$6:$A$20,A51,'Taux'!$B$6:$B$20,D51),"n.d.")</f>
        <v>1</v>
      </c>
      <c r="R51" s="22">
        <f>IF(COUNT(M51,Q51)=2,M51/Q51,"n.d.")</f>
        <v>0.0</v>
      </c>
      <c r="S51" s="22">
        <f>IF(COUNT(N51,Q51)=2,N51/Q51,"n.d.")</f>
        <v>1761215.0</v>
      </c>
    </row>
    <row r="52" spans="1:20" ht="19" customHeight="1">
      <c r="A52" s="18" t="s">
        <v>5</v>
      </c>
      <c r="B52" s="18" t="s">
        <v>178</v>
      </c>
      <c r="C52" s="18" t="s">
        <v>10</v>
      </c>
      <c r="D52" s="18" t="s">
        <v>174</v>
      </c>
      <c r="E52" s="18" t="s">
        <v>50</v>
      </c>
      <c r="F52" s="22">
        <v>12759393</v>
      </c>
      <c r="G52" s="22">
        <v>12420075</v>
      </c>
      <c r="H52" s="22">
        <v>206237</v>
      </c>
      <c r="I52" s="22">
        <v>0</v>
      </c>
      <c r="J52" s="23" t="s">
        <v>39</v>
      </c>
      <c r="K52" s="23" t="s">
        <v>39</v>
      </c>
      <c r="L52" s="22">
        <f>IF(COUNT(G52,H52,I52)=3,SUM(G52,H52,I52),"n.d.")</f>
        <v>12626312.0</v>
      </c>
      <c r="M52" s="22">
        <f>P52</f>
        <v>133081.0</v>
      </c>
      <c r="N52" s="22">
        <f>IF(COUNT(M52,H52)=2,M52+H52,"n.d.")</f>
        <v>339318.0</v>
      </c>
      <c r="O52" s="22">
        <v>12626312</v>
      </c>
      <c r="P52" s="22">
        <v>133081</v>
      </c>
      <c r="Q52" s="27">
        <f>IF(COUNTIFS('Taux'!$A$6:$A$20,A52,'Taux'!$B$6:$B$20,D52)=1,SUMIFS('Taux'!$D$6:$D$20,'Taux'!$A$6:$A$20,A52,'Taux'!$B$6:$B$20,D52),"n.d.")</f>
        <v>1</v>
      </c>
      <c r="R52" s="22">
        <f>IF(COUNT(M52,Q52)=2,M52/Q52,"n.d.")</f>
        <v>133081.0</v>
      </c>
      <c r="S52" s="22">
        <f>IF(COUNT(N52,Q52)=2,N52/Q52,"n.d.")</f>
        <v>339318.0</v>
      </c>
    </row>
    <row r="53" spans="1:20" ht="19" customHeight="1">
      <c r="A53" s="18" t="s">
        <v>5</v>
      </c>
      <c r="B53" s="18" t="s">
        <v>178</v>
      </c>
      <c r="C53" s="18" t="s">
        <v>10</v>
      </c>
      <c r="D53" s="18" t="s">
        <v>174</v>
      </c>
      <c r="E53" s="18" t="s">
        <v>51</v>
      </c>
      <c r="F53" s="22">
        <v>9631077</v>
      </c>
      <c r="G53" s="22">
        <v>8297208</v>
      </c>
      <c r="H53" s="22">
        <v>266604</v>
      </c>
      <c r="I53" s="22">
        <v>0</v>
      </c>
      <c r="J53" s="23" t="s">
        <v>39</v>
      </c>
      <c r="K53" s="23" t="s">
        <v>39</v>
      </c>
      <c r="L53" s="22">
        <f>IF(COUNT(G53,H53,I53)=3,SUM(G53,H53,I53),"n.d.")</f>
        <v>8563812.0</v>
      </c>
      <c r="M53" s="22">
        <f>P53</f>
        <v>1067265.0</v>
      </c>
      <c r="N53" s="22">
        <f>IF(COUNT(M53,H53)=2,M53+H53,"n.d.")</f>
        <v>1333869.0</v>
      </c>
      <c r="O53" s="22">
        <v>8563812</v>
      </c>
      <c r="P53" s="22">
        <v>1067265</v>
      </c>
      <c r="Q53" s="27">
        <f>IF(COUNTIFS('Taux'!$A$6:$A$20,A53,'Taux'!$B$6:$B$20,D53)=1,SUMIFS('Taux'!$D$6:$D$20,'Taux'!$A$6:$A$20,A53,'Taux'!$B$6:$B$20,D53),"n.d.")</f>
        <v>1</v>
      </c>
      <c r="R53" s="22">
        <f>IF(COUNT(M53,Q53)=2,M53/Q53,"n.d.")</f>
        <v>1067265.0</v>
      </c>
      <c r="S53" s="22">
        <f>IF(COUNT(N53,Q53)=2,N53/Q53,"n.d.")</f>
        <v>1333869.0</v>
      </c>
    </row>
    <row r="54" spans="1:20" ht="19" customHeight="1">
      <c r="A54" s="18" t="s">
        <v>5</v>
      </c>
      <c r="B54" s="18" t="s">
        <v>179</v>
      </c>
      <c r="C54" s="18" t="s">
        <v>11</v>
      </c>
      <c r="D54" s="18" t="s">
        <v>174</v>
      </c>
      <c r="E54" s="18" t="s">
        <v>49</v>
      </c>
      <c r="F54" s="22">
        <v>1979499</v>
      </c>
      <c r="G54" s="22">
        <v>230893</v>
      </c>
      <c r="H54" s="22">
        <v>17364</v>
      </c>
      <c r="I54" s="22">
        <v>1740614</v>
      </c>
      <c r="J54" s="23" t="s">
        <v>39</v>
      </c>
      <c r="K54" s="23" t="s">
        <v>39</v>
      </c>
      <c r="L54" s="22">
        <f>IF(COUNT(G54,H54,I54)=3,SUM(G54,H54,I54),"n.d.")</f>
        <v>1988871.0</v>
      </c>
      <c r="M54" s="22">
        <f>P54</f>
        <v>-9373.0</v>
      </c>
      <c r="N54" s="22">
        <f>IF(COUNT(M54,H54)=2,M54+H54,"n.d.")</f>
        <v>7991.0</v>
      </c>
      <c r="O54" s="22">
        <v>1988872</v>
      </c>
      <c r="P54" s="22">
        <v>-9373</v>
      </c>
      <c r="Q54" s="27">
        <f>IF(COUNTIFS('Taux'!$A$6:$A$20,A54,'Taux'!$B$6:$B$20,D54)=1,SUMIFS('Taux'!$D$6:$D$20,'Taux'!$A$6:$A$20,A54,'Taux'!$B$6:$B$20,D54),"n.d.")</f>
        <v>1</v>
      </c>
      <c r="R54" s="22">
        <f>IF(COUNT(M54,Q54)=2,M54/Q54,"n.d.")</f>
        <v>-9373.0</v>
      </c>
      <c r="S54" s="22">
        <f>IF(COUNT(N54,Q54)=2,N54/Q54,"n.d.")</f>
        <v>7991.0</v>
      </c>
    </row>
    <row r="55" spans="1:20" ht="19" customHeight="1">
      <c r="A55" s="18" t="s">
        <v>5</v>
      </c>
      <c r="B55" s="18" t="s">
        <v>179</v>
      </c>
      <c r="C55" s="18" t="s">
        <v>11</v>
      </c>
      <c r="D55" s="18" t="s">
        <v>174</v>
      </c>
      <c r="E55" s="18" t="s">
        <v>50</v>
      </c>
      <c r="F55" s="22">
        <v>15874670</v>
      </c>
      <c r="G55" s="22">
        <v>2826091</v>
      </c>
      <c r="H55" s="22">
        <v>16585</v>
      </c>
      <c r="I55" s="22">
        <v>12984476</v>
      </c>
      <c r="J55" s="23" t="s">
        <v>39</v>
      </c>
      <c r="K55" s="23" t="s">
        <v>39</v>
      </c>
      <c r="L55" s="22">
        <f>IF(COUNT(G55,H55,I55)=3,SUM(G55,H55,I55),"n.d.")</f>
        <v>15827152.0</v>
      </c>
      <c r="M55" s="22">
        <f>P55</f>
        <v>47517.0</v>
      </c>
      <c r="N55" s="22">
        <f>IF(COUNT(M55,H55)=2,M55+H55,"n.d.")</f>
        <v>64102.0</v>
      </c>
      <c r="O55" s="22">
        <v>15827152</v>
      </c>
      <c r="P55" s="22">
        <v>47517</v>
      </c>
      <c r="Q55" s="27">
        <f>IF(COUNTIFS('Taux'!$A$6:$A$20,A55,'Taux'!$B$6:$B$20,D55)=1,SUMIFS('Taux'!$D$6:$D$20,'Taux'!$A$6:$A$20,A55,'Taux'!$B$6:$B$20,D55),"n.d.")</f>
        <v>1</v>
      </c>
      <c r="R55" s="22">
        <f>IF(COUNT(M55,Q55)=2,M55/Q55,"n.d.")</f>
        <v>47517.0</v>
      </c>
      <c r="S55" s="22">
        <f>IF(COUNT(N55,Q55)=2,N55/Q55,"n.d.")</f>
        <v>64102.0</v>
      </c>
    </row>
    <row r="56" spans="1:20" ht="19" customHeight="1">
      <c r="A56" s="18" t="s">
        <v>5</v>
      </c>
      <c r="B56" s="18" t="s">
        <v>179</v>
      </c>
      <c r="C56" s="18" t="s">
        <v>11</v>
      </c>
      <c r="D56" s="18" t="s">
        <v>174</v>
      </c>
      <c r="E56" s="18" t="s">
        <v>51</v>
      </c>
      <c r="F56" s="22">
        <v>14607616</v>
      </c>
      <c r="G56" s="22">
        <v>5075468</v>
      </c>
      <c r="H56" s="22">
        <v>31511</v>
      </c>
      <c r="I56" s="22">
        <v>8996648</v>
      </c>
      <c r="J56" s="23" t="s">
        <v>39</v>
      </c>
      <c r="K56" s="23" t="s">
        <v>39</v>
      </c>
      <c r="L56" s="22">
        <f>IF(COUNT(G56,H56,I56)=3,SUM(G56,H56,I56),"n.d.")</f>
        <v>14103627.0</v>
      </c>
      <c r="M56" s="22">
        <f>P56</f>
        <v>503988.0</v>
      </c>
      <c r="N56" s="22">
        <f>IF(COUNT(M56,H56)=2,M56+H56,"n.d.")</f>
        <v>535499.0</v>
      </c>
      <c r="O56" s="22">
        <v>14103627</v>
      </c>
      <c r="P56" s="22">
        <v>503988</v>
      </c>
      <c r="Q56" s="27">
        <f>IF(COUNTIFS('Taux'!$A$6:$A$20,A56,'Taux'!$B$6:$B$20,D56)=1,SUMIFS('Taux'!$D$6:$D$20,'Taux'!$A$6:$A$20,A56,'Taux'!$B$6:$B$20,D56),"n.d.")</f>
        <v>1</v>
      </c>
      <c r="R56" s="22">
        <f>IF(COUNT(M56,Q56)=2,M56/Q56,"n.d.")</f>
        <v>503988.0</v>
      </c>
      <c r="S56" s="22">
        <f>IF(COUNT(N56,Q56)=2,N56/Q56,"n.d.")</f>
        <v>535499.0</v>
      </c>
    </row>
    <row r="57" spans="1:20" ht="19" customHeight="1">
      <c r="A57" s="18" t="s">
        <v>5</v>
      </c>
      <c r="B57" s="18" t="s">
        <v>13</v>
      </c>
      <c r="C57" s="18" t="s">
        <v>13</v>
      </c>
      <c r="D57" s="18" t="s">
        <v>181</v>
      </c>
      <c r="E57" s="18" t="s">
        <v>49</v>
      </c>
      <c r="F57" s="22">
        <v>1921923</v>
      </c>
      <c r="G57" s="22">
        <v>217007</v>
      </c>
      <c r="H57" s="22">
        <v>1495177</v>
      </c>
      <c r="I57" s="22">
        <v>209412</v>
      </c>
      <c r="J57" s="23" t="s">
        <v>39</v>
      </c>
      <c r="K57" s="23" t="s">
        <v>39</v>
      </c>
      <c r="L57" s="22">
        <f>IF(COUNT(G57,H57,I57)=3,SUM(G57,H57,I57),"n.d.")</f>
        <v>1921596.0</v>
      </c>
      <c r="M57" s="22">
        <f>P57</f>
        <v>326.0</v>
      </c>
      <c r="N57" s="22">
        <f>IF(COUNT(M57,H57)=2,M57+H57,"n.d.")</f>
        <v>1495503.0</v>
      </c>
      <c r="O57" s="22">
        <v>1921597</v>
      </c>
      <c r="P57" s="22">
        <v>326</v>
      </c>
      <c r="Q57" s="27">
        <f>IF(COUNTIFS('Taux'!$A$6:$A$20,A57,'Taux'!$B$6:$B$20,D57)=1,SUMIFS('Taux'!$D$6:$D$20,'Taux'!$A$6:$A$20,A57,'Taux'!$B$6:$B$20,D57),"n.d.")</f>
        <v>0.85443381</v>
      </c>
      <c r="R57" s="22">
        <f>IF(COUNT(M57,Q57)=2,M57/Q57,"n.d.")</f>
        <v>381.5392089879964</v>
      </c>
      <c r="S57" s="22">
        <f>IF(COUNT(N57,Q57)=2,N57/Q57,"n.d.")</f>
        <v>1750285.3731876551</v>
      </c>
    </row>
    <row r="58" spans="1:20" ht="19" customHeight="1">
      <c r="A58" s="18" t="s">
        <v>5</v>
      </c>
      <c r="B58" s="18" t="s">
        <v>13</v>
      </c>
      <c r="C58" s="18" t="s">
        <v>13</v>
      </c>
      <c r="D58" s="18" t="s">
        <v>181</v>
      </c>
      <c r="E58" s="18" t="s">
        <v>50</v>
      </c>
      <c r="F58" s="22">
        <v>1318194</v>
      </c>
      <c r="G58" s="22">
        <v>641750</v>
      </c>
      <c r="H58" s="22">
        <v>586481</v>
      </c>
      <c r="I58" s="22">
        <v>49941</v>
      </c>
      <c r="J58" s="23" t="s">
        <v>39</v>
      </c>
      <c r="K58" s="23" t="s">
        <v>39</v>
      </c>
      <c r="L58" s="22">
        <f>IF(COUNT(G58,H58,I58)=3,SUM(G58,H58,I58),"n.d.")</f>
        <v>1278172.0</v>
      </c>
      <c r="M58" s="22">
        <f>P58</f>
        <v>40022.0</v>
      </c>
      <c r="N58" s="22">
        <f>IF(COUNT(M58,H58)=2,M58+H58,"n.d.")</f>
        <v>626503.0</v>
      </c>
      <c r="O58" s="22">
        <v>1278173</v>
      </c>
      <c r="P58" s="22">
        <v>40022</v>
      </c>
      <c r="Q58" s="27">
        <f>IF(COUNTIFS('Taux'!$A$6:$A$20,A58,'Taux'!$B$6:$B$20,D58)=1,SUMIFS('Taux'!$D$6:$D$20,'Taux'!$A$6:$A$20,A58,'Taux'!$B$6:$B$20,D58),"n.d.")</f>
        <v>0.85443381</v>
      </c>
      <c r="R58" s="22">
        <f>IF(COUNT(M58,Q58)=2,M58/Q58,"n.d.")</f>
        <v>46840.37491447114</v>
      </c>
      <c r="S58" s="22">
        <f>IF(COUNT(N58,Q58)=2,N58/Q58,"n.d.")</f>
        <v>733237.6044435789</v>
      </c>
    </row>
    <row r="59" spans="1:20" ht="19" customHeight="1">
      <c r="A59" s="18" t="s">
        <v>5</v>
      </c>
      <c r="B59" s="18" t="s">
        <v>13</v>
      </c>
      <c r="C59" s="18" t="s">
        <v>13</v>
      </c>
      <c r="D59" s="18" t="s">
        <v>181</v>
      </c>
      <c r="E59" s="18" t="s">
        <v>51</v>
      </c>
      <c r="F59" s="22">
        <v>1701435</v>
      </c>
      <c r="G59" s="22">
        <v>802363</v>
      </c>
      <c r="H59" s="22">
        <v>28939</v>
      </c>
      <c r="I59" s="22">
        <v>44304</v>
      </c>
      <c r="J59" s="23" t="s">
        <v>39</v>
      </c>
      <c r="K59" s="23" t="s">
        <v>39</v>
      </c>
      <c r="L59" s="22">
        <f>IF(COUNT(G59,H59,I59)=3,SUM(G59,H59,I59),"n.d.")</f>
        <v>875606.0</v>
      </c>
      <c r="M59" s="22">
        <f>P59</f>
        <v>825829.0</v>
      </c>
      <c r="N59" s="22">
        <f>IF(COUNT(M59,H59)=2,M59+H59,"n.d.")</f>
        <v>854768.0</v>
      </c>
      <c r="O59" s="22">
        <v>875606</v>
      </c>
      <c r="P59" s="22">
        <v>825829</v>
      </c>
      <c r="Q59" s="27">
        <f>IF(COUNTIFS('Taux'!$A$6:$A$20,A59,'Taux'!$B$6:$B$20,D59)=1,SUMIFS('Taux'!$D$6:$D$20,'Taux'!$A$6:$A$20,A59,'Taux'!$B$6:$B$20,D59),"n.d.")</f>
        <v>0.85443381</v>
      </c>
      <c r="R59" s="22">
        <f>IF(COUNT(M59,Q59)=2,M59/Q59,"n.d.")</f>
        <v>966521.9123292885</v>
      </c>
      <c r="S59" s="22">
        <f>IF(COUNT(N59,Q59)=2,N59/Q59,"n.d.")</f>
        <v>1000391.1245038396</v>
      </c>
    </row>
    <row r="60" spans="1:20" ht="19" customHeight="1">
      <c r="A60" s="18" t="s">
        <v>5</v>
      </c>
      <c r="B60" s="18" t="s">
        <v>187</v>
      </c>
      <c r="C60" s="18" t="s">
        <v>17</v>
      </c>
      <c r="D60" s="18" t="s">
        <v>188</v>
      </c>
      <c r="E60" s="18" t="s">
        <v>221</v>
      </c>
      <c r="F60" s="22">
        <v>1360.75</v>
      </c>
      <c r="G60" s="22">
        <v>1100.43</v>
      </c>
      <c r="H60" s="23" t="s">
        <v>39</v>
      </c>
      <c r="I60" s="23" t="s">
        <v>39</v>
      </c>
      <c r="J60" s="22">
        <v>0</v>
      </c>
      <c r="K60" s="22">
        <v>260.32</v>
      </c>
      <c r="L60" s="22">
        <f>IF(COUNT(G60,J60,K60)=3,SUM(G60,J60,K60),"n.d.")</f>
        <v>1360.75</v>
      </c>
      <c r="M60" s="22">
        <f>P60</f>
        <v>0</v>
      </c>
      <c r="N60" s="22">
        <f>IF(COUNT(M60)=1,M60,"n.d.")</f>
        <v>0</v>
      </c>
      <c r="O60" s="22">
        <v>1360.75</v>
      </c>
      <c r="P60" s="22">
        <v>0</v>
      </c>
      <c r="Q60" s="27">
        <f>IF(COUNTIFS('Taux'!$A$6:$A$20,A60,'Taux'!$B$6:$B$20,D60)=1,SUMIFS('Taux'!$D$6:$D$20,'Taux'!$A$6:$A$20,A60,'Taux'!$B$6:$B$20,D60),"n.d.")</f>
        <v>7.47595715</v>
      </c>
      <c r="R60" s="22">
        <f>IF(COUNT(M60,Q60)=2,M60/Q60,"n.d.")</f>
        <v>0.0</v>
      </c>
      <c r="S60" s="22">
        <f>IF(COUNT(N60,Q60)=2,N60/Q60,"n.d.")</f>
        <v>0.0</v>
      </c>
    </row>
    <row r="61" spans="1:20" ht="19" customHeight="1">
      <c r="A61" s="18" t="s">
        <v>5</v>
      </c>
      <c r="B61" s="18" t="s">
        <v>187</v>
      </c>
      <c r="C61" s="18" t="s">
        <v>17</v>
      </c>
      <c r="D61" s="18" t="s">
        <v>188</v>
      </c>
      <c r="E61" s="18" t="s">
        <v>80</v>
      </c>
      <c r="F61" s="22">
        <v>707.71</v>
      </c>
      <c r="G61" s="22">
        <v>707.71</v>
      </c>
      <c r="H61" s="23" t="s">
        <v>39</v>
      </c>
      <c r="I61" s="23" t="s">
        <v>39</v>
      </c>
      <c r="J61" s="22">
        <v>0</v>
      </c>
      <c r="K61" s="22">
        <v>0</v>
      </c>
      <c r="L61" s="22">
        <f>IF(COUNT(G61,J61,K61)=3,SUM(G61,J61,K61),"n.d.")</f>
        <v>707.71</v>
      </c>
      <c r="M61" s="22">
        <f>P61</f>
        <v>0</v>
      </c>
      <c r="N61" s="22">
        <f>IF(COUNT(M61)=1,M61,"n.d.")</f>
        <v>0</v>
      </c>
      <c r="O61" s="22">
        <v>707.71</v>
      </c>
      <c r="P61" s="22">
        <v>0</v>
      </c>
      <c r="Q61" s="27">
        <f>IF(COUNTIFS('Taux'!$A$6:$A$20,A61,'Taux'!$B$6:$B$20,D61)=1,SUMIFS('Taux'!$D$6:$D$20,'Taux'!$A$6:$A$20,A61,'Taux'!$B$6:$B$20,D61),"n.d.")</f>
        <v>7.47595715</v>
      </c>
      <c r="R61" s="22">
        <f>IF(COUNT(M61,Q61)=2,M61/Q61,"n.d.")</f>
        <v>0.0</v>
      </c>
      <c r="S61" s="22">
        <f>IF(COUNT(N61,Q61)=2,N61/Q61,"n.d.")</f>
        <v>0.0</v>
      </c>
    </row>
    <row r="62" spans="1:20" ht="19" customHeight="1">
      <c r="A62" s="18" t="s">
        <v>5</v>
      </c>
      <c r="B62" s="18" t="s">
        <v>187</v>
      </c>
      <c r="C62" s="18" t="s">
        <v>17</v>
      </c>
      <c r="D62" s="18" t="s">
        <v>188</v>
      </c>
      <c r="E62" s="18" t="s">
        <v>50</v>
      </c>
      <c r="F62" s="22">
        <v>979562.14</v>
      </c>
      <c r="G62" s="22">
        <v>916209.2199999997</v>
      </c>
      <c r="H62" s="23" t="s">
        <v>39</v>
      </c>
      <c r="I62" s="23" t="s">
        <v>39</v>
      </c>
      <c r="J62" s="22">
        <v>0</v>
      </c>
      <c r="K62" s="22">
        <v>63352.92000000001</v>
      </c>
      <c r="L62" s="22">
        <f>IF(COUNT(G62,J62,K62)=3,SUM(G62,J62,K62),"n.d.")</f>
        <v>979562.1399999998</v>
      </c>
      <c r="M62" s="22">
        <f>P62</f>
        <v>0</v>
      </c>
      <c r="N62" s="22">
        <f>IF(COUNT(M62)=1,M62,"n.d.")</f>
        <v>0</v>
      </c>
      <c r="O62" s="22">
        <v>979562.1399999998</v>
      </c>
      <c r="P62" s="22">
        <v>0</v>
      </c>
      <c r="Q62" s="27">
        <f>IF(COUNTIFS('Taux'!$A$6:$A$20,A62,'Taux'!$B$6:$B$20,D62)=1,SUMIFS('Taux'!$D$6:$D$20,'Taux'!$A$6:$A$20,A62,'Taux'!$B$6:$B$20,D62),"n.d.")</f>
        <v>7.47595715</v>
      </c>
      <c r="R62" s="22">
        <f>IF(COUNT(M62,Q62)=2,M62/Q62,"n.d.")</f>
        <v>0.0</v>
      </c>
      <c r="S62" s="22">
        <f>IF(COUNT(N62,Q62)=2,N62/Q62,"n.d.")</f>
        <v>0.0</v>
      </c>
    </row>
    <row r="63" spans="1:20" ht="19" customHeight="1">
      <c r="A63" s="18" t="s">
        <v>5</v>
      </c>
      <c r="B63" s="18" t="s">
        <v>187</v>
      </c>
      <c r="C63" s="18" t="s">
        <v>17</v>
      </c>
      <c r="D63" s="18" t="s">
        <v>188</v>
      </c>
      <c r="E63" s="18" t="s">
        <v>51</v>
      </c>
      <c r="F63" s="22">
        <v>1079874.72</v>
      </c>
      <c r="G63" s="22">
        <v>787924.5800000007</v>
      </c>
      <c r="H63" s="23" t="s">
        <v>39</v>
      </c>
      <c r="I63" s="23" t="s">
        <v>39</v>
      </c>
      <c r="J63" s="22">
        <v>0</v>
      </c>
      <c r="K63" s="22">
        <v>275783.4300000001</v>
      </c>
      <c r="L63" s="22">
        <f>IF(COUNT(G63,J63,K63)=3,SUM(G63,J63,K63),"n.d.")</f>
        <v>1063708.0100000007</v>
      </c>
      <c r="M63" s="22">
        <f>P63</f>
        <v>16166.709999999264</v>
      </c>
      <c r="N63" s="22">
        <f>IF(COUNT(M63)=1,M63,"n.d.")</f>
        <v>16166.709999999264</v>
      </c>
      <c r="O63" s="22">
        <v>1063708.010000001</v>
      </c>
      <c r="P63" s="22">
        <v>16166.70999999926</v>
      </c>
      <c r="Q63" s="27">
        <f>IF(COUNTIFS('Taux'!$A$6:$A$20,A63,'Taux'!$B$6:$B$20,D63)=1,SUMIFS('Taux'!$D$6:$D$20,'Taux'!$A$6:$A$20,A63,'Taux'!$B$6:$B$20,D63),"n.d.")</f>
        <v>7.47595715</v>
      </c>
      <c r="R63" s="22">
        <f>IF(COUNT(M63,Q63)=2,M63/Q63,"n.d.")</f>
        <v>2162.4936681183713</v>
      </c>
      <c r="S63" s="22">
        <f>IF(COUNT(N63,Q63)=2,N63/Q63,"n.d.")</f>
        <v>2162.4936681183713</v>
      </c>
    </row>
    <row r="64" spans="1:20" ht="19" customHeight="1">
      <c r="A64" s="18" t="s">
        <v>5</v>
      </c>
      <c r="B64" s="18" t="s">
        <v>189</v>
      </c>
      <c r="C64" s="18" t="s">
        <v>18</v>
      </c>
      <c r="D64" s="18" t="s">
        <v>190</v>
      </c>
      <c r="E64" s="18" t="s">
        <v>221</v>
      </c>
      <c r="F64" s="22">
        <v>0</v>
      </c>
      <c r="G64" s="22">
        <v>0</v>
      </c>
      <c r="H64" s="23" t="s">
        <v>39</v>
      </c>
      <c r="I64" s="23" t="s">
        <v>39</v>
      </c>
      <c r="J64" s="22">
        <v>0</v>
      </c>
      <c r="K64" s="22">
        <v>0</v>
      </c>
      <c r="L64" s="22">
        <f>IF(COUNT(G64,J64,K64)=3,SUM(G64,J64,K64),"n.d.")</f>
        <v>0</v>
      </c>
      <c r="M64" s="22">
        <f>P64</f>
        <v>0</v>
      </c>
      <c r="N64" s="22">
        <f>IF(COUNT(M64)=1,M64,"n.d.")</f>
        <v>0</v>
      </c>
      <c r="O64" s="22">
        <v>0</v>
      </c>
      <c r="P64" s="22">
        <v>0</v>
      </c>
      <c r="Q64" s="27">
        <f>IF(COUNTIFS('Taux'!$A$6:$A$20,A64,'Taux'!$B$6:$B$20,D64)=1,SUMIFS('Taux'!$D$6:$D$20,'Taux'!$A$6:$A$20,A64,'Taux'!$B$6:$B$20,D64),"n.d.")</f>
        <v>10.90384939</v>
      </c>
      <c r="R64" s="22">
        <f>IF(COUNT(M64,Q64)=2,M64/Q64,"n.d.")</f>
        <v>0.0</v>
      </c>
      <c r="S64" s="22">
        <f>IF(COUNT(N64,Q64)=2,N64/Q64,"n.d.")</f>
        <v>0.0</v>
      </c>
    </row>
    <row r="65" spans="1:20" ht="19" customHeight="1">
      <c r="A65" s="18" t="s">
        <v>5</v>
      </c>
      <c r="B65" s="18" t="s">
        <v>189</v>
      </c>
      <c r="C65" s="18" t="s">
        <v>18</v>
      </c>
      <c r="D65" s="18" t="s">
        <v>190</v>
      </c>
      <c r="E65" s="18" t="s">
        <v>80</v>
      </c>
      <c r="F65" s="22">
        <v>19392.95</v>
      </c>
      <c r="G65" s="22">
        <v>18849.71</v>
      </c>
      <c r="H65" s="23" t="s">
        <v>39</v>
      </c>
      <c r="I65" s="23" t="s">
        <v>39</v>
      </c>
      <c r="J65" s="22">
        <v>0</v>
      </c>
      <c r="K65" s="22">
        <v>543.24</v>
      </c>
      <c r="L65" s="22">
        <f>IF(COUNT(G65,J65,K65)=3,SUM(G65,J65,K65),"n.d.")</f>
        <v>19392.95</v>
      </c>
      <c r="M65" s="22">
        <f>P65</f>
        <v>0</v>
      </c>
      <c r="N65" s="22">
        <f>IF(COUNT(M65)=1,M65,"n.d.")</f>
        <v>0</v>
      </c>
      <c r="O65" s="22">
        <v>19392.95</v>
      </c>
      <c r="P65" s="22">
        <v>0</v>
      </c>
      <c r="Q65" s="27">
        <f>IF(COUNTIFS('Taux'!$A$6:$A$20,A65,'Taux'!$B$6:$B$20,D65)=1,SUMIFS('Taux'!$D$6:$D$20,'Taux'!$A$6:$A$20,A65,'Taux'!$B$6:$B$20,D65),"n.d.")</f>
        <v>10.90384939</v>
      </c>
      <c r="R65" s="22">
        <f>IF(COUNT(M65,Q65)=2,M65/Q65,"n.d.")</f>
        <v>0.0</v>
      </c>
      <c r="S65" s="22">
        <f>IF(COUNT(N65,Q65)=2,N65/Q65,"n.d.")</f>
        <v>0.0</v>
      </c>
    </row>
    <row r="66" spans="1:20" ht="19" customHeight="1">
      <c r="A66" s="18" t="s">
        <v>5</v>
      </c>
      <c r="B66" s="18" t="s">
        <v>189</v>
      </c>
      <c r="C66" s="18" t="s">
        <v>18</v>
      </c>
      <c r="D66" s="18" t="s">
        <v>190</v>
      </c>
      <c r="E66" s="18" t="s">
        <v>50</v>
      </c>
      <c r="F66" s="22">
        <v>1208230.41</v>
      </c>
      <c r="G66" s="22">
        <v>422096.93</v>
      </c>
      <c r="H66" s="23" t="s">
        <v>39</v>
      </c>
      <c r="I66" s="23" t="s">
        <v>39</v>
      </c>
      <c r="J66" s="22">
        <v>0</v>
      </c>
      <c r="K66" s="22">
        <v>786133.4799999997</v>
      </c>
      <c r="L66" s="22">
        <f>IF(COUNT(G66,J66,K66)=3,SUM(G66,J66,K66),"n.d.")</f>
        <v>1208230.4099999997</v>
      </c>
      <c r="M66" s="22">
        <f>P66</f>
        <v>0</v>
      </c>
      <c r="N66" s="22">
        <f>IF(COUNT(M66)=1,M66,"n.d.")</f>
        <v>0</v>
      </c>
      <c r="O66" s="22">
        <v>1208230.41</v>
      </c>
      <c r="P66" s="22">
        <v>0</v>
      </c>
      <c r="Q66" s="27">
        <f>IF(COUNTIFS('Taux'!$A$6:$A$20,A66,'Taux'!$B$6:$B$20,D66)=1,SUMIFS('Taux'!$D$6:$D$20,'Taux'!$A$6:$A$20,A66,'Taux'!$B$6:$B$20,D66),"n.d.")</f>
        <v>10.90384939</v>
      </c>
      <c r="R66" s="22">
        <f>IF(COUNT(M66,Q66)=2,M66/Q66,"n.d.")</f>
        <v>0.0</v>
      </c>
      <c r="S66" s="22">
        <f>IF(COUNT(N66,Q66)=2,N66/Q66,"n.d.")</f>
        <v>0.0</v>
      </c>
    </row>
    <row r="67" spans="1:20" ht="19" customHeight="1">
      <c r="A67" s="18" t="s">
        <v>5</v>
      </c>
      <c r="B67" s="18" t="s">
        <v>189</v>
      </c>
      <c r="C67" s="18" t="s">
        <v>18</v>
      </c>
      <c r="D67" s="18" t="s">
        <v>190</v>
      </c>
      <c r="E67" s="18" t="s">
        <v>51</v>
      </c>
      <c r="F67" s="22">
        <v>826942.6</v>
      </c>
      <c r="G67" s="22">
        <v>708259.4800000004</v>
      </c>
      <c r="H67" s="23" t="s">
        <v>39</v>
      </c>
      <c r="I67" s="23" t="s">
        <v>39</v>
      </c>
      <c r="J67" s="22">
        <v>0</v>
      </c>
      <c r="K67" s="22">
        <v>96599.03</v>
      </c>
      <c r="L67" s="22">
        <f>IF(COUNT(G67,J67,K67)=3,SUM(G67,J67,K67),"n.d.")</f>
        <v>804858.5100000005</v>
      </c>
      <c r="M67" s="22">
        <f>P67</f>
        <v>22084.0899999995</v>
      </c>
      <c r="N67" s="22">
        <f>IF(COUNT(M67)=1,M67,"n.d.")</f>
        <v>22084.0899999995</v>
      </c>
      <c r="O67" s="22">
        <v>804858.5100000005</v>
      </c>
      <c r="P67" s="22">
        <v>22084.0899999995</v>
      </c>
      <c r="Q67" s="27">
        <f>IF(COUNTIFS('Taux'!$A$6:$A$20,A67,'Taux'!$B$6:$B$20,D67)=1,SUMIFS('Taux'!$D$6:$D$20,'Taux'!$A$6:$A$20,A67,'Taux'!$B$6:$B$20,D67),"n.d.")</f>
        <v>10.90384939</v>
      </c>
      <c r="R67" s="22">
        <f>IF(COUNT(M67,Q67)=2,M67/Q67,"n.d.")</f>
        <v>2025.348040871968</v>
      </c>
      <c r="S67" s="22">
        <f>IF(COUNT(N67,Q67)=2,N67/Q67,"n.d.")</f>
        <v>2025.348040871968</v>
      </c>
    </row>
    <row r="68" spans="1:20" ht="19" customHeight="1">
      <c r="A68" s="18" t="s">
        <v>5</v>
      </c>
      <c r="B68" s="18" t="s">
        <v>191</v>
      </c>
      <c r="C68" s="18" t="s">
        <v>19</v>
      </c>
      <c r="D68" s="18" t="s">
        <v>192</v>
      </c>
      <c r="E68" s="18" t="s">
        <v>221</v>
      </c>
      <c r="F68" s="22">
        <v>0</v>
      </c>
      <c r="G68" s="22">
        <v>0</v>
      </c>
      <c r="H68" s="23" t="s">
        <v>39</v>
      </c>
      <c r="I68" s="23" t="s">
        <v>39</v>
      </c>
      <c r="J68" s="22">
        <v>0</v>
      </c>
      <c r="K68" s="22">
        <v>0</v>
      </c>
      <c r="L68" s="22">
        <f>IF(COUNT(G68,J68,K68)=3,SUM(G68,J68,K68),"n.d.")</f>
        <v>0</v>
      </c>
      <c r="M68" s="22">
        <f>P68</f>
        <v>0</v>
      </c>
      <c r="N68" s="22">
        <f>IF(COUNT(M68)=1,M68,"n.d.")</f>
        <v>0</v>
      </c>
      <c r="O68" s="22">
        <v>0</v>
      </c>
      <c r="P68" s="22">
        <v>0</v>
      </c>
      <c r="Q68" s="27">
        <f>IF(COUNTIFS('Taux'!$A$6:$A$20,A68,'Taux'!$B$6:$B$20,D68)=1,SUMIFS('Taux'!$D$6:$D$20,'Taux'!$A$6:$A$20,A68,'Taux'!$B$6:$B$20,D68),"n.d.")</f>
        <v>11.34339828</v>
      </c>
      <c r="R68" s="22">
        <f>IF(COUNT(M68,Q68)=2,M68/Q68,"n.d.")</f>
        <v>0.0</v>
      </c>
      <c r="S68" s="22">
        <f>IF(COUNT(N68,Q68)=2,N68/Q68,"n.d.")</f>
        <v>0.0</v>
      </c>
    </row>
    <row r="69" spans="1:20" ht="19" customHeight="1">
      <c r="A69" s="18" t="s">
        <v>5</v>
      </c>
      <c r="B69" s="18" t="s">
        <v>191</v>
      </c>
      <c r="C69" s="18" t="s">
        <v>19</v>
      </c>
      <c r="D69" s="18" t="s">
        <v>192</v>
      </c>
      <c r="E69" s="18" t="s">
        <v>80</v>
      </c>
      <c r="F69" s="22">
        <v>0</v>
      </c>
      <c r="G69" s="22">
        <v>0</v>
      </c>
      <c r="H69" s="23" t="s">
        <v>39</v>
      </c>
      <c r="I69" s="23" t="s">
        <v>39</v>
      </c>
      <c r="J69" s="22">
        <v>0</v>
      </c>
      <c r="K69" s="22">
        <v>0</v>
      </c>
      <c r="L69" s="22">
        <f>IF(COUNT(G69,J69,K69)=3,SUM(G69,J69,K69),"n.d.")</f>
        <v>0</v>
      </c>
      <c r="M69" s="22">
        <f>P69</f>
        <v>0</v>
      </c>
      <c r="N69" s="22">
        <f>IF(COUNT(M69)=1,M69,"n.d.")</f>
        <v>0</v>
      </c>
      <c r="O69" s="22">
        <v>0</v>
      </c>
      <c r="P69" s="22">
        <v>0</v>
      </c>
      <c r="Q69" s="27">
        <f>IF(COUNTIFS('Taux'!$A$6:$A$20,A69,'Taux'!$B$6:$B$20,D69)=1,SUMIFS('Taux'!$D$6:$D$20,'Taux'!$A$6:$A$20,A69,'Taux'!$B$6:$B$20,D69),"n.d.")</f>
        <v>11.34339828</v>
      </c>
      <c r="R69" s="22">
        <f>IF(COUNT(M69,Q69)=2,M69/Q69,"n.d.")</f>
        <v>0.0</v>
      </c>
      <c r="S69" s="22">
        <f>IF(COUNT(N69,Q69)=2,N69/Q69,"n.d.")</f>
        <v>0.0</v>
      </c>
    </row>
    <row r="70" spans="1:20" ht="19" customHeight="1">
      <c r="A70" s="18" t="s">
        <v>5</v>
      </c>
      <c r="B70" s="18" t="s">
        <v>191</v>
      </c>
      <c r="C70" s="18" t="s">
        <v>19</v>
      </c>
      <c r="D70" s="18" t="s">
        <v>192</v>
      </c>
      <c r="E70" s="18" t="s">
        <v>50</v>
      </c>
      <c r="F70" s="22">
        <v>1598170.86</v>
      </c>
      <c r="G70" s="22">
        <v>1480274.83</v>
      </c>
      <c r="H70" s="23" t="s">
        <v>39</v>
      </c>
      <c r="I70" s="23" t="s">
        <v>39</v>
      </c>
      <c r="J70" s="22">
        <v>0</v>
      </c>
      <c r="K70" s="22">
        <v>117896.0300000001</v>
      </c>
      <c r="L70" s="22">
        <f>IF(COUNT(G70,J70,K70)=3,SUM(G70,J70,K70),"n.d.")</f>
        <v>1598170.86</v>
      </c>
      <c r="M70" s="22">
        <f>P70</f>
        <v>0</v>
      </c>
      <c r="N70" s="22">
        <f>IF(COUNT(M70)=1,M70,"n.d.")</f>
        <v>0</v>
      </c>
      <c r="O70" s="22">
        <v>1598170.86</v>
      </c>
      <c r="P70" s="22">
        <v>0</v>
      </c>
      <c r="Q70" s="27">
        <f>IF(COUNTIFS('Taux'!$A$6:$A$20,A70,'Taux'!$B$6:$B$20,D70)=1,SUMIFS('Taux'!$D$6:$D$20,'Taux'!$A$6:$A$20,A70,'Taux'!$B$6:$B$20,D70),"n.d.")</f>
        <v>11.34339828</v>
      </c>
      <c r="R70" s="22">
        <f>IF(COUNT(M70,Q70)=2,M70/Q70,"n.d.")</f>
        <v>0.0</v>
      </c>
      <c r="S70" s="22">
        <f>IF(COUNT(N70,Q70)=2,N70/Q70,"n.d.")</f>
        <v>0.0</v>
      </c>
    </row>
    <row r="71" spans="1:20" ht="19" customHeight="1">
      <c r="A71" s="18" t="s">
        <v>5</v>
      </c>
      <c r="B71" s="18" t="s">
        <v>191</v>
      </c>
      <c r="C71" s="18" t="s">
        <v>19</v>
      </c>
      <c r="D71" s="18" t="s">
        <v>192</v>
      </c>
      <c r="E71" s="18" t="s">
        <v>51</v>
      </c>
      <c r="F71" s="22">
        <v>2532380.35</v>
      </c>
      <c r="G71" s="22">
        <v>1844080.159999999</v>
      </c>
      <c r="H71" s="23" t="s">
        <v>39</v>
      </c>
      <c r="I71" s="23" t="s">
        <v>39</v>
      </c>
      <c r="J71" s="22">
        <v>0</v>
      </c>
      <c r="K71" s="22">
        <v>515673.5699999998</v>
      </c>
      <c r="L71" s="22">
        <f>IF(COUNT(G71,J71,K71)=3,SUM(G71,J71,K71),"n.d.")</f>
        <v>2359753.729999999</v>
      </c>
      <c r="M71" s="22">
        <f>P71</f>
        <v>172626.62000000104</v>
      </c>
      <c r="N71" s="22">
        <f>IF(COUNT(M71)=1,M71,"n.d.")</f>
        <v>172626.62000000104</v>
      </c>
      <c r="O71" s="22">
        <v>2359753.729999999</v>
      </c>
      <c r="P71" s="22">
        <v>172626.620000001</v>
      </c>
      <c r="Q71" s="27">
        <f>IF(COUNTIFS('Taux'!$A$6:$A$20,A71,'Taux'!$B$6:$B$20,D71)=1,SUMIFS('Taux'!$D$6:$D$20,'Taux'!$A$6:$A$20,A71,'Taux'!$B$6:$B$20,D71),"n.d.")</f>
        <v>11.34339828</v>
      </c>
      <c r="R71" s="22">
        <f>IF(COUNT(M71,Q71)=2,M71/Q71,"n.d.")</f>
        <v>15218.245515046927</v>
      </c>
      <c r="S71" s="22">
        <f>IF(COUNT(N71,Q71)=2,N71/Q71,"n.d.")</f>
        <v>15218.245515046927</v>
      </c>
    </row>
    <row r="72" spans="1:20" ht="19" customHeight="1">
      <c r="A72" s="18" t="s">
        <v>5</v>
      </c>
      <c r="B72" s="18" t="s">
        <v>182</v>
      </c>
      <c r="C72" s="18" t="s">
        <v>14</v>
      </c>
      <c r="D72" s="18" t="s">
        <v>183</v>
      </c>
      <c r="E72" s="18" t="s">
        <v>49</v>
      </c>
      <c r="F72" s="22">
        <v>27676837.5499995</v>
      </c>
      <c r="G72" s="22">
        <v>11108503.58</v>
      </c>
      <c r="H72" s="22">
        <v>4485046.75000003</v>
      </c>
      <c r="I72" s="22">
        <v>697193.2399999649</v>
      </c>
      <c r="J72" s="23" t="s">
        <v>39</v>
      </c>
      <c r="K72" s="23" t="s">
        <v>39</v>
      </c>
      <c r="L72" s="22">
        <f>IF(COUNT(G72,H72,I72)=3,SUM(G72,H72,I72),"n.d.")</f>
        <v>16290743.569999995</v>
      </c>
      <c r="M72" s="22">
        <f>P72</f>
        <v>11386093.979999503</v>
      </c>
      <c r="N72" s="22">
        <f>IF(COUNT(M72,H72)=2,M72+H72,"n.d.")</f>
        <v>15871140.729999533</v>
      </c>
      <c r="O72" s="22">
        <v>16290743.56999999</v>
      </c>
      <c r="P72" s="22">
        <v>11386093.9799995</v>
      </c>
      <c r="Q72" s="27">
        <f>IF(COUNTIFS('Taux'!$A$6:$A$20,A72,'Taux'!$B$6:$B$20,D72)=1,SUMIFS('Taux'!$D$6:$D$20,'Taux'!$A$6:$A$20,A72,'Taux'!$B$6:$B$20,D72),"n.d.")</f>
        <v>18.58943911</v>
      </c>
      <c r="R72" s="22">
        <f>IF(COUNT(M72,Q72)=2,M72/Q72,"n.d.")</f>
        <v>612503.3634755806</v>
      </c>
      <c r="S72" s="22">
        <f>IF(COUNT(N72,Q72)=2,N72/Q72,"n.d.")</f>
        <v>853771.8989843978</v>
      </c>
    </row>
    <row r="73" spans="1:20" ht="19" customHeight="1">
      <c r="A73" s="18" t="s">
        <v>5</v>
      </c>
      <c r="B73" s="18" t="s">
        <v>182</v>
      </c>
      <c r="C73" s="18" t="s">
        <v>14</v>
      </c>
      <c r="D73" s="18" t="s">
        <v>183</v>
      </c>
      <c r="E73" s="18" t="s">
        <v>50</v>
      </c>
      <c r="F73" s="22">
        <v>28245970.93999971</v>
      </c>
      <c r="G73" s="22">
        <v>21718090.4300004</v>
      </c>
      <c r="H73" s="22">
        <v>0</v>
      </c>
      <c r="I73" s="22">
        <v>360802.280000011</v>
      </c>
      <c r="J73" s="23" t="s">
        <v>39</v>
      </c>
      <c r="K73" s="23" t="s">
        <v>39</v>
      </c>
      <c r="L73" s="22">
        <f>IF(COUNT(G73,H73,I73)=3,SUM(G73,H73,I73),"n.d.")</f>
        <v>22078892.71000041</v>
      </c>
      <c r="M73" s="22">
        <f>P73</f>
        <v>6167078.229999304</v>
      </c>
      <c r="N73" s="22">
        <f>IF(COUNT(M73,H73)=2,M73+H73,"n.d.")</f>
        <v>6167078.229999304</v>
      </c>
      <c r="O73" s="22">
        <v>22078892.71000041</v>
      </c>
      <c r="P73" s="22">
        <v>6167078.229999304</v>
      </c>
      <c r="Q73" s="27">
        <f>IF(COUNTIFS('Taux'!$A$6:$A$20,A73,'Taux'!$B$6:$B$20,D73)=1,SUMIFS('Taux'!$D$6:$D$20,'Taux'!$A$6:$A$20,A73,'Taux'!$B$6:$B$20,D73),"n.d.")</f>
        <v>18.58943911</v>
      </c>
      <c r="R73" s="22">
        <f>IF(COUNT(M73,Q73)=2,M73/Q73,"n.d.")</f>
        <v>331751.7109314926</v>
      </c>
      <c r="S73" s="22">
        <f>IF(COUNT(N73,Q73)=2,N73/Q73,"n.d.")</f>
        <v>331751.7109314926</v>
      </c>
    </row>
    <row r="74" spans="1:20" ht="19" customHeight="1">
      <c r="A74" s="18" t="s">
        <v>5</v>
      </c>
      <c r="B74" s="18" t="s">
        <v>182</v>
      </c>
      <c r="C74" s="18" t="s">
        <v>14</v>
      </c>
      <c r="D74" s="18" t="s">
        <v>183</v>
      </c>
      <c r="E74" s="18" t="s">
        <v>51</v>
      </c>
      <c r="F74" s="22">
        <v>32241062.66999996</v>
      </c>
      <c r="G74" s="22">
        <v>15898790.77</v>
      </c>
      <c r="H74" s="22">
        <v>0</v>
      </c>
      <c r="I74" s="22">
        <v>303769.120000005</v>
      </c>
      <c r="J74" s="23" t="s">
        <v>39</v>
      </c>
      <c r="K74" s="23" t="s">
        <v>39</v>
      </c>
      <c r="L74" s="22">
        <f>IF(COUNT(G74,H74,I74)=3,SUM(G74,H74,I74),"n.d.")</f>
        <v>16202559.890000004</v>
      </c>
      <c r="M74" s="22">
        <f>P74</f>
        <v>16038502.77999996</v>
      </c>
      <c r="N74" s="22">
        <f>IF(COUNT(M74,H74)=2,M74+H74,"n.d.")</f>
        <v>16038502.77999996</v>
      </c>
      <c r="O74" s="22">
        <v>16202559.89</v>
      </c>
      <c r="P74" s="22">
        <v>16038502.77999996</v>
      </c>
      <c r="Q74" s="27">
        <f>IF(COUNTIFS('Taux'!$A$6:$A$20,A74,'Taux'!$B$6:$B$20,D74)=1,SUMIFS('Taux'!$D$6:$D$20,'Taux'!$A$6:$A$20,A74,'Taux'!$B$6:$B$20,D74),"n.d.")</f>
        <v>18.58943911</v>
      </c>
      <c r="R74" s="22">
        <f>IF(COUNT(M74,Q74)=2,M74/Q74,"n.d.")</f>
        <v>862774.9705138876</v>
      </c>
      <c r="S74" s="22">
        <f>IF(COUNT(N74,Q74)=2,N74/Q74,"n.d.")</f>
        <v>862774.9705138876</v>
      </c>
    </row>
    <row r="75" spans="1:20" ht="19" customHeight="1">
      <c r="A75" s="18" t="s">
        <v>5</v>
      </c>
      <c r="B75" s="18" t="s">
        <v>176</v>
      </c>
      <c r="C75" s="18" t="s">
        <v>87</v>
      </c>
      <c r="D75" s="18" t="s">
        <v>174</v>
      </c>
      <c r="E75" s="18" t="s">
        <v>49</v>
      </c>
      <c r="F75" s="22">
        <v>1091686</v>
      </c>
      <c r="G75" s="22">
        <v>1034854</v>
      </c>
      <c r="H75" s="22">
        <v>0</v>
      </c>
      <c r="I75" s="22">
        <v>50654</v>
      </c>
      <c r="J75" s="23" t="s">
        <v>39</v>
      </c>
      <c r="K75" s="23" t="s">
        <v>39</v>
      </c>
      <c r="L75" s="22">
        <f>IF(COUNT(G75,H75,I75)=3,SUM(G75,H75,I75),"n.d.")</f>
        <v>1085508.0</v>
      </c>
      <c r="M75" s="22">
        <f>P75</f>
        <v>6177.0</v>
      </c>
      <c r="N75" s="22">
        <f>IF(COUNT(M75,H75)=2,M75+H75,"n.d.")</f>
        <v>6177.0</v>
      </c>
      <c r="O75" s="22">
        <v>1085509</v>
      </c>
      <c r="P75" s="22">
        <v>6177</v>
      </c>
      <c r="Q75" s="27">
        <f>IF(COUNTIFS('Taux'!$A$6:$A$20,A75,'Taux'!$B$6:$B$20,D75)=1,SUMIFS('Taux'!$D$6:$D$20,'Taux'!$A$6:$A$20,A75,'Taux'!$B$6:$B$20,D75),"n.d.")</f>
        <v>1</v>
      </c>
      <c r="R75" s="22">
        <f>IF(COUNT(M75,Q75)=2,M75/Q75,"n.d.")</f>
        <v>6177.0</v>
      </c>
      <c r="S75" s="22">
        <f>IF(COUNT(N75,Q75)=2,N75/Q75,"n.d.")</f>
        <v>6177.0</v>
      </c>
    </row>
    <row r="76" spans="1:20" ht="19" customHeight="1">
      <c r="A76" s="18" t="s">
        <v>5</v>
      </c>
      <c r="B76" s="18" t="s">
        <v>176</v>
      </c>
      <c r="C76" s="18" t="s">
        <v>87</v>
      </c>
      <c r="D76" s="18" t="s">
        <v>174</v>
      </c>
      <c r="E76" s="18" t="s">
        <v>50</v>
      </c>
      <c r="F76" s="22">
        <v>245902</v>
      </c>
      <c r="G76" s="22">
        <v>244214</v>
      </c>
      <c r="H76" s="22">
        <v>0</v>
      </c>
      <c r="I76" s="22">
        <v>563</v>
      </c>
      <c r="J76" s="23" t="s">
        <v>39</v>
      </c>
      <c r="K76" s="23" t="s">
        <v>39</v>
      </c>
      <c r="L76" s="22">
        <f>IF(COUNT(G76,H76,I76)=3,SUM(G76,H76,I76),"n.d.")</f>
        <v>244777.0</v>
      </c>
      <c r="M76" s="22">
        <f>P76</f>
        <v>1125.0</v>
      </c>
      <c r="N76" s="22">
        <f>IF(COUNT(M76,H76)=2,M76+H76,"n.d.")</f>
        <v>1125.0</v>
      </c>
      <c r="O76" s="22">
        <v>244777</v>
      </c>
      <c r="P76" s="22">
        <v>1125</v>
      </c>
      <c r="Q76" s="27">
        <f>IF(COUNTIFS('Taux'!$A$6:$A$20,A76,'Taux'!$B$6:$B$20,D76)=1,SUMIFS('Taux'!$D$6:$D$20,'Taux'!$A$6:$A$20,A76,'Taux'!$B$6:$B$20,D76),"n.d.")</f>
        <v>1</v>
      </c>
      <c r="R76" s="22">
        <f>IF(COUNT(M76,Q76)=2,M76/Q76,"n.d.")</f>
        <v>1125.0</v>
      </c>
      <c r="S76" s="22">
        <f>IF(COUNT(N76,Q76)=2,N76/Q76,"n.d.")</f>
        <v>1125.0</v>
      </c>
    </row>
    <row r="77" spans="1:20" ht="19" customHeight="1">
      <c r="A77" s="18" t="s">
        <v>5</v>
      </c>
      <c r="B77" s="18" t="s">
        <v>176</v>
      </c>
      <c r="C77" s="18" t="s">
        <v>87</v>
      </c>
      <c r="D77" s="18" t="s">
        <v>174</v>
      </c>
      <c r="E77" s="18" t="s">
        <v>51</v>
      </c>
      <c r="F77" s="22">
        <v>87098</v>
      </c>
      <c r="G77" s="22">
        <v>80263</v>
      </c>
      <c r="H77" s="22">
        <v>0</v>
      </c>
      <c r="I77" s="22">
        <v>27</v>
      </c>
      <c r="J77" s="23" t="s">
        <v>39</v>
      </c>
      <c r="K77" s="23" t="s">
        <v>39</v>
      </c>
      <c r="L77" s="22">
        <f>IF(COUNT(G77,H77,I77)=3,SUM(G77,H77,I77),"n.d.")</f>
        <v>80290.0</v>
      </c>
      <c r="M77" s="22">
        <f>P77</f>
        <v>6808.0</v>
      </c>
      <c r="N77" s="22">
        <f>IF(COUNT(M77,H77)=2,M77+H77,"n.d.")</f>
        <v>6808.0</v>
      </c>
      <c r="O77" s="22">
        <v>80289</v>
      </c>
      <c r="P77" s="22">
        <v>6808</v>
      </c>
      <c r="Q77" s="27">
        <f>IF(COUNTIFS('Taux'!$A$6:$A$20,A77,'Taux'!$B$6:$B$20,D77)=1,SUMIFS('Taux'!$D$6:$D$20,'Taux'!$A$6:$A$20,A77,'Taux'!$B$6:$B$20,D77),"n.d.")</f>
        <v>1</v>
      </c>
      <c r="R77" s="22">
        <f>IF(COUNT(M77,Q77)=2,M77/Q77,"n.d.")</f>
        <v>6808.0</v>
      </c>
      <c r="S77" s="22">
        <f>IF(COUNT(N77,Q77)=2,N77/Q77,"n.d.")</f>
        <v>6808.0</v>
      </c>
    </row>
    <row r="78" spans="1:20" ht="19" customHeight="1">
      <c r="A78" s="18" t="s">
        <v>5</v>
      </c>
      <c r="B78" s="18" t="s">
        <v>175</v>
      </c>
      <c r="C78" s="18" t="s">
        <v>83</v>
      </c>
      <c r="D78" s="18" t="s">
        <v>174</v>
      </c>
      <c r="E78" s="18" t="s">
        <v>49</v>
      </c>
      <c r="F78" s="22">
        <v>120403637</v>
      </c>
      <c r="G78" s="22">
        <v>118585644</v>
      </c>
      <c r="H78" s="22">
        <v>7679</v>
      </c>
      <c r="I78" s="22">
        <v>999634</v>
      </c>
      <c r="J78" s="23" t="s">
        <v>39</v>
      </c>
      <c r="K78" s="23" t="s">
        <v>39</v>
      </c>
      <c r="L78" s="22">
        <f>IF(COUNT(G78,H78,I78)=3,SUM(G78,H78,I78),"n.d.")</f>
        <v>119592957.0</v>
      </c>
      <c r="M78" s="22">
        <f>P78</f>
        <v>810679.0</v>
      </c>
      <c r="N78" s="22">
        <f>IF(COUNT(M78,H78)=2,M78+H78,"n.d.")</f>
        <v>818358.0</v>
      </c>
      <c r="O78" s="22">
        <v>119592958</v>
      </c>
      <c r="P78" s="22">
        <v>810679</v>
      </c>
      <c r="Q78" s="27">
        <f>IF(COUNTIFS('Taux'!$A$6:$A$20,A78,'Taux'!$B$6:$B$20,D78)=1,SUMIFS('Taux'!$D$6:$D$20,'Taux'!$A$6:$A$20,A78,'Taux'!$B$6:$B$20,D78),"n.d.")</f>
        <v>1</v>
      </c>
      <c r="R78" s="22">
        <f>IF(COUNT(M78,Q78)=2,M78/Q78,"n.d.")</f>
        <v>810679.0</v>
      </c>
      <c r="S78" s="22">
        <f>IF(COUNT(N78,Q78)=2,N78/Q78,"n.d.")</f>
        <v>818358.0</v>
      </c>
    </row>
    <row r="79" spans="1:20" ht="19" customHeight="1">
      <c r="A79" s="18" t="s">
        <v>5</v>
      </c>
      <c r="B79" s="18" t="s">
        <v>175</v>
      </c>
      <c r="C79" s="18" t="s">
        <v>83</v>
      </c>
      <c r="D79" s="18" t="s">
        <v>174</v>
      </c>
      <c r="E79" s="18" t="s">
        <v>50</v>
      </c>
      <c r="F79" s="22">
        <v>18390237</v>
      </c>
      <c r="G79" s="22">
        <v>17741701</v>
      </c>
      <c r="H79" s="22">
        <v>18694</v>
      </c>
      <c r="I79" s="22">
        <v>326166</v>
      </c>
      <c r="J79" s="23" t="s">
        <v>39</v>
      </c>
      <c r="K79" s="23" t="s">
        <v>39</v>
      </c>
      <c r="L79" s="22">
        <f>IF(COUNT(G79,H79,I79)=3,SUM(G79,H79,I79),"n.d.")</f>
        <v>18086561.0</v>
      </c>
      <c r="M79" s="22">
        <f>P79</f>
        <v>303678.0</v>
      </c>
      <c r="N79" s="22">
        <f>IF(COUNT(M79,H79)=2,M79+H79,"n.d.")</f>
        <v>322372.0</v>
      </c>
      <c r="O79" s="22">
        <v>18086560</v>
      </c>
      <c r="P79" s="22">
        <v>303678</v>
      </c>
      <c r="Q79" s="27">
        <f>IF(COUNTIFS('Taux'!$A$6:$A$20,A79,'Taux'!$B$6:$B$20,D79)=1,SUMIFS('Taux'!$D$6:$D$20,'Taux'!$A$6:$A$20,A79,'Taux'!$B$6:$B$20,D79),"n.d.")</f>
        <v>1</v>
      </c>
      <c r="R79" s="22">
        <f>IF(COUNT(M79,Q79)=2,M79/Q79,"n.d.")</f>
        <v>303678.0</v>
      </c>
      <c r="S79" s="22">
        <f>IF(COUNT(N79,Q79)=2,N79/Q79,"n.d.")</f>
        <v>322372.0</v>
      </c>
    </row>
    <row r="80" spans="1:20" ht="19" customHeight="1">
      <c r="A80" s="18" t="s">
        <v>5</v>
      </c>
      <c r="B80" s="18" t="s">
        <v>175</v>
      </c>
      <c r="C80" s="18" t="s">
        <v>83</v>
      </c>
      <c r="D80" s="18" t="s">
        <v>174</v>
      </c>
      <c r="E80" s="18" t="s">
        <v>51</v>
      </c>
      <c r="F80" s="22">
        <v>7309846</v>
      </c>
      <c r="G80" s="22">
        <v>5565371</v>
      </c>
      <c r="H80" s="22">
        <v>3302</v>
      </c>
      <c r="I80" s="22">
        <v>106277</v>
      </c>
      <c r="J80" s="23" t="s">
        <v>39</v>
      </c>
      <c r="K80" s="23" t="s">
        <v>39</v>
      </c>
      <c r="L80" s="22">
        <f>IF(COUNT(G80,H80,I80)=3,SUM(G80,H80,I80),"n.d.")</f>
        <v>5674950.0</v>
      </c>
      <c r="M80" s="22">
        <f>P80</f>
        <v>1634895.0</v>
      </c>
      <c r="N80" s="22">
        <f>IF(COUNT(M80,H80)=2,M80+H80,"n.d.")</f>
        <v>1638197.0</v>
      </c>
      <c r="O80" s="22">
        <v>5674951</v>
      </c>
      <c r="P80" s="22">
        <v>1634895</v>
      </c>
      <c r="Q80" s="27">
        <f>IF(COUNTIFS('Taux'!$A$6:$A$20,A80,'Taux'!$B$6:$B$20,D80)=1,SUMIFS('Taux'!$D$6:$D$20,'Taux'!$A$6:$A$20,A80,'Taux'!$B$6:$B$20,D80),"n.d.")</f>
        <v>1</v>
      </c>
      <c r="R80" s="22">
        <f>IF(COUNT(M80,Q80)=2,M80/Q80,"n.d.")</f>
        <v>1634895.0</v>
      </c>
      <c r="S80" s="22">
        <f>IF(COUNT(N80,Q80)=2,N80/Q80,"n.d.")</f>
        <v>1638197.0</v>
      </c>
    </row>
    <row r="81" spans="1:20" ht="19" customHeight="1">
      <c r="A81" s="18" t="s">
        <v>5</v>
      </c>
      <c r="B81" s="18" t="s">
        <v>180</v>
      </c>
      <c r="C81" s="18" t="s">
        <v>12</v>
      </c>
      <c r="D81" s="18" t="s">
        <v>174</v>
      </c>
      <c r="E81" s="18" t="s">
        <v>49</v>
      </c>
      <c r="F81" s="22">
        <v>6427</v>
      </c>
      <c r="G81" s="22">
        <v>6427</v>
      </c>
      <c r="H81" s="22">
        <v>0</v>
      </c>
      <c r="I81" s="22">
        <v>0</v>
      </c>
      <c r="J81" s="23" t="s">
        <v>39</v>
      </c>
      <c r="K81" s="23" t="s">
        <v>39</v>
      </c>
      <c r="L81" s="22">
        <f>IF(COUNT(G81,H81,I81)=3,SUM(G81,H81,I81),"n.d.")</f>
        <v>6427</v>
      </c>
      <c r="M81" s="22">
        <f>P81</f>
        <v>0</v>
      </c>
      <c r="N81" s="22">
        <f>IF(COUNT(M81,H81)=2,M81+H81,"n.d.")</f>
        <v>0</v>
      </c>
      <c r="O81" s="22">
        <v>6427</v>
      </c>
      <c r="P81" s="22">
        <v>0</v>
      </c>
      <c r="Q81" s="27">
        <f>IF(COUNTIFS('Taux'!$A$6:$A$20,A81,'Taux'!$B$6:$B$20,D81)=1,SUMIFS('Taux'!$D$6:$D$20,'Taux'!$A$6:$A$20,A81,'Taux'!$B$6:$B$20,D81),"n.d.")</f>
        <v>1</v>
      </c>
      <c r="R81" s="22">
        <f>IF(COUNT(M81,Q81)=2,M81/Q81,"n.d.")</f>
        <v>0.0</v>
      </c>
      <c r="S81" s="22">
        <f>IF(COUNT(N81,Q81)=2,N81/Q81,"n.d.")</f>
        <v>0.0</v>
      </c>
    </row>
    <row r="82" spans="1:20" ht="19" customHeight="1">
      <c r="A82" s="18" t="s">
        <v>5</v>
      </c>
      <c r="B82" s="18" t="s">
        <v>180</v>
      </c>
      <c r="C82" s="18" t="s">
        <v>12</v>
      </c>
      <c r="D82" s="18" t="s">
        <v>174</v>
      </c>
      <c r="E82" s="18" t="s">
        <v>50</v>
      </c>
      <c r="F82" s="22">
        <v>1279791</v>
      </c>
      <c r="G82" s="22">
        <v>1057818</v>
      </c>
      <c r="H82" s="22">
        <v>221972</v>
      </c>
      <c r="I82" s="22">
        <v>0</v>
      </c>
      <c r="J82" s="23" t="s">
        <v>39</v>
      </c>
      <c r="K82" s="23" t="s">
        <v>39</v>
      </c>
      <c r="L82" s="22">
        <f>IF(COUNT(G82,H82,I82)=3,SUM(G82,H82,I82),"n.d.")</f>
        <v>1279790</v>
      </c>
      <c r="M82" s="22">
        <f>P82</f>
        <v>0</v>
      </c>
      <c r="N82" s="22">
        <f>IF(COUNT(M82,H82)=2,M82+H82,"n.d.")</f>
        <v>221972</v>
      </c>
      <c r="O82" s="22">
        <v>1279791</v>
      </c>
      <c r="P82" s="22">
        <v>0</v>
      </c>
      <c r="Q82" s="27">
        <f>IF(COUNTIFS('Taux'!$A$6:$A$20,A82,'Taux'!$B$6:$B$20,D82)=1,SUMIFS('Taux'!$D$6:$D$20,'Taux'!$A$6:$A$20,A82,'Taux'!$B$6:$B$20,D82),"n.d.")</f>
        <v>1</v>
      </c>
      <c r="R82" s="22">
        <f>IF(COUNT(M82,Q82)=2,M82/Q82,"n.d.")</f>
        <v>0.0</v>
      </c>
      <c r="S82" s="22">
        <f>IF(COUNT(N82,Q82)=2,N82/Q82,"n.d.")</f>
        <v>221972.0</v>
      </c>
    </row>
    <row r="83" spans="1:20" ht="19" customHeight="1">
      <c r="A83" s="18" t="s">
        <v>5</v>
      </c>
      <c r="B83" s="18" t="s">
        <v>180</v>
      </c>
      <c r="C83" s="18" t="s">
        <v>12</v>
      </c>
      <c r="D83" s="18" t="s">
        <v>174</v>
      </c>
      <c r="E83" s="18" t="s">
        <v>51</v>
      </c>
      <c r="F83" s="22">
        <v>10828969</v>
      </c>
      <c r="G83" s="22">
        <v>8167299</v>
      </c>
      <c r="H83" s="22">
        <v>516628</v>
      </c>
      <c r="I83" s="22">
        <v>0</v>
      </c>
      <c r="J83" s="23" t="s">
        <v>39</v>
      </c>
      <c r="K83" s="23" t="s">
        <v>39</v>
      </c>
      <c r="L83" s="22">
        <f>IF(COUNT(G83,H83,I83)=3,SUM(G83,H83,I83),"n.d.")</f>
        <v>8683927</v>
      </c>
      <c r="M83" s="22">
        <f>P83</f>
        <v>2145041</v>
      </c>
      <c r="N83" s="22">
        <f>IF(COUNT(M83,H83)=2,M83+H83,"n.d.")</f>
        <v>2661669</v>
      </c>
      <c r="O83" s="22">
        <v>8683928</v>
      </c>
      <c r="P83" s="22">
        <v>2145041</v>
      </c>
      <c r="Q83" s="27">
        <f>IF(COUNTIFS('Taux'!$A$6:$A$20,A83,'Taux'!$B$6:$B$20,D83)=1,SUMIFS('Taux'!$D$6:$D$20,'Taux'!$A$6:$A$20,A83,'Taux'!$B$6:$B$20,D83),"n.d.")</f>
        <v>1</v>
      </c>
      <c r="R83" s="22">
        <f>IF(COUNT(M83,Q83)=2,M83/Q83,"n.d.")</f>
        <v>2145041.0</v>
      </c>
      <c r="S83" s="22">
        <f>IF(COUNT(N83,Q83)=2,N83/Q83,"n.d.")</f>
        <v>2661669.0</v>
      </c>
    </row>
  </sheetData>
  <conditionalFormatting sqref="A6:T83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433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8" customWidth="1"/>
    <col min="2" max="2" width="12.7109375" style="18" customWidth="1"/>
    <col min="3" max="3" width="22.7109375" style="18" customWidth="1"/>
    <col min="4" max="4" width="12.7109375" style="18" customWidth="1"/>
    <col min="5" max="5" width="18.7109375" style="18" customWidth="1"/>
    <col min="6" max="6" width="25.7109375" style="18" customWidth="1"/>
    <col min="7" max="7" width="18.7109375" style="18" customWidth="1"/>
    <col min="8" max="8" width="21.7109375" style="18" customWidth="1"/>
    <col min="9" max="9" width="24.7109375" style="18" customWidth="1"/>
    <col min="10" max="10" width="21.7109375" style="18" customWidth="1"/>
    <col min="12" max="28" width="18.7109375" style="18" customWidth="1"/>
  </cols>
  <sheetData>
    <row r="2" spans="1:11" ht="19" customHeight="1">
      <c r="A2" s="19" t="s">
        <v>222</v>
      </c>
    </row>
    <row r="3" spans="1:11" ht="19" customHeight="1">
      <c r="A3" s="20" t="s">
        <v>223</v>
      </c>
    </row>
    <row r="5" spans="1:11" ht="42" customHeight="1">
      <c r="A5" s="21" t="s">
        <v>144</v>
      </c>
      <c r="B5" s="21" t="s">
        <v>145</v>
      </c>
      <c r="C5" s="21" t="s">
        <v>146</v>
      </c>
      <c r="D5" s="21" t="s">
        <v>147</v>
      </c>
      <c r="E5" s="21" t="s">
        <v>224</v>
      </c>
      <c r="F5" s="21" t="s">
        <v>225</v>
      </c>
      <c r="G5" s="21" t="s">
        <v>226</v>
      </c>
      <c r="H5" s="21" t="s">
        <v>227</v>
      </c>
      <c r="I5" s="21" t="s">
        <v>148</v>
      </c>
      <c r="J5" s="21" t="s">
        <v>228</v>
      </c>
    </row>
    <row r="6" spans="1:11" ht="19" customHeight="1">
      <c r="A6" s="18" t="s">
        <v>172</v>
      </c>
      <c r="B6" s="18" t="s">
        <v>173</v>
      </c>
      <c r="C6" s="18" t="s">
        <v>7</v>
      </c>
      <c r="D6" s="18" t="s">
        <v>174</v>
      </c>
      <c r="E6" s="18" t="s">
        <v>214</v>
      </c>
      <c r="F6" s="18" t="s">
        <v>49</v>
      </c>
      <c r="G6" s="23" t="s">
        <v>39</v>
      </c>
      <c r="H6" s="22">
        <v>422427.44</v>
      </c>
      <c r="I6" s="27">
        <f>IF(COUNTIFS('Taux'!$A$6:$A$20,A6,'Taux'!$B$6:$B$20,D6)=1,SUMIFS('Taux'!$D$6:$D$20,'Taux'!$A$6:$A$20,A6,'Taux'!$B$6:$B$20,D6),"n.d.")</f>
        <v>1</v>
      </c>
      <c r="J6" s="22">
        <f>IF(COUNT(H6,I6)=2,H6/I6,"n.d.")</f>
        <v>422427.44</v>
      </c>
    </row>
    <row r="7" spans="1:11" ht="19" customHeight="1">
      <c r="A7" s="18" t="s">
        <v>172</v>
      </c>
      <c r="B7" s="18" t="s">
        <v>173</v>
      </c>
      <c r="C7" s="18" t="s">
        <v>7</v>
      </c>
      <c r="D7" s="18" t="s">
        <v>174</v>
      </c>
      <c r="E7" s="18" t="s">
        <v>214</v>
      </c>
      <c r="F7" s="18" t="s">
        <v>50</v>
      </c>
      <c r="G7" s="23" t="s">
        <v>39</v>
      </c>
      <c r="H7" s="22">
        <v>642607.5600000001</v>
      </c>
      <c r="I7" s="27">
        <f>IF(COUNTIFS('Taux'!$A$6:$A$20,A7,'Taux'!$B$6:$B$20,D7)=1,SUMIFS('Taux'!$D$6:$D$20,'Taux'!$A$6:$A$20,A7,'Taux'!$B$6:$B$20,D7),"n.d.")</f>
        <v>1</v>
      </c>
      <c r="J7" s="22">
        <f>IF(COUNT(H7,I7)=2,H7/I7,"n.d.")</f>
        <v>642607.56</v>
      </c>
    </row>
    <row r="8" spans="1:11" ht="19" customHeight="1">
      <c r="A8" s="18" t="s">
        <v>172</v>
      </c>
      <c r="B8" s="18" t="s">
        <v>173</v>
      </c>
      <c r="C8" s="18" t="s">
        <v>7</v>
      </c>
      <c r="D8" s="18" t="s">
        <v>174</v>
      </c>
      <c r="E8" s="18" t="s">
        <v>214</v>
      </c>
      <c r="F8" s="18" t="s">
        <v>51</v>
      </c>
      <c r="G8" s="23" t="s">
        <v>39</v>
      </c>
      <c r="H8" s="22">
        <v>1101493.21</v>
      </c>
      <c r="I8" s="27">
        <f>IF(COUNTIFS('Taux'!$A$6:$A$20,A8,'Taux'!$B$6:$B$20,D8)=1,SUMIFS('Taux'!$D$6:$D$20,'Taux'!$A$6:$A$20,A8,'Taux'!$B$6:$B$20,D8),"n.d.")</f>
        <v>1</v>
      </c>
      <c r="J8" s="22">
        <f>IF(COUNT(H8,I8)=2,H8/I8,"n.d.")</f>
        <v>1101493.21</v>
      </c>
    </row>
    <row r="9" spans="1:11" ht="19" customHeight="1">
      <c r="A9" s="18" t="s">
        <v>172</v>
      </c>
      <c r="B9" s="18" t="s">
        <v>175</v>
      </c>
      <c r="C9" s="18" t="s">
        <v>83</v>
      </c>
      <c r="D9" s="18" t="s">
        <v>174</v>
      </c>
      <c r="E9" s="18" t="s">
        <v>214</v>
      </c>
      <c r="F9" s="18" t="s">
        <v>49</v>
      </c>
      <c r="G9" s="23" t="s">
        <v>39</v>
      </c>
      <c r="H9" s="22">
        <v>1613034.55</v>
      </c>
      <c r="I9" s="27">
        <f>IF(COUNTIFS('Taux'!$A$6:$A$20,A9,'Taux'!$B$6:$B$20,D9)=1,SUMIFS('Taux'!$D$6:$D$20,'Taux'!$A$6:$A$20,A9,'Taux'!$B$6:$B$20,D9),"n.d.")</f>
        <v>1</v>
      </c>
      <c r="J9" s="22">
        <f>IF(COUNT(H9,I9)=2,H9/I9,"n.d.")</f>
        <v>1613034.55</v>
      </c>
    </row>
    <row r="10" spans="1:11" ht="19" customHeight="1">
      <c r="A10" s="18" t="s">
        <v>172</v>
      </c>
      <c r="B10" s="18" t="s">
        <v>175</v>
      </c>
      <c r="C10" s="18" t="s">
        <v>83</v>
      </c>
      <c r="D10" s="18" t="s">
        <v>174</v>
      </c>
      <c r="E10" s="18" t="s">
        <v>214</v>
      </c>
      <c r="F10" s="18" t="s">
        <v>50</v>
      </c>
      <c r="G10" s="23" t="s">
        <v>39</v>
      </c>
      <c r="H10" s="22">
        <v>1581195.84</v>
      </c>
      <c r="I10" s="27">
        <f>IF(COUNTIFS('Taux'!$A$6:$A$20,A10,'Taux'!$B$6:$B$20,D10)=1,SUMIFS('Taux'!$D$6:$D$20,'Taux'!$A$6:$A$20,A10,'Taux'!$B$6:$B$20,D10),"n.d.")</f>
        <v>1</v>
      </c>
      <c r="J10" s="22">
        <f>IF(COUNT(H10,I10)=2,H10/I10,"n.d.")</f>
        <v>1581195.84</v>
      </c>
    </row>
    <row r="11" spans="1:11" ht="19" customHeight="1">
      <c r="A11" s="18" t="s">
        <v>172</v>
      </c>
      <c r="B11" s="18" t="s">
        <v>175</v>
      </c>
      <c r="C11" s="18" t="s">
        <v>83</v>
      </c>
      <c r="D11" s="18" t="s">
        <v>174</v>
      </c>
      <c r="E11" s="18" t="s">
        <v>214</v>
      </c>
      <c r="F11" s="18" t="s">
        <v>51</v>
      </c>
      <c r="G11" s="23" t="s">
        <v>39</v>
      </c>
      <c r="H11" s="22">
        <v>949880.78</v>
      </c>
      <c r="I11" s="27">
        <f>IF(COUNTIFS('Taux'!$A$6:$A$20,A11,'Taux'!$B$6:$B$20,D11)=1,SUMIFS('Taux'!$D$6:$D$20,'Taux'!$A$6:$A$20,A11,'Taux'!$B$6:$B$20,D11),"n.d.")</f>
        <v>1</v>
      </c>
      <c r="J11" s="22">
        <f>IF(COUNT(H11,I11)=2,H11/I11,"n.d.")</f>
        <v>949880.78</v>
      </c>
    </row>
    <row r="12" spans="1:11" ht="19" customHeight="1">
      <c r="A12" s="18" t="s">
        <v>172</v>
      </c>
      <c r="B12" s="18" t="s">
        <v>176</v>
      </c>
      <c r="C12" s="18" t="s">
        <v>87</v>
      </c>
      <c r="D12" s="18" t="s">
        <v>174</v>
      </c>
      <c r="E12" s="18" t="s">
        <v>214</v>
      </c>
      <c r="F12" s="18" t="s">
        <v>49</v>
      </c>
      <c r="G12" s="23" t="s">
        <v>39</v>
      </c>
      <c r="H12" s="22">
        <v>6189.35</v>
      </c>
      <c r="I12" s="27">
        <f>IF(COUNTIFS('Taux'!$A$6:$A$20,A12,'Taux'!$B$6:$B$20,D12)=1,SUMIFS('Taux'!$D$6:$D$20,'Taux'!$A$6:$A$20,A12,'Taux'!$B$6:$B$20,D12),"n.d.")</f>
        <v>1</v>
      </c>
      <c r="J12" s="22">
        <f>IF(COUNT(H12,I12)=2,H12/I12,"n.d.")</f>
        <v>6189.35</v>
      </c>
    </row>
    <row r="13" spans="1:11" ht="19" customHeight="1">
      <c r="A13" s="18" t="s">
        <v>172</v>
      </c>
      <c r="B13" s="18" t="s">
        <v>176</v>
      </c>
      <c r="C13" s="18" t="s">
        <v>87</v>
      </c>
      <c r="D13" s="18" t="s">
        <v>174</v>
      </c>
      <c r="E13" s="18" t="s">
        <v>214</v>
      </c>
      <c r="F13" s="18" t="s">
        <v>50</v>
      </c>
      <c r="G13" s="23" t="s">
        <v>39</v>
      </c>
      <c r="H13" s="22">
        <v>2419.39</v>
      </c>
      <c r="I13" s="27">
        <f>IF(COUNTIFS('Taux'!$A$6:$A$20,A13,'Taux'!$B$6:$B$20,D13)=1,SUMIFS('Taux'!$D$6:$D$20,'Taux'!$A$6:$A$20,A13,'Taux'!$B$6:$B$20,D13),"n.d.")</f>
        <v>1</v>
      </c>
      <c r="J13" s="22">
        <f>IF(COUNT(H13,I13)=2,H13/I13,"n.d.")</f>
        <v>2419.39</v>
      </c>
    </row>
    <row r="14" spans="1:11" ht="19" customHeight="1">
      <c r="A14" s="18" t="s">
        <v>172</v>
      </c>
      <c r="B14" s="18" t="s">
        <v>176</v>
      </c>
      <c r="C14" s="18" t="s">
        <v>87</v>
      </c>
      <c r="D14" s="18" t="s">
        <v>174</v>
      </c>
      <c r="E14" s="18" t="s">
        <v>214</v>
      </c>
      <c r="F14" s="18" t="s">
        <v>51</v>
      </c>
      <c r="G14" s="23" t="s">
        <v>39</v>
      </c>
      <c r="H14" s="22">
        <v>31812.8</v>
      </c>
      <c r="I14" s="27">
        <f>IF(COUNTIFS('Taux'!$A$6:$A$20,A14,'Taux'!$B$6:$B$20,D14)=1,SUMIFS('Taux'!$D$6:$D$20,'Taux'!$A$6:$A$20,A14,'Taux'!$B$6:$B$20,D14),"n.d.")</f>
        <v>1</v>
      </c>
      <c r="J14" s="22">
        <f>IF(COUNT(H14,I14)=2,H14/I14,"n.d.")</f>
        <v>31812.8</v>
      </c>
    </row>
    <row r="15" spans="1:11" ht="19" customHeight="1">
      <c r="A15" s="18" t="s">
        <v>172</v>
      </c>
      <c r="B15" s="18" t="s">
        <v>177</v>
      </c>
      <c r="C15" s="18" t="s">
        <v>9</v>
      </c>
      <c r="D15" s="18" t="s">
        <v>174</v>
      </c>
      <c r="E15" s="18" t="s">
        <v>214</v>
      </c>
      <c r="F15" s="18" t="s">
        <v>49</v>
      </c>
      <c r="G15" s="23" t="s">
        <v>39</v>
      </c>
      <c r="H15" s="22">
        <v>10137.63</v>
      </c>
      <c r="I15" s="27">
        <f>IF(COUNTIFS('Taux'!$A$6:$A$20,A15,'Taux'!$B$6:$B$20,D15)=1,SUMIFS('Taux'!$D$6:$D$20,'Taux'!$A$6:$A$20,A15,'Taux'!$B$6:$B$20,D15),"n.d.")</f>
        <v>1</v>
      </c>
      <c r="J15" s="22">
        <f>IF(COUNT(H15,I15)=2,H15/I15,"n.d.")</f>
        <v>10137.63</v>
      </c>
    </row>
    <row r="16" spans="1:11" ht="19" customHeight="1">
      <c r="A16" s="18" t="s">
        <v>172</v>
      </c>
      <c r="B16" s="18" t="s">
        <v>177</v>
      </c>
      <c r="C16" s="18" t="s">
        <v>9</v>
      </c>
      <c r="D16" s="18" t="s">
        <v>174</v>
      </c>
      <c r="E16" s="18" t="s">
        <v>214</v>
      </c>
      <c r="F16" s="18" t="s">
        <v>50</v>
      </c>
      <c r="G16" s="23" t="s">
        <v>39</v>
      </c>
      <c r="H16" s="22">
        <v>56408.29</v>
      </c>
      <c r="I16" s="27">
        <f>IF(COUNTIFS('Taux'!$A$6:$A$20,A16,'Taux'!$B$6:$B$20,D16)=1,SUMIFS('Taux'!$D$6:$D$20,'Taux'!$A$6:$A$20,A16,'Taux'!$B$6:$B$20,D16),"n.d.")</f>
        <v>1</v>
      </c>
      <c r="J16" s="22">
        <f>IF(COUNT(H16,I16)=2,H16/I16,"n.d.")</f>
        <v>56408.29</v>
      </c>
    </row>
    <row r="17" spans="1:11" ht="19" customHeight="1">
      <c r="A17" s="18" t="s">
        <v>172</v>
      </c>
      <c r="B17" s="18" t="s">
        <v>177</v>
      </c>
      <c r="C17" s="18" t="s">
        <v>9</v>
      </c>
      <c r="D17" s="18" t="s">
        <v>174</v>
      </c>
      <c r="E17" s="18" t="s">
        <v>214</v>
      </c>
      <c r="F17" s="18" t="s">
        <v>51</v>
      </c>
      <c r="G17" s="23" t="s">
        <v>39</v>
      </c>
      <c r="H17" s="22">
        <v>170641.08</v>
      </c>
      <c r="I17" s="27">
        <f>IF(COUNTIFS('Taux'!$A$6:$A$20,A17,'Taux'!$B$6:$B$20,D17)=1,SUMIFS('Taux'!$D$6:$D$20,'Taux'!$A$6:$A$20,A17,'Taux'!$B$6:$B$20,D17),"n.d.")</f>
        <v>1</v>
      </c>
      <c r="J17" s="22">
        <f>IF(COUNT(H17,I17)=2,H17/I17,"n.d.")</f>
        <v>170641.08</v>
      </c>
    </row>
    <row r="18" spans="1:11" ht="19" customHeight="1">
      <c r="A18" s="18" t="s">
        <v>172</v>
      </c>
      <c r="B18" s="18" t="s">
        <v>178</v>
      </c>
      <c r="C18" s="18" t="s">
        <v>10</v>
      </c>
      <c r="D18" s="18" t="s">
        <v>174</v>
      </c>
      <c r="E18" s="18" t="s">
        <v>214</v>
      </c>
      <c r="F18" s="18" t="s">
        <v>49</v>
      </c>
      <c r="G18" s="23" t="s">
        <v>39</v>
      </c>
      <c r="H18" s="22">
        <v>1852194.77</v>
      </c>
      <c r="I18" s="27">
        <f>IF(COUNTIFS('Taux'!$A$6:$A$20,A18,'Taux'!$B$6:$B$20,D18)=1,SUMIFS('Taux'!$D$6:$D$20,'Taux'!$A$6:$A$20,A18,'Taux'!$B$6:$B$20,D18),"n.d.")</f>
        <v>1</v>
      </c>
      <c r="J18" s="22">
        <f>IF(COUNT(H18,I18)=2,H18/I18,"n.d.")</f>
        <v>1852194.77</v>
      </c>
    </row>
    <row r="19" spans="1:11" ht="19" customHeight="1">
      <c r="A19" s="18" t="s">
        <v>172</v>
      </c>
      <c r="B19" s="18" t="s">
        <v>178</v>
      </c>
      <c r="C19" s="18" t="s">
        <v>10</v>
      </c>
      <c r="D19" s="18" t="s">
        <v>174</v>
      </c>
      <c r="E19" s="18" t="s">
        <v>214</v>
      </c>
      <c r="F19" s="18" t="s">
        <v>50</v>
      </c>
      <c r="G19" s="23" t="s">
        <v>39</v>
      </c>
      <c r="H19" s="22">
        <v>503868.5</v>
      </c>
      <c r="I19" s="27">
        <f>IF(COUNTIFS('Taux'!$A$6:$A$20,A19,'Taux'!$B$6:$B$20,D19)=1,SUMIFS('Taux'!$D$6:$D$20,'Taux'!$A$6:$A$20,A19,'Taux'!$B$6:$B$20,D19),"n.d.")</f>
        <v>1</v>
      </c>
      <c r="J19" s="22">
        <f>IF(COUNT(H19,I19)=2,H19/I19,"n.d.")</f>
        <v>503868.5</v>
      </c>
    </row>
    <row r="20" spans="1:11" ht="19" customHeight="1">
      <c r="A20" s="18" t="s">
        <v>172</v>
      </c>
      <c r="B20" s="18" t="s">
        <v>178</v>
      </c>
      <c r="C20" s="18" t="s">
        <v>10</v>
      </c>
      <c r="D20" s="18" t="s">
        <v>174</v>
      </c>
      <c r="E20" s="18" t="s">
        <v>214</v>
      </c>
      <c r="F20" s="18" t="s">
        <v>51</v>
      </c>
      <c r="G20" s="23" t="s">
        <v>39</v>
      </c>
      <c r="H20" s="22">
        <v>692970.05</v>
      </c>
      <c r="I20" s="27">
        <f>IF(COUNTIFS('Taux'!$A$6:$A$20,A20,'Taux'!$B$6:$B$20,D20)=1,SUMIFS('Taux'!$D$6:$D$20,'Taux'!$A$6:$A$20,A20,'Taux'!$B$6:$B$20,D20),"n.d.")</f>
        <v>1</v>
      </c>
      <c r="J20" s="22">
        <f>IF(COUNT(H20,I20)=2,H20/I20,"n.d.")</f>
        <v>692970.05</v>
      </c>
    </row>
    <row r="21" spans="1:11" ht="19" customHeight="1">
      <c r="A21" s="18" t="s">
        <v>172</v>
      </c>
      <c r="B21" s="18" t="s">
        <v>179</v>
      </c>
      <c r="C21" s="18" t="s">
        <v>11</v>
      </c>
      <c r="D21" s="18" t="s">
        <v>174</v>
      </c>
      <c r="E21" s="18" t="s">
        <v>214</v>
      </c>
      <c r="F21" s="18" t="s">
        <v>49</v>
      </c>
      <c r="G21" s="23" t="s">
        <v>39</v>
      </c>
      <c r="H21" s="22">
        <v>15440.99</v>
      </c>
      <c r="I21" s="27">
        <f>IF(COUNTIFS('Taux'!$A$6:$A$20,A21,'Taux'!$B$6:$B$20,D21)=1,SUMIFS('Taux'!$D$6:$D$20,'Taux'!$A$6:$A$20,A21,'Taux'!$B$6:$B$20,D21),"n.d.")</f>
        <v>1</v>
      </c>
      <c r="J21" s="22">
        <f>IF(COUNT(H21,I21)=2,H21/I21,"n.d.")</f>
        <v>15440.99</v>
      </c>
    </row>
    <row r="22" spans="1:11" ht="19" customHeight="1">
      <c r="A22" s="18" t="s">
        <v>172</v>
      </c>
      <c r="B22" s="18" t="s">
        <v>179</v>
      </c>
      <c r="C22" s="18" t="s">
        <v>11</v>
      </c>
      <c r="D22" s="18" t="s">
        <v>174</v>
      </c>
      <c r="E22" s="18" t="s">
        <v>214</v>
      </c>
      <c r="F22" s="18" t="s">
        <v>50</v>
      </c>
      <c r="G22" s="23" t="s">
        <v>39</v>
      </c>
      <c r="H22" s="22">
        <v>192859.44</v>
      </c>
      <c r="I22" s="27">
        <f>IF(COUNTIFS('Taux'!$A$6:$A$20,A22,'Taux'!$B$6:$B$20,D22)=1,SUMIFS('Taux'!$D$6:$D$20,'Taux'!$A$6:$A$20,A22,'Taux'!$B$6:$B$20,D22),"n.d.")</f>
        <v>1</v>
      </c>
      <c r="J22" s="22">
        <f>IF(COUNT(H22,I22)=2,H22/I22,"n.d.")</f>
        <v>192859.44</v>
      </c>
    </row>
    <row r="23" spans="1:11" ht="19" customHeight="1">
      <c r="A23" s="18" t="s">
        <v>172</v>
      </c>
      <c r="B23" s="18" t="s">
        <v>179</v>
      </c>
      <c r="C23" s="18" t="s">
        <v>11</v>
      </c>
      <c r="D23" s="18" t="s">
        <v>174</v>
      </c>
      <c r="E23" s="18" t="s">
        <v>214</v>
      </c>
      <c r="F23" s="18" t="s">
        <v>51</v>
      </c>
      <c r="G23" s="23" t="s">
        <v>39</v>
      </c>
      <c r="H23" s="22">
        <v>335957.45</v>
      </c>
      <c r="I23" s="27">
        <f>IF(COUNTIFS('Taux'!$A$6:$A$20,A23,'Taux'!$B$6:$B$20,D23)=1,SUMIFS('Taux'!$D$6:$D$20,'Taux'!$A$6:$A$20,A23,'Taux'!$B$6:$B$20,D23),"n.d.")</f>
        <v>1</v>
      </c>
      <c r="J23" s="22">
        <f>IF(COUNT(H23,I23)=2,H23/I23,"n.d.")</f>
        <v>335957.45</v>
      </c>
    </row>
    <row r="24" spans="1:11" ht="19" customHeight="1">
      <c r="A24" s="18" t="s">
        <v>172</v>
      </c>
      <c r="B24" s="18" t="s">
        <v>180</v>
      </c>
      <c r="C24" s="18" t="s">
        <v>12</v>
      </c>
      <c r="D24" s="18" t="s">
        <v>174</v>
      </c>
      <c r="E24" s="18" t="s">
        <v>214</v>
      </c>
      <c r="F24" s="18" t="s">
        <v>49</v>
      </c>
      <c r="G24" s="23" t="s">
        <v>39</v>
      </c>
      <c r="H24" s="22">
        <v>69817.28</v>
      </c>
      <c r="I24" s="27">
        <f>IF(COUNTIFS('Taux'!$A$6:$A$20,A24,'Taux'!$B$6:$B$20,D24)=1,SUMIFS('Taux'!$D$6:$D$20,'Taux'!$A$6:$A$20,A24,'Taux'!$B$6:$B$20,D24),"n.d.")</f>
        <v>1</v>
      </c>
      <c r="J24" s="22">
        <f>IF(COUNT(H24,I24)=2,H24/I24,"n.d.")</f>
        <v>69817.28</v>
      </c>
    </row>
    <row r="25" spans="1:11" ht="19" customHeight="1">
      <c r="A25" s="18" t="s">
        <v>172</v>
      </c>
      <c r="B25" s="18" t="s">
        <v>180</v>
      </c>
      <c r="C25" s="18" t="s">
        <v>12</v>
      </c>
      <c r="D25" s="18" t="s">
        <v>174</v>
      </c>
      <c r="E25" s="18" t="s">
        <v>214</v>
      </c>
      <c r="F25" s="18" t="s">
        <v>50</v>
      </c>
      <c r="G25" s="23" t="s">
        <v>39</v>
      </c>
      <c r="H25" s="22">
        <v>267460.69</v>
      </c>
      <c r="I25" s="27">
        <f>IF(COUNTIFS('Taux'!$A$6:$A$20,A25,'Taux'!$B$6:$B$20,D25)=1,SUMIFS('Taux'!$D$6:$D$20,'Taux'!$A$6:$A$20,A25,'Taux'!$B$6:$B$20,D25),"n.d.")</f>
        <v>1</v>
      </c>
      <c r="J25" s="22">
        <f>IF(COUNT(H25,I25)=2,H25/I25,"n.d.")</f>
        <v>267460.69</v>
      </c>
    </row>
    <row r="26" spans="1:11" ht="19" customHeight="1">
      <c r="A26" s="18" t="s">
        <v>172</v>
      </c>
      <c r="B26" s="18" t="s">
        <v>180</v>
      </c>
      <c r="C26" s="18" t="s">
        <v>12</v>
      </c>
      <c r="D26" s="18" t="s">
        <v>174</v>
      </c>
      <c r="E26" s="18" t="s">
        <v>214</v>
      </c>
      <c r="F26" s="18" t="s">
        <v>51</v>
      </c>
      <c r="G26" s="23" t="s">
        <v>39</v>
      </c>
      <c r="H26" s="22">
        <v>3570742.93</v>
      </c>
      <c r="I26" s="27">
        <f>IF(COUNTIFS('Taux'!$A$6:$A$20,A26,'Taux'!$B$6:$B$20,D26)=1,SUMIFS('Taux'!$D$6:$D$20,'Taux'!$A$6:$A$20,A26,'Taux'!$B$6:$B$20,D26),"n.d.")</f>
        <v>1</v>
      </c>
      <c r="J26" s="22">
        <f>IF(COUNT(H26,I26)=2,H26/I26,"n.d.")</f>
        <v>3570742.93</v>
      </c>
    </row>
    <row r="27" spans="1:11" ht="19" customHeight="1">
      <c r="A27" s="18" t="s">
        <v>172</v>
      </c>
      <c r="B27" s="18" t="s">
        <v>13</v>
      </c>
      <c r="C27" s="18" t="s">
        <v>13</v>
      </c>
      <c r="D27" s="18" t="s">
        <v>181</v>
      </c>
      <c r="E27" s="18" t="s">
        <v>214</v>
      </c>
      <c r="F27" s="18" t="s">
        <v>49</v>
      </c>
      <c r="G27" s="23" t="s">
        <v>39</v>
      </c>
      <c r="H27" s="23" t="s">
        <v>39</v>
      </c>
      <c r="I27" s="27" t="str">
        <f>IF(COUNTIFS('Taux'!$A$6:$A$20,A27,'Taux'!$B$6:$B$20,D27)=1,SUMIFS('Taux'!$D$6:$D$20,'Taux'!$A$6:$A$20,A27,'Taux'!$B$6:$B$20,D27),"n.d.")</f>
        <v>n.d.</v>
      </c>
      <c r="J27" s="22" t="str">
        <f>IF(COUNT(H27,I27)=2,H27/I27,"n.d.")</f>
        <v>n.d.</v>
      </c>
    </row>
    <row r="28" spans="1:11" ht="19" customHeight="1">
      <c r="A28" s="18" t="s">
        <v>172</v>
      </c>
      <c r="B28" s="18" t="s">
        <v>13</v>
      </c>
      <c r="C28" s="18" t="s">
        <v>13</v>
      </c>
      <c r="D28" s="18" t="s">
        <v>181</v>
      </c>
      <c r="E28" s="18" t="s">
        <v>214</v>
      </c>
      <c r="F28" s="18" t="s">
        <v>50</v>
      </c>
      <c r="G28" s="23" t="s">
        <v>39</v>
      </c>
      <c r="H28" s="23" t="s">
        <v>39</v>
      </c>
      <c r="I28" s="27" t="str">
        <f>IF(COUNTIFS('Taux'!$A$6:$A$20,A28,'Taux'!$B$6:$B$20,D28)=1,SUMIFS('Taux'!$D$6:$D$20,'Taux'!$A$6:$A$20,A28,'Taux'!$B$6:$B$20,D28),"n.d.")</f>
        <v>n.d.</v>
      </c>
      <c r="J28" s="22" t="str">
        <f>IF(COUNT(H28,I28)=2,H28/I28,"n.d.")</f>
        <v>n.d.</v>
      </c>
    </row>
    <row r="29" spans="1:11" ht="19" customHeight="1">
      <c r="A29" s="18" t="s">
        <v>172</v>
      </c>
      <c r="B29" s="18" t="s">
        <v>13</v>
      </c>
      <c r="C29" s="18" t="s">
        <v>13</v>
      </c>
      <c r="D29" s="18" t="s">
        <v>181</v>
      </c>
      <c r="E29" s="18" t="s">
        <v>214</v>
      </c>
      <c r="F29" s="18" t="s">
        <v>51</v>
      </c>
      <c r="G29" s="23" t="s">
        <v>39</v>
      </c>
      <c r="H29" s="23" t="s">
        <v>39</v>
      </c>
      <c r="I29" s="27" t="str">
        <f>IF(COUNTIFS('Taux'!$A$6:$A$20,A29,'Taux'!$B$6:$B$20,D29)=1,SUMIFS('Taux'!$D$6:$D$20,'Taux'!$A$6:$A$20,A29,'Taux'!$B$6:$B$20,D29),"n.d.")</f>
        <v>n.d.</v>
      </c>
      <c r="J29" s="22" t="str">
        <f>IF(COUNT(H29,I29)=2,H29/I29,"n.d.")</f>
        <v>n.d.</v>
      </c>
    </row>
    <row r="30" spans="1:11" ht="19" customHeight="1">
      <c r="A30" s="18" t="s">
        <v>172</v>
      </c>
      <c r="B30" s="18" t="s">
        <v>182</v>
      </c>
      <c r="C30" s="18" t="s">
        <v>14</v>
      </c>
      <c r="D30" s="18" t="s">
        <v>183</v>
      </c>
      <c r="E30" s="18" t="s">
        <v>214</v>
      </c>
      <c r="F30" s="18" t="s">
        <v>49</v>
      </c>
      <c r="G30" s="23" t="s">
        <v>39</v>
      </c>
      <c r="H30" s="23" t="s">
        <v>39</v>
      </c>
      <c r="I30" s="27" t="str">
        <f>IF(COUNTIFS('Taux'!$A$6:$A$20,A30,'Taux'!$B$6:$B$20,D30)=1,SUMIFS('Taux'!$D$6:$D$20,'Taux'!$A$6:$A$20,A30,'Taux'!$B$6:$B$20,D30),"n.d.")</f>
        <v>n.d.</v>
      </c>
      <c r="J30" s="22" t="str">
        <f>IF(COUNT(H30,I30)=2,H30/I30,"n.d.")</f>
        <v>n.d.</v>
      </c>
    </row>
    <row r="31" spans="1:11" ht="19" customHeight="1">
      <c r="A31" s="18" t="s">
        <v>172</v>
      </c>
      <c r="B31" s="18" t="s">
        <v>182</v>
      </c>
      <c r="C31" s="18" t="s">
        <v>14</v>
      </c>
      <c r="D31" s="18" t="s">
        <v>183</v>
      </c>
      <c r="E31" s="18" t="s">
        <v>214</v>
      </c>
      <c r="F31" s="18" t="s">
        <v>50</v>
      </c>
      <c r="G31" s="23" t="s">
        <v>39</v>
      </c>
      <c r="H31" s="23" t="s">
        <v>39</v>
      </c>
      <c r="I31" s="27" t="str">
        <f>IF(COUNTIFS('Taux'!$A$6:$A$20,A31,'Taux'!$B$6:$B$20,D31)=1,SUMIFS('Taux'!$D$6:$D$20,'Taux'!$A$6:$A$20,A31,'Taux'!$B$6:$B$20,D31),"n.d.")</f>
        <v>n.d.</v>
      </c>
      <c r="J31" s="22" t="str">
        <f>IF(COUNT(H31,I31)=2,H31/I31,"n.d.")</f>
        <v>n.d.</v>
      </c>
    </row>
    <row r="32" spans="1:11" ht="19" customHeight="1">
      <c r="A32" s="18" t="s">
        <v>172</v>
      </c>
      <c r="B32" s="18" t="s">
        <v>182</v>
      </c>
      <c r="C32" s="18" t="s">
        <v>14</v>
      </c>
      <c r="D32" s="18" t="s">
        <v>183</v>
      </c>
      <c r="E32" s="18" t="s">
        <v>214</v>
      </c>
      <c r="F32" s="18" t="s">
        <v>51</v>
      </c>
      <c r="G32" s="23" t="s">
        <v>39</v>
      </c>
      <c r="H32" s="23" t="s">
        <v>39</v>
      </c>
      <c r="I32" s="27" t="str">
        <f>IF(COUNTIFS('Taux'!$A$6:$A$20,A32,'Taux'!$B$6:$B$20,D32)=1,SUMIFS('Taux'!$D$6:$D$20,'Taux'!$A$6:$A$20,A32,'Taux'!$B$6:$B$20,D32),"n.d.")</f>
        <v>n.d.</v>
      </c>
      <c r="J32" s="22" t="str">
        <f>IF(COUNT(H32,I32)=2,H32/I32,"n.d.")</f>
        <v>n.d.</v>
      </c>
    </row>
    <row r="33" spans="1:11" ht="19" customHeight="1">
      <c r="A33" s="18" t="s">
        <v>172</v>
      </c>
      <c r="B33" s="18" t="s">
        <v>184</v>
      </c>
      <c r="C33" s="18" t="s">
        <v>15</v>
      </c>
      <c r="D33" s="18" t="s">
        <v>174</v>
      </c>
      <c r="E33" s="18" t="s">
        <v>214</v>
      </c>
      <c r="F33" s="18" t="s">
        <v>49</v>
      </c>
      <c r="G33" s="23" t="s">
        <v>39</v>
      </c>
      <c r="H33" s="22">
        <v>483.369</v>
      </c>
      <c r="I33" s="27">
        <f>IF(COUNTIFS('Taux'!$A$6:$A$20,A33,'Taux'!$B$6:$B$20,D33)=1,SUMIFS('Taux'!$D$6:$D$20,'Taux'!$A$6:$A$20,A33,'Taux'!$B$6:$B$20,D33),"n.d.")</f>
        <v>1</v>
      </c>
      <c r="J33" s="22">
        <f>IF(COUNT(H33,I33)=2,H33/I33,"n.d.")</f>
        <v>483.369</v>
      </c>
    </row>
    <row r="34" spans="1:11" ht="19" customHeight="1">
      <c r="A34" s="18" t="s">
        <v>172</v>
      </c>
      <c r="B34" s="18" t="s">
        <v>184</v>
      </c>
      <c r="C34" s="18" t="s">
        <v>15</v>
      </c>
      <c r="D34" s="18" t="s">
        <v>174</v>
      </c>
      <c r="E34" s="18" t="s">
        <v>214</v>
      </c>
      <c r="F34" s="18" t="s">
        <v>50</v>
      </c>
      <c r="G34" s="23" t="s">
        <v>39</v>
      </c>
      <c r="H34" s="22">
        <v>9633.6484</v>
      </c>
      <c r="I34" s="27">
        <f>IF(COUNTIFS('Taux'!$A$6:$A$20,A34,'Taux'!$B$6:$B$20,D34)=1,SUMIFS('Taux'!$D$6:$D$20,'Taux'!$A$6:$A$20,A34,'Taux'!$B$6:$B$20,D34),"n.d.")</f>
        <v>1</v>
      </c>
      <c r="J34" s="22">
        <f>IF(COUNT(H34,I34)=2,H34/I34,"n.d.")</f>
        <v>9633.6484</v>
      </c>
    </row>
    <row r="35" spans="1:11" ht="19" customHeight="1">
      <c r="A35" s="18" t="s">
        <v>172</v>
      </c>
      <c r="B35" s="18" t="s">
        <v>184</v>
      </c>
      <c r="C35" s="18" t="s">
        <v>15</v>
      </c>
      <c r="D35" s="18" t="s">
        <v>174</v>
      </c>
      <c r="E35" s="18" t="s">
        <v>214</v>
      </c>
      <c r="F35" s="18" t="s">
        <v>51</v>
      </c>
      <c r="G35" s="23" t="s">
        <v>39</v>
      </c>
      <c r="H35" s="22">
        <v>43608.3842</v>
      </c>
      <c r="I35" s="27">
        <f>IF(COUNTIFS('Taux'!$A$6:$A$20,A35,'Taux'!$B$6:$B$20,D35)=1,SUMIFS('Taux'!$D$6:$D$20,'Taux'!$A$6:$A$20,A35,'Taux'!$B$6:$B$20,D35),"n.d.")</f>
        <v>1</v>
      </c>
      <c r="J35" s="22">
        <f>IF(COUNT(H35,I35)=2,H35/I35,"n.d.")</f>
        <v>43608.3842</v>
      </c>
    </row>
    <row r="36" spans="1:11" ht="19" customHeight="1">
      <c r="A36" s="18" t="s">
        <v>172</v>
      </c>
      <c r="B36" s="18" t="s">
        <v>185</v>
      </c>
      <c r="C36" s="18" t="s">
        <v>16</v>
      </c>
      <c r="D36" s="18" t="s">
        <v>186</v>
      </c>
      <c r="E36" s="18" t="s">
        <v>214</v>
      </c>
      <c r="F36" s="18" t="s">
        <v>49</v>
      </c>
      <c r="G36" s="23" t="s">
        <v>39</v>
      </c>
      <c r="H36" s="23" t="s">
        <v>39</v>
      </c>
      <c r="I36" s="27" t="str">
        <f>IF(COUNTIFS('Taux'!$A$6:$A$20,A36,'Taux'!$B$6:$B$20,D36)=1,SUMIFS('Taux'!$D$6:$D$20,'Taux'!$A$6:$A$20,A36,'Taux'!$B$6:$B$20,D36),"n.d.")</f>
        <v>n.d.</v>
      </c>
      <c r="J36" s="22" t="str">
        <f>IF(COUNT(H36,I36)=2,H36/I36,"n.d.")</f>
        <v>n.d.</v>
      </c>
    </row>
    <row r="37" spans="1:11" ht="19" customHeight="1">
      <c r="A37" s="18" t="s">
        <v>172</v>
      </c>
      <c r="B37" s="18" t="s">
        <v>185</v>
      </c>
      <c r="C37" s="18" t="s">
        <v>16</v>
      </c>
      <c r="D37" s="18" t="s">
        <v>186</v>
      </c>
      <c r="E37" s="18" t="s">
        <v>214</v>
      </c>
      <c r="F37" s="18" t="s">
        <v>50</v>
      </c>
      <c r="G37" s="23" t="s">
        <v>39</v>
      </c>
      <c r="H37" s="23" t="s">
        <v>39</v>
      </c>
      <c r="I37" s="27" t="str">
        <f>IF(COUNTIFS('Taux'!$A$6:$A$20,A37,'Taux'!$B$6:$B$20,D37)=1,SUMIFS('Taux'!$D$6:$D$20,'Taux'!$A$6:$A$20,A37,'Taux'!$B$6:$B$20,D37),"n.d.")</f>
        <v>n.d.</v>
      </c>
      <c r="J37" s="22" t="str">
        <f>IF(COUNT(H37,I37)=2,H37/I37,"n.d.")</f>
        <v>n.d.</v>
      </c>
    </row>
    <row r="38" spans="1:11" ht="19" customHeight="1">
      <c r="A38" s="18" t="s">
        <v>172</v>
      </c>
      <c r="B38" s="18" t="s">
        <v>185</v>
      </c>
      <c r="C38" s="18" t="s">
        <v>16</v>
      </c>
      <c r="D38" s="18" t="s">
        <v>186</v>
      </c>
      <c r="E38" s="18" t="s">
        <v>214</v>
      </c>
      <c r="F38" s="18" t="s">
        <v>51</v>
      </c>
      <c r="G38" s="23" t="s">
        <v>39</v>
      </c>
      <c r="H38" s="23" t="s">
        <v>39</v>
      </c>
      <c r="I38" s="27" t="str">
        <f>IF(COUNTIFS('Taux'!$A$6:$A$20,A38,'Taux'!$B$6:$B$20,D38)=1,SUMIFS('Taux'!$D$6:$D$20,'Taux'!$A$6:$A$20,A38,'Taux'!$B$6:$B$20,D38),"n.d.")</f>
        <v>n.d.</v>
      </c>
      <c r="J38" s="22" t="str">
        <f>IF(COUNT(H38,I38)=2,H38/I38,"n.d.")</f>
        <v>n.d.</v>
      </c>
    </row>
    <row r="39" spans="1:11" ht="19" customHeight="1">
      <c r="A39" s="18" t="s">
        <v>172</v>
      </c>
      <c r="B39" s="18" t="s">
        <v>187</v>
      </c>
      <c r="C39" s="18" t="s">
        <v>17</v>
      </c>
      <c r="D39" s="18" t="s">
        <v>188</v>
      </c>
      <c r="E39" s="18" t="s">
        <v>214</v>
      </c>
      <c r="F39" s="18" t="s">
        <v>49</v>
      </c>
      <c r="G39" s="23" t="s">
        <v>39</v>
      </c>
      <c r="H39" s="23" t="s">
        <v>39</v>
      </c>
      <c r="I39" s="27" t="str">
        <f>IF(COUNTIFS('Taux'!$A$6:$A$20,A39,'Taux'!$B$6:$B$20,D39)=1,SUMIFS('Taux'!$D$6:$D$20,'Taux'!$A$6:$A$20,A39,'Taux'!$B$6:$B$20,D39),"n.d.")</f>
        <v>n.d.</v>
      </c>
      <c r="J39" s="22" t="str">
        <f>IF(COUNT(H39,I39)=2,H39/I39,"n.d.")</f>
        <v>n.d.</v>
      </c>
    </row>
    <row r="40" spans="1:11" ht="19" customHeight="1">
      <c r="A40" s="18" t="s">
        <v>172</v>
      </c>
      <c r="B40" s="18" t="s">
        <v>187</v>
      </c>
      <c r="C40" s="18" t="s">
        <v>17</v>
      </c>
      <c r="D40" s="18" t="s">
        <v>188</v>
      </c>
      <c r="E40" s="18" t="s">
        <v>214</v>
      </c>
      <c r="F40" s="18" t="s">
        <v>50</v>
      </c>
      <c r="G40" s="23" t="s">
        <v>39</v>
      </c>
      <c r="H40" s="23" t="s">
        <v>39</v>
      </c>
      <c r="I40" s="27" t="str">
        <f>IF(COUNTIFS('Taux'!$A$6:$A$20,A40,'Taux'!$B$6:$B$20,D40)=1,SUMIFS('Taux'!$D$6:$D$20,'Taux'!$A$6:$A$20,A40,'Taux'!$B$6:$B$20,D40),"n.d.")</f>
        <v>n.d.</v>
      </c>
      <c r="J40" s="22" t="str">
        <f>IF(COUNT(H40,I40)=2,H40/I40,"n.d.")</f>
        <v>n.d.</v>
      </c>
    </row>
    <row r="41" spans="1:11" ht="19" customHeight="1">
      <c r="A41" s="18" t="s">
        <v>172</v>
      </c>
      <c r="B41" s="18" t="s">
        <v>187</v>
      </c>
      <c r="C41" s="18" t="s">
        <v>17</v>
      </c>
      <c r="D41" s="18" t="s">
        <v>188</v>
      </c>
      <c r="E41" s="18" t="s">
        <v>214</v>
      </c>
      <c r="F41" s="18" t="s">
        <v>51</v>
      </c>
      <c r="G41" s="23" t="s">
        <v>39</v>
      </c>
      <c r="H41" s="23" t="s">
        <v>39</v>
      </c>
      <c r="I41" s="27" t="str">
        <f>IF(COUNTIFS('Taux'!$A$6:$A$20,A41,'Taux'!$B$6:$B$20,D41)=1,SUMIFS('Taux'!$D$6:$D$20,'Taux'!$A$6:$A$20,A41,'Taux'!$B$6:$B$20,D41),"n.d.")</f>
        <v>n.d.</v>
      </c>
      <c r="J41" s="22" t="str">
        <f>IF(COUNT(H41,I41)=2,H41/I41,"n.d.")</f>
        <v>n.d.</v>
      </c>
    </row>
    <row r="42" spans="1:11" ht="19" customHeight="1">
      <c r="A42" s="18" t="s">
        <v>172</v>
      </c>
      <c r="B42" s="18" t="s">
        <v>189</v>
      </c>
      <c r="C42" s="18" t="s">
        <v>18</v>
      </c>
      <c r="D42" s="18" t="s">
        <v>190</v>
      </c>
      <c r="E42" s="18" t="s">
        <v>214</v>
      </c>
      <c r="F42" s="18" t="s">
        <v>49</v>
      </c>
      <c r="G42" s="23" t="s">
        <v>39</v>
      </c>
      <c r="H42" s="23" t="s">
        <v>39</v>
      </c>
      <c r="I42" s="27" t="str">
        <f>IF(COUNTIFS('Taux'!$A$6:$A$20,A42,'Taux'!$B$6:$B$20,D42)=1,SUMIFS('Taux'!$D$6:$D$20,'Taux'!$A$6:$A$20,A42,'Taux'!$B$6:$B$20,D42),"n.d.")</f>
        <v>n.d.</v>
      </c>
      <c r="J42" s="22" t="str">
        <f>IF(COUNT(H42,I42)=2,H42/I42,"n.d.")</f>
        <v>n.d.</v>
      </c>
    </row>
    <row r="43" spans="1:11" ht="19" customHeight="1">
      <c r="A43" s="18" t="s">
        <v>172</v>
      </c>
      <c r="B43" s="18" t="s">
        <v>189</v>
      </c>
      <c r="C43" s="18" t="s">
        <v>18</v>
      </c>
      <c r="D43" s="18" t="s">
        <v>190</v>
      </c>
      <c r="E43" s="18" t="s">
        <v>214</v>
      </c>
      <c r="F43" s="18" t="s">
        <v>50</v>
      </c>
      <c r="G43" s="23" t="s">
        <v>39</v>
      </c>
      <c r="H43" s="23" t="s">
        <v>39</v>
      </c>
      <c r="I43" s="27" t="str">
        <f>IF(COUNTIFS('Taux'!$A$6:$A$20,A43,'Taux'!$B$6:$B$20,D43)=1,SUMIFS('Taux'!$D$6:$D$20,'Taux'!$A$6:$A$20,A43,'Taux'!$B$6:$B$20,D43),"n.d.")</f>
        <v>n.d.</v>
      </c>
      <c r="J43" s="22" t="str">
        <f>IF(COUNT(H43,I43)=2,H43/I43,"n.d.")</f>
        <v>n.d.</v>
      </c>
    </row>
    <row r="44" spans="1:11" ht="19" customHeight="1">
      <c r="A44" s="18" t="s">
        <v>172</v>
      </c>
      <c r="B44" s="18" t="s">
        <v>189</v>
      </c>
      <c r="C44" s="18" t="s">
        <v>18</v>
      </c>
      <c r="D44" s="18" t="s">
        <v>190</v>
      </c>
      <c r="E44" s="18" t="s">
        <v>214</v>
      </c>
      <c r="F44" s="18" t="s">
        <v>51</v>
      </c>
      <c r="G44" s="23" t="s">
        <v>39</v>
      </c>
      <c r="H44" s="23" t="s">
        <v>39</v>
      </c>
      <c r="I44" s="27" t="str">
        <f>IF(COUNTIFS('Taux'!$A$6:$A$20,A44,'Taux'!$B$6:$B$20,D44)=1,SUMIFS('Taux'!$D$6:$D$20,'Taux'!$A$6:$A$20,A44,'Taux'!$B$6:$B$20,D44),"n.d.")</f>
        <v>n.d.</v>
      </c>
      <c r="J44" s="22" t="str">
        <f>IF(COUNT(H44,I44)=2,H44/I44,"n.d.")</f>
        <v>n.d.</v>
      </c>
    </row>
    <row r="45" spans="1:11" ht="19" customHeight="1">
      <c r="A45" s="18" t="s">
        <v>172</v>
      </c>
      <c r="B45" s="18" t="s">
        <v>191</v>
      </c>
      <c r="C45" s="18" t="s">
        <v>19</v>
      </c>
      <c r="D45" s="18" t="s">
        <v>192</v>
      </c>
      <c r="E45" s="18" t="s">
        <v>214</v>
      </c>
      <c r="F45" s="18" t="s">
        <v>49</v>
      </c>
      <c r="G45" s="23" t="s">
        <v>39</v>
      </c>
      <c r="H45" s="23" t="s">
        <v>39</v>
      </c>
      <c r="I45" s="27" t="str">
        <f>IF(COUNTIFS('Taux'!$A$6:$A$20,A45,'Taux'!$B$6:$B$20,D45)=1,SUMIFS('Taux'!$D$6:$D$20,'Taux'!$A$6:$A$20,A45,'Taux'!$B$6:$B$20,D45),"n.d.")</f>
        <v>n.d.</v>
      </c>
      <c r="J45" s="22" t="str">
        <f>IF(COUNT(H45,I45)=2,H45/I45,"n.d.")</f>
        <v>n.d.</v>
      </c>
    </row>
    <row r="46" spans="1:11" ht="19" customHeight="1">
      <c r="A46" s="18" t="s">
        <v>172</v>
      </c>
      <c r="B46" s="18" t="s">
        <v>191</v>
      </c>
      <c r="C46" s="18" t="s">
        <v>19</v>
      </c>
      <c r="D46" s="18" t="s">
        <v>192</v>
      </c>
      <c r="E46" s="18" t="s">
        <v>214</v>
      </c>
      <c r="F46" s="18" t="s">
        <v>50</v>
      </c>
      <c r="G46" s="23" t="s">
        <v>39</v>
      </c>
      <c r="H46" s="23" t="s">
        <v>39</v>
      </c>
      <c r="I46" s="27" t="str">
        <f>IF(COUNTIFS('Taux'!$A$6:$A$20,A46,'Taux'!$B$6:$B$20,D46)=1,SUMIFS('Taux'!$D$6:$D$20,'Taux'!$A$6:$A$20,A46,'Taux'!$B$6:$B$20,D46),"n.d.")</f>
        <v>n.d.</v>
      </c>
      <c r="J46" s="22" t="str">
        <f>IF(COUNT(H46,I46)=2,H46/I46,"n.d.")</f>
        <v>n.d.</v>
      </c>
    </row>
    <row r="47" spans="1:11" ht="19" customHeight="1">
      <c r="A47" s="18" t="s">
        <v>172</v>
      </c>
      <c r="B47" s="18" t="s">
        <v>191</v>
      </c>
      <c r="C47" s="18" t="s">
        <v>19</v>
      </c>
      <c r="D47" s="18" t="s">
        <v>192</v>
      </c>
      <c r="E47" s="18" t="s">
        <v>214</v>
      </c>
      <c r="F47" s="18" t="s">
        <v>51</v>
      </c>
      <c r="G47" s="23" t="s">
        <v>39</v>
      </c>
      <c r="H47" s="23" t="s">
        <v>39</v>
      </c>
      <c r="I47" s="27" t="str">
        <f>IF(COUNTIFS('Taux'!$A$6:$A$20,A47,'Taux'!$B$6:$B$20,D47)=1,SUMIFS('Taux'!$D$6:$D$20,'Taux'!$A$6:$A$20,A47,'Taux'!$B$6:$B$20,D47),"n.d.")</f>
        <v>n.d.</v>
      </c>
      <c r="J47" s="22" t="str">
        <f>IF(COUNT(H47,I47)=2,H47/I47,"n.d.")</f>
        <v>n.d.</v>
      </c>
    </row>
    <row r="48" spans="1:11" ht="19" customHeight="1">
      <c r="A48" s="18" t="s">
        <v>38</v>
      </c>
      <c r="B48" s="18" t="s">
        <v>177</v>
      </c>
      <c r="C48" s="18" t="s">
        <v>9</v>
      </c>
      <c r="D48" s="18" t="s">
        <v>174</v>
      </c>
      <c r="E48" s="18" t="s">
        <v>229</v>
      </c>
      <c r="F48" s="18" t="s">
        <v>66</v>
      </c>
      <c r="G48" s="26">
        <v>11</v>
      </c>
      <c r="H48" s="22">
        <v>4</v>
      </c>
      <c r="I48" s="27">
        <f>IF(COUNTIFS('Taux'!$A$6:$A$20,A48,'Taux'!$B$6:$B$20,D48)=1,SUMIFS('Taux'!$D$6:$D$20,'Taux'!$A$6:$A$20,A48,'Taux'!$B$6:$B$20,D48),"n.d.")</f>
        <v>1</v>
      </c>
      <c r="J48" s="22">
        <f>IF(COUNT(H48,I48)=2,H48/I48,"n.d.")</f>
        <v>4.0</v>
      </c>
    </row>
    <row r="49" spans="1:11" ht="19" customHeight="1">
      <c r="A49" s="18" t="s">
        <v>38</v>
      </c>
      <c r="B49" s="18" t="s">
        <v>177</v>
      </c>
      <c r="C49" s="18" t="s">
        <v>9</v>
      </c>
      <c r="D49" s="18" t="s">
        <v>174</v>
      </c>
      <c r="E49" s="18" t="s">
        <v>229</v>
      </c>
      <c r="F49" s="18" t="s">
        <v>67</v>
      </c>
      <c r="G49" s="26">
        <v>12</v>
      </c>
      <c r="H49" s="22">
        <v>67</v>
      </c>
      <c r="I49" s="27">
        <f>IF(COUNTIFS('Taux'!$A$6:$A$20,A49,'Taux'!$B$6:$B$20,D49)=1,SUMIFS('Taux'!$D$6:$D$20,'Taux'!$A$6:$A$20,A49,'Taux'!$B$6:$B$20,D49),"n.d.")</f>
        <v>1</v>
      </c>
      <c r="J49" s="22">
        <f>IF(COUNT(H49,I49)=2,H49/I49,"n.d.")</f>
        <v>67.0</v>
      </c>
    </row>
    <row r="50" spans="1:11" ht="19" customHeight="1">
      <c r="A50" s="18" t="s">
        <v>38</v>
      </c>
      <c r="B50" s="18" t="s">
        <v>177</v>
      </c>
      <c r="C50" s="18" t="s">
        <v>9</v>
      </c>
      <c r="D50" s="18" t="s">
        <v>174</v>
      </c>
      <c r="E50" s="18" t="s">
        <v>229</v>
      </c>
      <c r="F50" s="18" t="s">
        <v>68</v>
      </c>
      <c r="G50" s="26">
        <v>79</v>
      </c>
      <c r="H50" s="22">
        <v>3911</v>
      </c>
      <c r="I50" s="27">
        <f>IF(COUNTIFS('Taux'!$A$6:$A$20,A50,'Taux'!$B$6:$B$20,D50)=1,SUMIFS('Taux'!$D$6:$D$20,'Taux'!$A$6:$A$20,A50,'Taux'!$B$6:$B$20,D50),"n.d.")</f>
        <v>1</v>
      </c>
      <c r="J50" s="22">
        <f>IF(COUNT(H50,I50)=2,H50/I50,"n.d.")</f>
        <v>3911.0</v>
      </c>
    </row>
    <row r="51" spans="1:11" ht="19" customHeight="1">
      <c r="A51" s="18" t="s">
        <v>38</v>
      </c>
      <c r="B51" s="18" t="s">
        <v>177</v>
      </c>
      <c r="C51" s="18" t="s">
        <v>9</v>
      </c>
      <c r="D51" s="18" t="s">
        <v>174</v>
      </c>
      <c r="E51" s="18" t="s">
        <v>229</v>
      </c>
      <c r="F51" s="18" t="s">
        <v>69</v>
      </c>
      <c r="G51" s="26">
        <v>179</v>
      </c>
      <c r="H51" s="22">
        <v>54979</v>
      </c>
      <c r="I51" s="27">
        <f>IF(COUNTIFS('Taux'!$A$6:$A$20,A51,'Taux'!$B$6:$B$20,D51)=1,SUMIFS('Taux'!$D$6:$D$20,'Taux'!$A$6:$A$20,A51,'Taux'!$B$6:$B$20,D51),"n.d.")</f>
        <v>1</v>
      </c>
      <c r="J51" s="22">
        <f>IF(COUNT(H51,I51)=2,H51/I51,"n.d.")</f>
        <v>54979.0</v>
      </c>
    </row>
    <row r="52" spans="1:11" ht="19" customHeight="1">
      <c r="A52" s="18" t="s">
        <v>38</v>
      </c>
      <c r="B52" s="18" t="s">
        <v>177</v>
      </c>
      <c r="C52" s="18" t="s">
        <v>9</v>
      </c>
      <c r="D52" s="18" t="s">
        <v>174</v>
      </c>
      <c r="E52" s="18" t="s">
        <v>229</v>
      </c>
      <c r="F52" s="18" t="s">
        <v>70</v>
      </c>
      <c r="G52" s="26">
        <v>14</v>
      </c>
      <c r="H52" s="22">
        <v>77704</v>
      </c>
      <c r="I52" s="27">
        <f>IF(COUNTIFS('Taux'!$A$6:$A$20,A52,'Taux'!$B$6:$B$20,D52)=1,SUMIFS('Taux'!$D$6:$D$20,'Taux'!$A$6:$A$20,A52,'Taux'!$B$6:$B$20,D52),"n.d.")</f>
        <v>1</v>
      </c>
      <c r="J52" s="22">
        <f>IF(COUNT(H52,I52)=2,H52/I52,"n.d.")</f>
        <v>77704.0</v>
      </c>
    </row>
    <row r="53" spans="1:11" ht="19" customHeight="1">
      <c r="A53" s="18" t="s">
        <v>38</v>
      </c>
      <c r="B53" s="18" t="s">
        <v>177</v>
      </c>
      <c r="C53" s="18" t="s">
        <v>9</v>
      </c>
      <c r="D53" s="18" t="s">
        <v>174</v>
      </c>
      <c r="E53" s="18" t="s">
        <v>214</v>
      </c>
      <c r="F53" s="18" t="s">
        <v>73</v>
      </c>
      <c r="G53" s="23" t="s">
        <v>39</v>
      </c>
      <c r="H53" s="23" t="s">
        <v>39</v>
      </c>
      <c r="I53" s="27">
        <f>IF(COUNTIFS('Taux'!$A$6:$A$20,A53,'Taux'!$B$6:$B$20,D53)=1,SUMIFS('Taux'!$D$6:$D$20,'Taux'!$A$6:$A$20,A53,'Taux'!$B$6:$B$20,D53),"n.d.")</f>
        <v>1</v>
      </c>
      <c r="J53" s="22" t="str">
        <f>IF(COUNT(H53,I53)=2,H53/I53,"n.d.")</f>
        <v>n.d.</v>
      </c>
    </row>
    <row r="54" spans="1:11" ht="19" customHeight="1">
      <c r="A54" s="18" t="s">
        <v>38</v>
      </c>
      <c r="B54" s="18" t="s">
        <v>177</v>
      </c>
      <c r="C54" s="18" t="s">
        <v>9</v>
      </c>
      <c r="D54" s="18" t="s">
        <v>174</v>
      </c>
      <c r="E54" s="18" t="s">
        <v>214</v>
      </c>
      <c r="F54" s="18" t="s">
        <v>74</v>
      </c>
      <c r="G54" s="26">
        <v>4</v>
      </c>
      <c r="H54" s="22">
        <v>559</v>
      </c>
      <c r="I54" s="27">
        <f>IF(COUNTIFS('Taux'!$A$6:$A$20,A54,'Taux'!$B$6:$B$20,D54)=1,SUMIFS('Taux'!$D$6:$D$20,'Taux'!$A$6:$A$20,A54,'Taux'!$B$6:$B$20,D54),"n.d.")</f>
        <v>1</v>
      </c>
      <c r="J54" s="22">
        <f>IF(COUNT(H54,I54)=2,H54/I54,"n.d.")</f>
        <v>559.0</v>
      </c>
    </row>
    <row r="55" spans="1:11" ht="19" customHeight="1">
      <c r="A55" s="18" t="s">
        <v>38</v>
      </c>
      <c r="B55" s="18" t="s">
        <v>177</v>
      </c>
      <c r="C55" s="18" t="s">
        <v>9</v>
      </c>
      <c r="D55" s="18" t="s">
        <v>174</v>
      </c>
      <c r="E55" s="18" t="s">
        <v>214</v>
      </c>
      <c r="F55" s="18" t="s">
        <v>75</v>
      </c>
      <c r="G55" s="26">
        <v>4</v>
      </c>
      <c r="H55" s="22">
        <v>2056</v>
      </c>
      <c r="I55" s="27">
        <f>IF(COUNTIFS('Taux'!$A$6:$A$20,A55,'Taux'!$B$6:$B$20,D55)=1,SUMIFS('Taux'!$D$6:$D$20,'Taux'!$A$6:$A$20,A55,'Taux'!$B$6:$B$20,D55),"n.d.")</f>
        <v>1</v>
      </c>
      <c r="J55" s="22">
        <f>IF(COUNT(H55,I55)=2,H55/I55,"n.d.")</f>
        <v>2056.0</v>
      </c>
    </row>
    <row r="56" spans="1:11" ht="19" customHeight="1">
      <c r="A56" s="18" t="s">
        <v>38</v>
      </c>
      <c r="B56" s="18" t="s">
        <v>177</v>
      </c>
      <c r="C56" s="18" t="s">
        <v>9</v>
      </c>
      <c r="D56" s="18" t="s">
        <v>174</v>
      </c>
      <c r="E56" s="18" t="s">
        <v>214</v>
      </c>
      <c r="F56" s="18" t="s">
        <v>76</v>
      </c>
      <c r="G56" s="26">
        <v>9</v>
      </c>
      <c r="H56" s="22">
        <v>1953</v>
      </c>
      <c r="I56" s="27">
        <f>IF(COUNTIFS('Taux'!$A$6:$A$20,A56,'Taux'!$B$6:$B$20,D56)=1,SUMIFS('Taux'!$D$6:$D$20,'Taux'!$A$6:$A$20,A56,'Taux'!$B$6:$B$20,D56),"n.d.")</f>
        <v>1</v>
      </c>
      <c r="J56" s="22">
        <f>IF(COUNT(H56,I56)=2,H56/I56,"n.d.")</f>
        <v>1953.0</v>
      </c>
    </row>
    <row r="57" spans="1:11" ht="19" customHeight="1">
      <c r="A57" s="18" t="s">
        <v>38</v>
      </c>
      <c r="B57" s="18" t="s">
        <v>177</v>
      </c>
      <c r="C57" s="18" t="s">
        <v>9</v>
      </c>
      <c r="D57" s="18" t="s">
        <v>174</v>
      </c>
      <c r="E57" s="18" t="s">
        <v>214</v>
      </c>
      <c r="F57" s="18" t="s">
        <v>77</v>
      </c>
      <c r="G57" s="26">
        <v>22</v>
      </c>
      <c r="H57" s="22">
        <v>9241</v>
      </c>
      <c r="I57" s="27">
        <f>IF(COUNTIFS('Taux'!$A$6:$A$20,A57,'Taux'!$B$6:$B$20,D57)=1,SUMIFS('Taux'!$D$6:$D$20,'Taux'!$A$6:$A$20,A57,'Taux'!$B$6:$B$20,D57),"n.d.")</f>
        <v>1</v>
      </c>
      <c r="J57" s="22">
        <f>IF(COUNT(H57,I57)=2,H57/I57,"n.d.")</f>
        <v>9241.0</v>
      </c>
    </row>
    <row r="58" spans="1:11" ht="19" customHeight="1">
      <c r="A58" s="18" t="s">
        <v>38</v>
      </c>
      <c r="B58" s="18" t="s">
        <v>177</v>
      </c>
      <c r="C58" s="18" t="s">
        <v>9</v>
      </c>
      <c r="D58" s="18" t="s">
        <v>174</v>
      </c>
      <c r="E58" s="18" t="s">
        <v>214</v>
      </c>
      <c r="F58" s="18" t="s">
        <v>78</v>
      </c>
      <c r="G58" s="26">
        <v>11</v>
      </c>
      <c r="H58" s="22">
        <v>2958</v>
      </c>
      <c r="I58" s="27">
        <f>IF(COUNTIFS('Taux'!$A$6:$A$20,A58,'Taux'!$B$6:$B$20,D58)=1,SUMIFS('Taux'!$D$6:$D$20,'Taux'!$A$6:$A$20,A58,'Taux'!$B$6:$B$20,D58),"n.d.")</f>
        <v>1</v>
      </c>
      <c r="J58" s="22">
        <f>IF(COUNT(H58,I58)=2,H58/I58,"n.d.")</f>
        <v>2958.0</v>
      </c>
    </row>
    <row r="59" spans="1:11" ht="19" customHeight="1">
      <c r="A59" s="18" t="s">
        <v>38</v>
      </c>
      <c r="B59" s="18" t="s">
        <v>177</v>
      </c>
      <c r="C59" s="18" t="s">
        <v>9</v>
      </c>
      <c r="D59" s="18" t="s">
        <v>174</v>
      </c>
      <c r="E59" s="18" t="s">
        <v>214</v>
      </c>
      <c r="F59" s="18" t="s">
        <v>79</v>
      </c>
      <c r="G59" s="26">
        <v>4</v>
      </c>
      <c r="H59" s="22">
        <v>841</v>
      </c>
      <c r="I59" s="27">
        <f>IF(COUNTIFS('Taux'!$A$6:$A$20,A59,'Taux'!$B$6:$B$20,D59)=1,SUMIFS('Taux'!$D$6:$D$20,'Taux'!$A$6:$A$20,A59,'Taux'!$B$6:$B$20,D59),"n.d.")</f>
        <v>1</v>
      </c>
      <c r="J59" s="22">
        <f>IF(COUNT(H59,I59)=2,H59/I59,"n.d.")</f>
        <v>841.0</v>
      </c>
    </row>
    <row r="60" spans="1:11" ht="19" customHeight="1">
      <c r="A60" s="18" t="s">
        <v>38</v>
      </c>
      <c r="B60" s="18" t="s">
        <v>177</v>
      </c>
      <c r="C60" s="18" t="s">
        <v>9</v>
      </c>
      <c r="D60" s="18" t="s">
        <v>174</v>
      </c>
      <c r="E60" s="18" t="s">
        <v>214</v>
      </c>
      <c r="F60" s="18" t="s">
        <v>80</v>
      </c>
      <c r="G60" s="26">
        <v>2</v>
      </c>
      <c r="H60" s="22">
        <v>5209</v>
      </c>
      <c r="I60" s="27">
        <f>IF(COUNTIFS('Taux'!$A$6:$A$20,A60,'Taux'!$B$6:$B$20,D60)=1,SUMIFS('Taux'!$D$6:$D$20,'Taux'!$A$6:$A$20,A60,'Taux'!$B$6:$B$20,D60),"n.d.")</f>
        <v>1</v>
      </c>
      <c r="J60" s="22">
        <f>IF(COUNT(H60,I60)=2,H60/I60,"n.d.")</f>
        <v>5209.0</v>
      </c>
    </row>
    <row r="61" spans="1:11" ht="19" customHeight="1">
      <c r="A61" s="18" t="s">
        <v>38</v>
      </c>
      <c r="B61" s="18" t="s">
        <v>177</v>
      </c>
      <c r="C61" s="18" t="s">
        <v>9</v>
      </c>
      <c r="D61" s="18" t="s">
        <v>174</v>
      </c>
      <c r="E61" s="18" t="s">
        <v>214</v>
      </c>
      <c r="F61" s="18" t="s">
        <v>50</v>
      </c>
      <c r="G61" s="26">
        <v>4</v>
      </c>
      <c r="H61" s="22">
        <v>1688</v>
      </c>
      <c r="I61" s="27">
        <f>IF(COUNTIFS('Taux'!$A$6:$A$20,A61,'Taux'!$B$6:$B$20,D61)=1,SUMIFS('Taux'!$D$6:$D$20,'Taux'!$A$6:$A$20,A61,'Taux'!$B$6:$B$20,D61),"n.d.")</f>
        <v>1</v>
      </c>
      <c r="J61" s="22">
        <f>IF(COUNT(H61,I61)=2,H61/I61,"n.d.")</f>
        <v>1688.0</v>
      </c>
    </row>
    <row r="62" spans="1:11" ht="19" customHeight="1">
      <c r="A62" s="18" t="s">
        <v>38</v>
      </c>
      <c r="B62" s="18" t="s">
        <v>177</v>
      </c>
      <c r="C62" s="18" t="s">
        <v>9</v>
      </c>
      <c r="D62" s="18" t="s">
        <v>174</v>
      </c>
      <c r="E62" s="18" t="s">
        <v>214</v>
      </c>
      <c r="F62" s="18" t="s">
        <v>51</v>
      </c>
      <c r="G62" s="26">
        <v>235</v>
      </c>
      <c r="H62" s="22">
        <v>112161</v>
      </c>
      <c r="I62" s="27">
        <f>IF(COUNTIFS('Taux'!$A$6:$A$20,A62,'Taux'!$B$6:$B$20,D62)=1,SUMIFS('Taux'!$D$6:$D$20,'Taux'!$A$6:$A$20,A62,'Taux'!$B$6:$B$20,D62),"n.d.")</f>
        <v>1</v>
      </c>
      <c r="J62" s="22">
        <f>IF(COUNT(H62,I62)=2,H62/I62,"n.d.")</f>
        <v>112161.0</v>
      </c>
    </row>
    <row r="63" spans="1:11" ht="19" customHeight="1">
      <c r="A63" s="18" t="s">
        <v>38</v>
      </c>
      <c r="B63" s="18" t="s">
        <v>173</v>
      </c>
      <c r="C63" s="18" t="s">
        <v>7</v>
      </c>
      <c r="D63" s="18" t="s">
        <v>174</v>
      </c>
      <c r="E63" s="18" t="s">
        <v>229</v>
      </c>
      <c r="F63" s="18" t="s">
        <v>66</v>
      </c>
      <c r="G63" s="26">
        <v>144</v>
      </c>
      <c r="H63" s="22">
        <v>28</v>
      </c>
      <c r="I63" s="27">
        <f>IF(COUNTIFS('Taux'!$A$6:$A$20,A63,'Taux'!$B$6:$B$20,D63)=1,SUMIFS('Taux'!$D$6:$D$20,'Taux'!$A$6:$A$20,A63,'Taux'!$B$6:$B$20,D63),"n.d.")</f>
        <v>1</v>
      </c>
      <c r="J63" s="22">
        <f>IF(COUNT(H63,I63)=2,H63/I63,"n.d.")</f>
        <v>28.0</v>
      </c>
    </row>
    <row r="64" spans="1:11" ht="19" customHeight="1">
      <c r="A64" s="18" t="s">
        <v>38</v>
      </c>
      <c r="B64" s="18" t="s">
        <v>173</v>
      </c>
      <c r="C64" s="18" t="s">
        <v>7</v>
      </c>
      <c r="D64" s="18" t="s">
        <v>174</v>
      </c>
      <c r="E64" s="18" t="s">
        <v>229</v>
      </c>
      <c r="F64" s="18" t="s">
        <v>67</v>
      </c>
      <c r="G64" s="26">
        <v>510</v>
      </c>
      <c r="H64" s="22">
        <v>2762</v>
      </c>
      <c r="I64" s="27">
        <f>IF(COUNTIFS('Taux'!$A$6:$A$20,A64,'Taux'!$B$6:$B$20,D64)=1,SUMIFS('Taux'!$D$6:$D$20,'Taux'!$A$6:$A$20,A64,'Taux'!$B$6:$B$20,D64),"n.d.")</f>
        <v>1</v>
      </c>
      <c r="J64" s="22">
        <f>IF(COUNT(H64,I64)=2,H64/I64,"n.d.")</f>
        <v>2762.0</v>
      </c>
    </row>
    <row r="65" spans="1:11" ht="19" customHeight="1">
      <c r="A65" s="18" t="s">
        <v>38</v>
      </c>
      <c r="B65" s="18" t="s">
        <v>173</v>
      </c>
      <c r="C65" s="18" t="s">
        <v>7</v>
      </c>
      <c r="D65" s="18" t="s">
        <v>174</v>
      </c>
      <c r="E65" s="18" t="s">
        <v>229</v>
      </c>
      <c r="F65" s="18" t="s">
        <v>68</v>
      </c>
      <c r="G65" s="26">
        <v>4113</v>
      </c>
      <c r="H65" s="22">
        <v>194406</v>
      </c>
      <c r="I65" s="27">
        <f>IF(COUNTIFS('Taux'!$A$6:$A$20,A65,'Taux'!$B$6:$B$20,D65)=1,SUMIFS('Taux'!$D$6:$D$20,'Taux'!$A$6:$A$20,A65,'Taux'!$B$6:$B$20,D65),"n.d.")</f>
        <v>1</v>
      </c>
      <c r="J65" s="22">
        <f>IF(COUNT(H65,I65)=2,H65/I65,"n.d.")</f>
        <v>194406.0</v>
      </c>
    </row>
    <row r="66" spans="1:11" ht="19" customHeight="1">
      <c r="A66" s="18" t="s">
        <v>38</v>
      </c>
      <c r="B66" s="18" t="s">
        <v>173</v>
      </c>
      <c r="C66" s="18" t="s">
        <v>7</v>
      </c>
      <c r="D66" s="18" t="s">
        <v>174</v>
      </c>
      <c r="E66" s="18" t="s">
        <v>229</v>
      </c>
      <c r="F66" s="18" t="s">
        <v>69</v>
      </c>
      <c r="G66" s="26">
        <v>2734</v>
      </c>
      <c r="H66" s="22">
        <v>682236</v>
      </c>
      <c r="I66" s="27">
        <f>IF(COUNTIFS('Taux'!$A$6:$A$20,A66,'Taux'!$B$6:$B$20,D66)=1,SUMIFS('Taux'!$D$6:$D$20,'Taux'!$A$6:$A$20,A66,'Taux'!$B$6:$B$20,D66),"n.d.")</f>
        <v>1</v>
      </c>
      <c r="J66" s="22">
        <f>IF(COUNT(H66,I66)=2,H66/I66,"n.d.")</f>
        <v>682236.0</v>
      </c>
    </row>
    <row r="67" spans="1:11" ht="19" customHeight="1">
      <c r="A67" s="18" t="s">
        <v>38</v>
      </c>
      <c r="B67" s="18" t="s">
        <v>173</v>
      </c>
      <c r="C67" s="18" t="s">
        <v>7</v>
      </c>
      <c r="D67" s="18" t="s">
        <v>174</v>
      </c>
      <c r="E67" s="18" t="s">
        <v>229</v>
      </c>
      <c r="F67" s="18" t="s">
        <v>70</v>
      </c>
      <c r="G67" s="26">
        <v>262</v>
      </c>
      <c r="H67" s="22">
        <v>908380</v>
      </c>
      <c r="I67" s="27">
        <f>IF(COUNTIFS('Taux'!$A$6:$A$20,A67,'Taux'!$B$6:$B$20,D67)=1,SUMIFS('Taux'!$D$6:$D$20,'Taux'!$A$6:$A$20,A67,'Taux'!$B$6:$B$20,D67),"n.d.")</f>
        <v>1</v>
      </c>
      <c r="J67" s="22">
        <f>IF(COUNT(H67,I67)=2,H67/I67,"n.d.")</f>
        <v>908380.0</v>
      </c>
    </row>
    <row r="68" spans="1:11" ht="19" customHeight="1">
      <c r="A68" s="18" t="s">
        <v>38</v>
      </c>
      <c r="B68" s="18" t="s">
        <v>173</v>
      </c>
      <c r="C68" s="18" t="s">
        <v>7</v>
      </c>
      <c r="D68" s="18" t="s">
        <v>174</v>
      </c>
      <c r="E68" s="18" t="s">
        <v>214</v>
      </c>
      <c r="F68" s="18" t="s">
        <v>73</v>
      </c>
      <c r="G68" s="26">
        <v>153</v>
      </c>
      <c r="H68" s="22">
        <v>30362</v>
      </c>
      <c r="I68" s="27">
        <f>IF(COUNTIFS('Taux'!$A$6:$A$20,A68,'Taux'!$B$6:$B$20,D68)=1,SUMIFS('Taux'!$D$6:$D$20,'Taux'!$A$6:$A$20,A68,'Taux'!$B$6:$B$20,D68),"n.d.")</f>
        <v>1</v>
      </c>
      <c r="J68" s="22">
        <f>IF(COUNT(H68,I68)=2,H68/I68,"n.d.")</f>
        <v>30362.0</v>
      </c>
    </row>
    <row r="69" spans="1:11" ht="19" customHeight="1">
      <c r="A69" s="18" t="s">
        <v>38</v>
      </c>
      <c r="B69" s="18" t="s">
        <v>173</v>
      </c>
      <c r="C69" s="18" t="s">
        <v>7</v>
      </c>
      <c r="D69" s="18" t="s">
        <v>174</v>
      </c>
      <c r="E69" s="18" t="s">
        <v>214</v>
      </c>
      <c r="F69" s="18" t="s">
        <v>74</v>
      </c>
      <c r="G69" s="26">
        <v>161</v>
      </c>
      <c r="H69" s="22">
        <v>19975</v>
      </c>
      <c r="I69" s="27">
        <f>IF(COUNTIFS('Taux'!$A$6:$A$20,A69,'Taux'!$B$6:$B$20,D69)=1,SUMIFS('Taux'!$D$6:$D$20,'Taux'!$A$6:$A$20,A69,'Taux'!$B$6:$B$20,D69),"n.d.")</f>
        <v>1</v>
      </c>
      <c r="J69" s="22">
        <f>IF(COUNT(H69,I69)=2,H69/I69,"n.d.")</f>
        <v>19975.0</v>
      </c>
    </row>
    <row r="70" spans="1:11" ht="19" customHeight="1">
      <c r="A70" s="18" t="s">
        <v>38</v>
      </c>
      <c r="B70" s="18" t="s">
        <v>173</v>
      </c>
      <c r="C70" s="18" t="s">
        <v>7</v>
      </c>
      <c r="D70" s="18" t="s">
        <v>174</v>
      </c>
      <c r="E70" s="18" t="s">
        <v>214</v>
      </c>
      <c r="F70" s="18" t="s">
        <v>75</v>
      </c>
      <c r="G70" s="26">
        <v>150</v>
      </c>
      <c r="H70" s="22">
        <v>20965</v>
      </c>
      <c r="I70" s="27">
        <f>IF(COUNTIFS('Taux'!$A$6:$A$20,A70,'Taux'!$B$6:$B$20,D70)=1,SUMIFS('Taux'!$D$6:$D$20,'Taux'!$A$6:$A$20,A70,'Taux'!$B$6:$B$20,D70),"n.d.")</f>
        <v>1</v>
      </c>
      <c r="J70" s="22">
        <f>IF(COUNT(H70,I70)=2,H70/I70,"n.d.")</f>
        <v>20965.0</v>
      </c>
    </row>
    <row r="71" spans="1:11" ht="19" customHeight="1">
      <c r="A71" s="18" t="s">
        <v>38</v>
      </c>
      <c r="B71" s="18" t="s">
        <v>173</v>
      </c>
      <c r="C71" s="18" t="s">
        <v>7</v>
      </c>
      <c r="D71" s="18" t="s">
        <v>174</v>
      </c>
      <c r="E71" s="18" t="s">
        <v>214</v>
      </c>
      <c r="F71" s="18" t="s">
        <v>76</v>
      </c>
      <c r="G71" s="26">
        <v>146</v>
      </c>
      <c r="H71" s="22">
        <v>18970</v>
      </c>
      <c r="I71" s="27">
        <f>IF(COUNTIFS('Taux'!$A$6:$A$20,A71,'Taux'!$B$6:$B$20,D71)=1,SUMIFS('Taux'!$D$6:$D$20,'Taux'!$A$6:$A$20,A71,'Taux'!$B$6:$B$20,D71),"n.d.")</f>
        <v>1</v>
      </c>
      <c r="J71" s="22">
        <f>IF(COUNT(H71,I71)=2,H71/I71,"n.d.")</f>
        <v>18970.0</v>
      </c>
    </row>
    <row r="72" spans="1:11" ht="19" customHeight="1">
      <c r="A72" s="18" t="s">
        <v>38</v>
      </c>
      <c r="B72" s="18" t="s">
        <v>173</v>
      </c>
      <c r="C72" s="18" t="s">
        <v>7</v>
      </c>
      <c r="D72" s="18" t="s">
        <v>174</v>
      </c>
      <c r="E72" s="18" t="s">
        <v>214</v>
      </c>
      <c r="F72" s="18" t="s">
        <v>77</v>
      </c>
      <c r="G72" s="26">
        <v>287</v>
      </c>
      <c r="H72" s="22">
        <v>50943</v>
      </c>
      <c r="I72" s="27">
        <f>IF(COUNTIFS('Taux'!$A$6:$A$20,A72,'Taux'!$B$6:$B$20,D72)=1,SUMIFS('Taux'!$D$6:$D$20,'Taux'!$A$6:$A$20,A72,'Taux'!$B$6:$B$20,D72),"n.d.")</f>
        <v>1</v>
      </c>
      <c r="J72" s="22">
        <f>IF(COUNT(H72,I72)=2,H72/I72,"n.d.")</f>
        <v>50943.0</v>
      </c>
    </row>
    <row r="73" spans="1:11" ht="19" customHeight="1">
      <c r="A73" s="18" t="s">
        <v>38</v>
      </c>
      <c r="B73" s="18" t="s">
        <v>173</v>
      </c>
      <c r="C73" s="18" t="s">
        <v>7</v>
      </c>
      <c r="D73" s="18" t="s">
        <v>174</v>
      </c>
      <c r="E73" s="18" t="s">
        <v>214</v>
      </c>
      <c r="F73" s="18" t="s">
        <v>78</v>
      </c>
      <c r="G73" s="26">
        <v>476</v>
      </c>
      <c r="H73" s="22">
        <v>110026</v>
      </c>
      <c r="I73" s="27">
        <f>IF(COUNTIFS('Taux'!$A$6:$A$20,A73,'Taux'!$B$6:$B$20,D73)=1,SUMIFS('Taux'!$D$6:$D$20,'Taux'!$A$6:$A$20,A73,'Taux'!$B$6:$B$20,D73),"n.d.")</f>
        <v>1</v>
      </c>
      <c r="J73" s="22">
        <f>IF(COUNT(H73,I73)=2,H73/I73,"n.d.")</f>
        <v>110026.0</v>
      </c>
    </row>
    <row r="74" spans="1:11" ht="19" customHeight="1">
      <c r="A74" s="18" t="s">
        <v>38</v>
      </c>
      <c r="B74" s="18" t="s">
        <v>173</v>
      </c>
      <c r="C74" s="18" t="s">
        <v>7</v>
      </c>
      <c r="D74" s="18" t="s">
        <v>174</v>
      </c>
      <c r="E74" s="18" t="s">
        <v>214</v>
      </c>
      <c r="F74" s="18" t="s">
        <v>79</v>
      </c>
      <c r="G74" s="26">
        <v>239</v>
      </c>
      <c r="H74" s="22">
        <v>58139</v>
      </c>
      <c r="I74" s="27">
        <f>IF(COUNTIFS('Taux'!$A$6:$A$20,A74,'Taux'!$B$6:$B$20,D74)=1,SUMIFS('Taux'!$D$6:$D$20,'Taux'!$A$6:$A$20,A74,'Taux'!$B$6:$B$20,D74),"n.d.")</f>
        <v>1</v>
      </c>
      <c r="J74" s="22">
        <f>IF(COUNT(H74,I74)=2,H74/I74,"n.d.")</f>
        <v>58139.0</v>
      </c>
    </row>
    <row r="75" spans="1:11" ht="19" customHeight="1">
      <c r="A75" s="18" t="s">
        <v>38</v>
      </c>
      <c r="B75" s="18" t="s">
        <v>173</v>
      </c>
      <c r="C75" s="18" t="s">
        <v>7</v>
      </c>
      <c r="D75" s="18" t="s">
        <v>174</v>
      </c>
      <c r="E75" s="18" t="s">
        <v>214</v>
      </c>
      <c r="F75" s="18" t="s">
        <v>80</v>
      </c>
      <c r="G75" s="26">
        <v>211</v>
      </c>
      <c r="H75" s="22">
        <v>50454</v>
      </c>
      <c r="I75" s="27">
        <f>IF(COUNTIFS('Taux'!$A$6:$A$20,A75,'Taux'!$B$6:$B$20,D75)=1,SUMIFS('Taux'!$D$6:$D$20,'Taux'!$A$6:$A$20,A75,'Taux'!$B$6:$B$20,D75),"n.d.")</f>
        <v>1</v>
      </c>
      <c r="J75" s="22">
        <f>IF(COUNT(H75,I75)=2,H75/I75,"n.d.")</f>
        <v>50454.0</v>
      </c>
    </row>
    <row r="76" spans="1:11" ht="19" customHeight="1">
      <c r="A76" s="18" t="s">
        <v>38</v>
      </c>
      <c r="B76" s="18" t="s">
        <v>173</v>
      </c>
      <c r="C76" s="18" t="s">
        <v>7</v>
      </c>
      <c r="D76" s="18" t="s">
        <v>174</v>
      </c>
      <c r="E76" s="18" t="s">
        <v>214</v>
      </c>
      <c r="F76" s="18" t="s">
        <v>50</v>
      </c>
      <c r="G76" s="26">
        <v>358</v>
      </c>
      <c r="H76" s="22">
        <v>69303</v>
      </c>
      <c r="I76" s="27">
        <f>IF(COUNTIFS('Taux'!$A$6:$A$20,A76,'Taux'!$B$6:$B$20,D76)=1,SUMIFS('Taux'!$D$6:$D$20,'Taux'!$A$6:$A$20,A76,'Taux'!$B$6:$B$20,D76),"n.d.")</f>
        <v>1</v>
      </c>
      <c r="J76" s="22">
        <f>IF(COUNT(H76,I76)=2,H76/I76,"n.d.")</f>
        <v>69303.0</v>
      </c>
    </row>
    <row r="77" spans="1:11" ht="19" customHeight="1">
      <c r="A77" s="18" t="s">
        <v>38</v>
      </c>
      <c r="B77" s="18" t="s">
        <v>173</v>
      </c>
      <c r="C77" s="18" t="s">
        <v>7</v>
      </c>
      <c r="D77" s="18" t="s">
        <v>174</v>
      </c>
      <c r="E77" s="18" t="s">
        <v>214</v>
      </c>
      <c r="F77" s="18" t="s">
        <v>51</v>
      </c>
      <c r="G77" s="26">
        <v>5582</v>
      </c>
      <c r="H77" s="22">
        <v>1358675</v>
      </c>
      <c r="I77" s="27">
        <f>IF(COUNTIFS('Taux'!$A$6:$A$20,A77,'Taux'!$B$6:$B$20,D77)=1,SUMIFS('Taux'!$D$6:$D$20,'Taux'!$A$6:$A$20,A77,'Taux'!$B$6:$B$20,D77),"n.d.")</f>
        <v>1</v>
      </c>
      <c r="J77" s="22">
        <f>IF(COUNT(H77,I77)=2,H77/I77,"n.d.")</f>
        <v>1358675.0</v>
      </c>
    </row>
    <row r="78" spans="1:11" ht="19" customHeight="1">
      <c r="A78" s="18" t="s">
        <v>38</v>
      </c>
      <c r="B78" s="18" t="s">
        <v>180</v>
      </c>
      <c r="C78" s="18" t="s">
        <v>12</v>
      </c>
      <c r="D78" s="18" t="s">
        <v>174</v>
      </c>
      <c r="E78" s="18" t="s">
        <v>229</v>
      </c>
      <c r="F78" s="18" t="s">
        <v>66</v>
      </c>
      <c r="G78" s="26">
        <v>2280</v>
      </c>
      <c r="H78" s="22">
        <v>611</v>
      </c>
      <c r="I78" s="27">
        <f>IF(COUNTIFS('Taux'!$A$6:$A$20,A78,'Taux'!$B$6:$B$20,D78)=1,SUMIFS('Taux'!$D$6:$D$20,'Taux'!$A$6:$A$20,A78,'Taux'!$B$6:$B$20,D78),"n.d.")</f>
        <v>1</v>
      </c>
      <c r="J78" s="22">
        <f>IF(COUNT(H78,I78)=2,H78/I78,"n.d.")</f>
        <v>611.0</v>
      </c>
    </row>
    <row r="79" spans="1:11" ht="19" customHeight="1">
      <c r="A79" s="18" t="s">
        <v>38</v>
      </c>
      <c r="B79" s="18" t="s">
        <v>180</v>
      </c>
      <c r="C79" s="18" t="s">
        <v>12</v>
      </c>
      <c r="D79" s="18" t="s">
        <v>174</v>
      </c>
      <c r="E79" s="18" t="s">
        <v>229</v>
      </c>
      <c r="F79" s="18" t="s">
        <v>67</v>
      </c>
      <c r="G79" s="26">
        <v>1773</v>
      </c>
      <c r="H79" s="22">
        <v>7665</v>
      </c>
      <c r="I79" s="27">
        <f>IF(COUNTIFS('Taux'!$A$6:$A$20,A79,'Taux'!$B$6:$B$20,D79)=1,SUMIFS('Taux'!$D$6:$D$20,'Taux'!$A$6:$A$20,A79,'Taux'!$B$6:$B$20,D79),"n.d.")</f>
        <v>1</v>
      </c>
      <c r="J79" s="22">
        <f>IF(COUNT(H79,I79)=2,H79/I79,"n.d.")</f>
        <v>7665.0</v>
      </c>
    </row>
    <row r="80" spans="1:11" ht="19" customHeight="1">
      <c r="A80" s="18" t="s">
        <v>38</v>
      </c>
      <c r="B80" s="18" t="s">
        <v>180</v>
      </c>
      <c r="C80" s="18" t="s">
        <v>12</v>
      </c>
      <c r="D80" s="18" t="s">
        <v>174</v>
      </c>
      <c r="E80" s="18" t="s">
        <v>229</v>
      </c>
      <c r="F80" s="18" t="s">
        <v>68</v>
      </c>
      <c r="G80" s="26">
        <v>4974</v>
      </c>
      <c r="H80" s="22">
        <v>241529</v>
      </c>
      <c r="I80" s="27">
        <f>IF(COUNTIFS('Taux'!$A$6:$A$20,A80,'Taux'!$B$6:$B$20,D80)=1,SUMIFS('Taux'!$D$6:$D$20,'Taux'!$A$6:$A$20,A80,'Taux'!$B$6:$B$20,D80),"n.d.")</f>
        <v>1</v>
      </c>
      <c r="J80" s="22">
        <f>IF(COUNT(H80,I80)=2,H80/I80,"n.d.")</f>
        <v>241529.0</v>
      </c>
    </row>
    <row r="81" spans="1:11" ht="19" customHeight="1">
      <c r="A81" s="18" t="s">
        <v>38</v>
      </c>
      <c r="B81" s="18" t="s">
        <v>180</v>
      </c>
      <c r="C81" s="18" t="s">
        <v>12</v>
      </c>
      <c r="D81" s="18" t="s">
        <v>174</v>
      </c>
      <c r="E81" s="18" t="s">
        <v>229</v>
      </c>
      <c r="F81" s="18" t="s">
        <v>69</v>
      </c>
      <c r="G81" s="26">
        <v>5181</v>
      </c>
      <c r="H81" s="22">
        <v>1478164</v>
      </c>
      <c r="I81" s="27">
        <f>IF(COUNTIFS('Taux'!$A$6:$A$20,A81,'Taux'!$B$6:$B$20,D81)=1,SUMIFS('Taux'!$D$6:$D$20,'Taux'!$A$6:$A$20,A81,'Taux'!$B$6:$B$20,D81),"n.d.")</f>
        <v>1</v>
      </c>
      <c r="J81" s="22">
        <f>IF(COUNT(H81,I81)=2,H81/I81,"n.d.")</f>
        <v>1478164.0</v>
      </c>
    </row>
    <row r="82" spans="1:11" ht="19" customHeight="1">
      <c r="A82" s="18" t="s">
        <v>38</v>
      </c>
      <c r="B82" s="18" t="s">
        <v>180</v>
      </c>
      <c r="C82" s="18" t="s">
        <v>12</v>
      </c>
      <c r="D82" s="18" t="s">
        <v>174</v>
      </c>
      <c r="E82" s="18" t="s">
        <v>229</v>
      </c>
      <c r="F82" s="18" t="s">
        <v>70</v>
      </c>
      <c r="G82" s="26">
        <v>608</v>
      </c>
      <c r="H82" s="22">
        <v>1589619</v>
      </c>
      <c r="I82" s="27">
        <f>IF(COUNTIFS('Taux'!$A$6:$A$20,A82,'Taux'!$B$6:$B$20,D82)=1,SUMIFS('Taux'!$D$6:$D$20,'Taux'!$A$6:$A$20,A82,'Taux'!$B$6:$B$20,D82),"n.d.")</f>
        <v>1</v>
      </c>
      <c r="J82" s="22">
        <f>IF(COUNT(H82,I82)=2,H82/I82,"n.d.")</f>
        <v>1589619.0</v>
      </c>
    </row>
    <row r="83" spans="1:11" ht="19" customHeight="1">
      <c r="A83" s="18" t="s">
        <v>38</v>
      </c>
      <c r="B83" s="18" t="s">
        <v>180</v>
      </c>
      <c r="C83" s="18" t="s">
        <v>12</v>
      </c>
      <c r="D83" s="18" t="s">
        <v>174</v>
      </c>
      <c r="E83" s="18" t="s">
        <v>214</v>
      </c>
      <c r="F83" s="18" t="s">
        <v>73</v>
      </c>
      <c r="G83" s="26">
        <v>264</v>
      </c>
      <c r="H83" s="22">
        <v>42586</v>
      </c>
      <c r="I83" s="27">
        <f>IF(COUNTIFS('Taux'!$A$6:$A$20,A83,'Taux'!$B$6:$B$20,D83)=1,SUMIFS('Taux'!$D$6:$D$20,'Taux'!$A$6:$A$20,A83,'Taux'!$B$6:$B$20,D83),"n.d.")</f>
        <v>1</v>
      </c>
      <c r="J83" s="22">
        <f>IF(COUNT(H83,I83)=2,H83/I83,"n.d.")</f>
        <v>42586.0</v>
      </c>
    </row>
    <row r="84" spans="1:11" ht="19" customHeight="1">
      <c r="A84" s="18" t="s">
        <v>38</v>
      </c>
      <c r="B84" s="18" t="s">
        <v>180</v>
      </c>
      <c r="C84" s="18" t="s">
        <v>12</v>
      </c>
      <c r="D84" s="18" t="s">
        <v>174</v>
      </c>
      <c r="E84" s="18" t="s">
        <v>214</v>
      </c>
      <c r="F84" s="18" t="s">
        <v>74</v>
      </c>
      <c r="G84" s="26">
        <v>4</v>
      </c>
      <c r="H84" s="22">
        <v>5395</v>
      </c>
      <c r="I84" s="27">
        <f>IF(COUNTIFS('Taux'!$A$6:$A$20,A84,'Taux'!$B$6:$B$20,D84)=1,SUMIFS('Taux'!$D$6:$D$20,'Taux'!$A$6:$A$20,A84,'Taux'!$B$6:$B$20,D84),"n.d.")</f>
        <v>1</v>
      </c>
      <c r="J84" s="22">
        <f>IF(COUNT(H84,I84)=2,H84/I84,"n.d.")</f>
        <v>5395.0</v>
      </c>
    </row>
    <row r="85" spans="1:11" ht="19" customHeight="1">
      <c r="A85" s="18" t="s">
        <v>38</v>
      </c>
      <c r="B85" s="18" t="s">
        <v>180</v>
      </c>
      <c r="C85" s="18" t="s">
        <v>12</v>
      </c>
      <c r="D85" s="18" t="s">
        <v>174</v>
      </c>
      <c r="E85" s="18" t="s">
        <v>214</v>
      </c>
      <c r="F85" s="18" t="s">
        <v>75</v>
      </c>
      <c r="G85" s="26">
        <v>6</v>
      </c>
      <c r="H85" s="22">
        <v>2361</v>
      </c>
      <c r="I85" s="27">
        <f>IF(COUNTIFS('Taux'!$A$6:$A$20,A85,'Taux'!$B$6:$B$20,D85)=1,SUMIFS('Taux'!$D$6:$D$20,'Taux'!$A$6:$A$20,A85,'Taux'!$B$6:$B$20,D85),"n.d.")</f>
        <v>1</v>
      </c>
      <c r="J85" s="22">
        <f>IF(COUNT(H85,I85)=2,H85/I85,"n.d.")</f>
        <v>2361.0</v>
      </c>
    </row>
    <row r="86" spans="1:11" ht="19" customHeight="1">
      <c r="A86" s="18" t="s">
        <v>38</v>
      </c>
      <c r="B86" s="18" t="s">
        <v>180</v>
      </c>
      <c r="C86" s="18" t="s">
        <v>12</v>
      </c>
      <c r="D86" s="18" t="s">
        <v>174</v>
      </c>
      <c r="E86" s="18" t="s">
        <v>214</v>
      </c>
      <c r="F86" s="18" t="s">
        <v>76</v>
      </c>
      <c r="G86" s="23" t="s">
        <v>39</v>
      </c>
      <c r="H86" s="23" t="s">
        <v>39</v>
      </c>
      <c r="I86" s="27">
        <f>IF(COUNTIFS('Taux'!$A$6:$A$20,A86,'Taux'!$B$6:$B$20,D86)=1,SUMIFS('Taux'!$D$6:$D$20,'Taux'!$A$6:$A$20,A86,'Taux'!$B$6:$B$20,D86),"n.d.")</f>
        <v>1</v>
      </c>
      <c r="J86" s="22" t="str">
        <f>IF(COUNT(H86,I86)=2,H86/I86,"n.d.")</f>
        <v>n.d.</v>
      </c>
    </row>
    <row r="87" spans="1:11" ht="19" customHeight="1">
      <c r="A87" s="18" t="s">
        <v>38</v>
      </c>
      <c r="B87" s="18" t="s">
        <v>180</v>
      </c>
      <c r="C87" s="18" t="s">
        <v>12</v>
      </c>
      <c r="D87" s="18" t="s">
        <v>174</v>
      </c>
      <c r="E87" s="18" t="s">
        <v>214</v>
      </c>
      <c r="F87" s="18" t="s">
        <v>77</v>
      </c>
      <c r="G87" s="26">
        <v>1</v>
      </c>
      <c r="H87" s="22">
        <v>1</v>
      </c>
      <c r="I87" s="27">
        <f>IF(COUNTIFS('Taux'!$A$6:$A$20,A87,'Taux'!$B$6:$B$20,D87)=1,SUMIFS('Taux'!$D$6:$D$20,'Taux'!$A$6:$A$20,A87,'Taux'!$B$6:$B$20,D87),"n.d.")</f>
        <v>1</v>
      </c>
      <c r="J87" s="22">
        <f>IF(COUNT(H87,I87)=2,H87/I87,"n.d.")</f>
        <v>1.0</v>
      </c>
    </row>
    <row r="88" spans="1:11" ht="19" customHeight="1">
      <c r="A88" s="18" t="s">
        <v>38</v>
      </c>
      <c r="B88" s="18" t="s">
        <v>180</v>
      </c>
      <c r="C88" s="18" t="s">
        <v>12</v>
      </c>
      <c r="D88" s="18" t="s">
        <v>174</v>
      </c>
      <c r="E88" s="18" t="s">
        <v>214</v>
      </c>
      <c r="F88" s="18" t="s">
        <v>78</v>
      </c>
      <c r="G88" s="23" t="s">
        <v>39</v>
      </c>
      <c r="H88" s="23" t="s">
        <v>39</v>
      </c>
      <c r="I88" s="27">
        <f>IF(COUNTIFS('Taux'!$A$6:$A$20,A88,'Taux'!$B$6:$B$20,D88)=1,SUMIFS('Taux'!$D$6:$D$20,'Taux'!$A$6:$A$20,A88,'Taux'!$B$6:$B$20,D88),"n.d.")</f>
        <v>1</v>
      </c>
      <c r="J88" s="22" t="str">
        <f>IF(COUNT(H88,I88)=2,H88/I88,"n.d.")</f>
        <v>n.d.</v>
      </c>
    </row>
    <row r="89" spans="1:11" ht="19" customHeight="1">
      <c r="A89" s="18" t="s">
        <v>38</v>
      </c>
      <c r="B89" s="18" t="s">
        <v>180</v>
      </c>
      <c r="C89" s="18" t="s">
        <v>12</v>
      </c>
      <c r="D89" s="18" t="s">
        <v>174</v>
      </c>
      <c r="E89" s="18" t="s">
        <v>214</v>
      </c>
      <c r="F89" s="18" t="s">
        <v>79</v>
      </c>
      <c r="G89" s="26">
        <v>1</v>
      </c>
      <c r="H89" s="22">
        <v>963</v>
      </c>
      <c r="I89" s="27">
        <f>IF(COUNTIFS('Taux'!$A$6:$A$20,A89,'Taux'!$B$6:$B$20,D89)=1,SUMIFS('Taux'!$D$6:$D$20,'Taux'!$A$6:$A$20,A89,'Taux'!$B$6:$B$20,D89),"n.d.")</f>
        <v>1</v>
      </c>
      <c r="J89" s="22">
        <f>IF(COUNT(H89,I89)=2,H89/I89,"n.d.")</f>
        <v>963.0</v>
      </c>
    </row>
    <row r="90" spans="1:11" ht="19" customHeight="1">
      <c r="A90" s="18" t="s">
        <v>38</v>
      </c>
      <c r="B90" s="18" t="s">
        <v>180</v>
      </c>
      <c r="C90" s="18" t="s">
        <v>12</v>
      </c>
      <c r="D90" s="18" t="s">
        <v>174</v>
      </c>
      <c r="E90" s="18" t="s">
        <v>214</v>
      </c>
      <c r="F90" s="18" t="s">
        <v>80</v>
      </c>
      <c r="G90" s="26">
        <v>21</v>
      </c>
      <c r="H90" s="22">
        <v>30040</v>
      </c>
      <c r="I90" s="27">
        <f>IF(COUNTIFS('Taux'!$A$6:$A$20,A90,'Taux'!$B$6:$B$20,D90)=1,SUMIFS('Taux'!$D$6:$D$20,'Taux'!$A$6:$A$20,A90,'Taux'!$B$6:$B$20,D90),"n.d.")</f>
        <v>1</v>
      </c>
      <c r="J90" s="22">
        <f>IF(COUNT(H90,I90)=2,H90/I90,"n.d.")</f>
        <v>30040.0</v>
      </c>
    </row>
    <row r="91" spans="1:11" ht="19" customHeight="1">
      <c r="A91" s="18" t="s">
        <v>38</v>
      </c>
      <c r="B91" s="18" t="s">
        <v>180</v>
      </c>
      <c r="C91" s="18" t="s">
        <v>12</v>
      </c>
      <c r="D91" s="18" t="s">
        <v>174</v>
      </c>
      <c r="E91" s="18" t="s">
        <v>214</v>
      </c>
      <c r="F91" s="18" t="s">
        <v>50</v>
      </c>
      <c r="G91" s="26">
        <v>970</v>
      </c>
      <c r="H91" s="22">
        <v>267461</v>
      </c>
      <c r="I91" s="27">
        <f>IF(COUNTIFS('Taux'!$A$6:$A$20,A91,'Taux'!$B$6:$B$20,D91)=1,SUMIFS('Taux'!$D$6:$D$20,'Taux'!$A$6:$A$20,A91,'Taux'!$B$6:$B$20,D91),"n.d.")</f>
        <v>1</v>
      </c>
      <c r="J91" s="22">
        <f>IF(COUNT(H91,I91)=2,H91/I91,"n.d.")</f>
        <v>267461.0</v>
      </c>
    </row>
    <row r="92" spans="1:11" ht="19" customHeight="1">
      <c r="A92" s="18" t="s">
        <v>38</v>
      </c>
      <c r="B92" s="18" t="s">
        <v>180</v>
      </c>
      <c r="C92" s="18" t="s">
        <v>12</v>
      </c>
      <c r="D92" s="18" t="s">
        <v>174</v>
      </c>
      <c r="E92" s="18" t="s">
        <v>214</v>
      </c>
      <c r="F92" s="18" t="s">
        <v>51</v>
      </c>
      <c r="G92" s="26">
        <v>13549</v>
      </c>
      <c r="H92" s="22">
        <v>2968779</v>
      </c>
      <c r="I92" s="27">
        <f>IF(COUNTIFS('Taux'!$A$6:$A$20,A92,'Taux'!$B$6:$B$20,D92)=1,SUMIFS('Taux'!$D$6:$D$20,'Taux'!$A$6:$A$20,A92,'Taux'!$B$6:$B$20,D92),"n.d.")</f>
        <v>1</v>
      </c>
      <c r="J92" s="22">
        <f>IF(COUNT(H92,I92)=2,H92/I92,"n.d.")</f>
        <v>2968779.0</v>
      </c>
    </row>
    <row r="93" spans="1:11" ht="19" customHeight="1">
      <c r="A93" s="18" t="s">
        <v>38</v>
      </c>
      <c r="B93" s="18" t="s">
        <v>175</v>
      </c>
      <c r="C93" s="18" t="s">
        <v>83</v>
      </c>
      <c r="D93" s="18" t="s">
        <v>174</v>
      </c>
      <c r="E93" s="18" t="s">
        <v>229</v>
      </c>
      <c r="F93" s="18" t="s">
        <v>66</v>
      </c>
      <c r="G93" s="26">
        <v>1162</v>
      </c>
      <c r="H93" s="22">
        <v>477</v>
      </c>
      <c r="I93" s="27">
        <f>IF(COUNTIFS('Taux'!$A$6:$A$20,A93,'Taux'!$B$6:$B$20,D93)=1,SUMIFS('Taux'!$D$6:$D$20,'Taux'!$A$6:$A$20,A93,'Taux'!$B$6:$B$20,D93),"n.d.")</f>
        <v>1</v>
      </c>
      <c r="J93" s="22">
        <f>IF(COUNT(H93,I93)=2,H93/I93,"n.d.")</f>
        <v>477.0</v>
      </c>
    </row>
    <row r="94" spans="1:11" ht="19" customHeight="1">
      <c r="A94" s="18" t="s">
        <v>38</v>
      </c>
      <c r="B94" s="18" t="s">
        <v>175</v>
      </c>
      <c r="C94" s="18" t="s">
        <v>83</v>
      </c>
      <c r="D94" s="18" t="s">
        <v>174</v>
      </c>
      <c r="E94" s="18" t="s">
        <v>229</v>
      </c>
      <c r="F94" s="18" t="s">
        <v>67</v>
      </c>
      <c r="G94" s="26">
        <v>2796</v>
      </c>
      <c r="H94" s="22">
        <v>15745</v>
      </c>
      <c r="I94" s="27">
        <f>IF(COUNTIFS('Taux'!$A$6:$A$20,A94,'Taux'!$B$6:$B$20,D94)=1,SUMIFS('Taux'!$D$6:$D$20,'Taux'!$A$6:$A$20,A94,'Taux'!$B$6:$B$20,D94),"n.d.")</f>
        <v>1</v>
      </c>
      <c r="J94" s="22">
        <f>IF(COUNT(H94,I94)=2,H94/I94,"n.d.")</f>
        <v>15745.0</v>
      </c>
    </row>
    <row r="95" spans="1:11" ht="19" customHeight="1">
      <c r="A95" s="18" t="s">
        <v>38</v>
      </c>
      <c r="B95" s="18" t="s">
        <v>175</v>
      </c>
      <c r="C95" s="18" t="s">
        <v>83</v>
      </c>
      <c r="D95" s="18" t="s">
        <v>174</v>
      </c>
      <c r="E95" s="18" t="s">
        <v>229</v>
      </c>
      <c r="F95" s="18" t="s">
        <v>68</v>
      </c>
      <c r="G95" s="26">
        <v>14197</v>
      </c>
      <c r="H95" s="22">
        <v>545285</v>
      </c>
      <c r="I95" s="27">
        <f>IF(COUNTIFS('Taux'!$A$6:$A$20,A95,'Taux'!$B$6:$B$20,D95)=1,SUMIFS('Taux'!$D$6:$D$20,'Taux'!$A$6:$A$20,A95,'Taux'!$B$6:$B$20,D95),"n.d.")</f>
        <v>1</v>
      </c>
      <c r="J95" s="22">
        <f>IF(COUNT(H95,I95)=2,H95/I95,"n.d.")</f>
        <v>545285.0</v>
      </c>
    </row>
    <row r="96" spans="1:11" ht="19" customHeight="1">
      <c r="A96" s="18" t="s">
        <v>38</v>
      </c>
      <c r="B96" s="18" t="s">
        <v>175</v>
      </c>
      <c r="C96" s="18" t="s">
        <v>83</v>
      </c>
      <c r="D96" s="18" t="s">
        <v>174</v>
      </c>
      <c r="E96" s="18" t="s">
        <v>229</v>
      </c>
      <c r="F96" s="18" t="s">
        <v>84</v>
      </c>
      <c r="G96" s="26">
        <v>3712</v>
      </c>
      <c r="H96" s="22">
        <v>778963</v>
      </c>
      <c r="I96" s="27">
        <f>IF(COUNTIFS('Taux'!$A$6:$A$20,A96,'Taux'!$B$6:$B$20,D96)=1,SUMIFS('Taux'!$D$6:$D$20,'Taux'!$A$6:$A$20,A96,'Taux'!$B$6:$B$20,D96),"n.d.")</f>
        <v>1</v>
      </c>
      <c r="J96" s="22">
        <f>IF(COUNT(H96,I96)=2,H96/I96,"n.d.")</f>
        <v>778963.0</v>
      </c>
    </row>
    <row r="97" spans="1:11" ht="19" customHeight="1">
      <c r="A97" s="18" t="s">
        <v>38</v>
      </c>
      <c r="B97" s="18" t="s">
        <v>175</v>
      </c>
      <c r="C97" s="18" t="s">
        <v>83</v>
      </c>
      <c r="D97" s="18" t="s">
        <v>174</v>
      </c>
      <c r="E97" s="18" t="s">
        <v>229</v>
      </c>
      <c r="F97" s="18" t="s">
        <v>85</v>
      </c>
      <c r="G97" s="26">
        <v>575</v>
      </c>
      <c r="H97" s="22">
        <v>398611</v>
      </c>
      <c r="I97" s="27">
        <f>IF(COUNTIFS('Taux'!$A$6:$A$20,A97,'Taux'!$B$6:$B$20,D97)=1,SUMIFS('Taux'!$D$6:$D$20,'Taux'!$A$6:$A$20,A97,'Taux'!$B$6:$B$20,D97),"n.d.")</f>
        <v>1</v>
      </c>
      <c r="J97" s="22">
        <f>IF(COUNT(H97,I97)=2,H97/I97,"n.d.")</f>
        <v>398611.0</v>
      </c>
    </row>
    <row r="98" spans="1:11" ht="19" customHeight="1">
      <c r="A98" s="18" t="s">
        <v>38</v>
      </c>
      <c r="B98" s="18" t="s">
        <v>175</v>
      </c>
      <c r="C98" s="18" t="s">
        <v>83</v>
      </c>
      <c r="D98" s="18" t="s">
        <v>174</v>
      </c>
      <c r="E98" s="18" t="s">
        <v>229</v>
      </c>
      <c r="F98" s="18" t="s">
        <v>70</v>
      </c>
      <c r="G98" s="26">
        <v>865</v>
      </c>
      <c r="H98" s="22">
        <v>1734392</v>
      </c>
      <c r="I98" s="27">
        <f>IF(COUNTIFS('Taux'!$A$6:$A$20,A98,'Taux'!$B$6:$B$20,D98)=1,SUMIFS('Taux'!$D$6:$D$20,'Taux'!$A$6:$A$20,A98,'Taux'!$B$6:$B$20,D98),"n.d.")</f>
        <v>1</v>
      </c>
      <c r="J98" s="22">
        <f>IF(COUNT(H98,I98)=2,H98/I98,"n.d.")</f>
        <v>1734392.0</v>
      </c>
    </row>
    <row r="99" spans="1:11" ht="19" customHeight="1">
      <c r="A99" s="18" t="s">
        <v>38</v>
      </c>
      <c r="B99" s="18" t="s">
        <v>175</v>
      </c>
      <c r="C99" s="18" t="s">
        <v>83</v>
      </c>
      <c r="D99" s="18" t="s">
        <v>174</v>
      </c>
      <c r="E99" s="18" t="s">
        <v>214</v>
      </c>
      <c r="F99" s="18" t="s">
        <v>73</v>
      </c>
      <c r="G99" s="26">
        <v>2354</v>
      </c>
      <c r="H99" s="22">
        <v>88890</v>
      </c>
      <c r="I99" s="27">
        <f>IF(COUNTIFS('Taux'!$A$6:$A$20,A99,'Taux'!$B$6:$B$20,D99)=1,SUMIFS('Taux'!$D$6:$D$20,'Taux'!$A$6:$A$20,A99,'Taux'!$B$6:$B$20,D99),"n.d.")</f>
        <v>1</v>
      </c>
      <c r="J99" s="22">
        <f>IF(COUNT(H99,I99)=2,H99/I99,"n.d.")</f>
        <v>88890.0</v>
      </c>
    </row>
    <row r="100" spans="1:11" ht="19" customHeight="1">
      <c r="A100" s="18" t="s">
        <v>38</v>
      </c>
      <c r="B100" s="18" t="s">
        <v>175</v>
      </c>
      <c r="C100" s="18" t="s">
        <v>83</v>
      </c>
      <c r="D100" s="18" t="s">
        <v>174</v>
      </c>
      <c r="E100" s="18" t="s">
        <v>214</v>
      </c>
      <c r="F100" s="18" t="s">
        <v>74</v>
      </c>
      <c r="G100" s="26">
        <v>199</v>
      </c>
      <c r="H100" s="22">
        <v>13089</v>
      </c>
      <c r="I100" s="27">
        <f>IF(COUNTIFS('Taux'!$A$6:$A$20,A100,'Taux'!$B$6:$B$20,D100)=1,SUMIFS('Taux'!$D$6:$D$20,'Taux'!$A$6:$A$20,A100,'Taux'!$B$6:$B$20,D100),"n.d.")</f>
        <v>1</v>
      </c>
      <c r="J100" s="22">
        <f>IF(COUNT(H100,I100)=2,H100/I100,"n.d.")</f>
        <v>13089.0</v>
      </c>
    </row>
    <row r="101" spans="1:11" ht="19" customHeight="1">
      <c r="A101" s="18" t="s">
        <v>38</v>
      </c>
      <c r="B101" s="18" t="s">
        <v>175</v>
      </c>
      <c r="C101" s="18" t="s">
        <v>83</v>
      </c>
      <c r="D101" s="18" t="s">
        <v>174</v>
      </c>
      <c r="E101" s="18" t="s">
        <v>214</v>
      </c>
      <c r="F101" s="18" t="s">
        <v>75</v>
      </c>
      <c r="G101" s="26">
        <v>400</v>
      </c>
      <c r="H101" s="22">
        <v>28105</v>
      </c>
      <c r="I101" s="27">
        <f>IF(COUNTIFS('Taux'!$A$6:$A$20,A101,'Taux'!$B$6:$B$20,D101)=1,SUMIFS('Taux'!$D$6:$D$20,'Taux'!$A$6:$A$20,A101,'Taux'!$B$6:$B$20,D101),"n.d.")</f>
        <v>1</v>
      </c>
      <c r="J101" s="22">
        <f>IF(COUNT(H101,I101)=2,H101/I101,"n.d.")</f>
        <v>28105.0</v>
      </c>
    </row>
    <row r="102" spans="1:11" ht="19" customHeight="1">
      <c r="A102" s="18" t="s">
        <v>38</v>
      </c>
      <c r="B102" s="18" t="s">
        <v>175</v>
      </c>
      <c r="C102" s="18" t="s">
        <v>83</v>
      </c>
      <c r="D102" s="18" t="s">
        <v>174</v>
      </c>
      <c r="E102" s="18" t="s">
        <v>214</v>
      </c>
      <c r="F102" s="18" t="s">
        <v>76</v>
      </c>
      <c r="G102" s="26">
        <v>359</v>
      </c>
      <c r="H102" s="22">
        <v>23138</v>
      </c>
      <c r="I102" s="27">
        <f>IF(COUNTIFS('Taux'!$A$6:$A$20,A102,'Taux'!$B$6:$B$20,D102)=1,SUMIFS('Taux'!$D$6:$D$20,'Taux'!$A$6:$A$20,A102,'Taux'!$B$6:$B$20,D102),"n.d.")</f>
        <v>1</v>
      </c>
      <c r="J102" s="22">
        <f>IF(COUNT(H102,I102)=2,H102/I102,"n.d.")</f>
        <v>23138.0</v>
      </c>
    </row>
    <row r="103" spans="1:11" ht="19" customHeight="1">
      <c r="A103" s="18" t="s">
        <v>38</v>
      </c>
      <c r="B103" s="18" t="s">
        <v>175</v>
      </c>
      <c r="C103" s="18" t="s">
        <v>83</v>
      </c>
      <c r="D103" s="18" t="s">
        <v>174</v>
      </c>
      <c r="E103" s="18" t="s">
        <v>214</v>
      </c>
      <c r="F103" s="18" t="s">
        <v>77</v>
      </c>
      <c r="G103" s="26">
        <v>388</v>
      </c>
      <c r="H103" s="22">
        <v>29819</v>
      </c>
      <c r="I103" s="27">
        <f>IF(COUNTIFS('Taux'!$A$6:$A$20,A103,'Taux'!$B$6:$B$20,D103)=1,SUMIFS('Taux'!$D$6:$D$20,'Taux'!$A$6:$A$20,A103,'Taux'!$B$6:$B$20,D103),"n.d.")</f>
        <v>1</v>
      </c>
      <c r="J103" s="22">
        <f>IF(COUNT(H103,I103)=2,H103/I103,"n.d.")</f>
        <v>29819.0</v>
      </c>
    </row>
    <row r="104" spans="1:11" ht="19" customHeight="1">
      <c r="A104" s="18" t="s">
        <v>38</v>
      </c>
      <c r="B104" s="18" t="s">
        <v>175</v>
      </c>
      <c r="C104" s="18" t="s">
        <v>83</v>
      </c>
      <c r="D104" s="18" t="s">
        <v>174</v>
      </c>
      <c r="E104" s="18" t="s">
        <v>214</v>
      </c>
      <c r="F104" s="18" t="s">
        <v>78</v>
      </c>
      <c r="G104" s="26">
        <v>540</v>
      </c>
      <c r="H104" s="22">
        <v>273897</v>
      </c>
      <c r="I104" s="27">
        <f>IF(COUNTIFS('Taux'!$A$6:$A$20,A104,'Taux'!$B$6:$B$20,D104)=1,SUMIFS('Taux'!$D$6:$D$20,'Taux'!$A$6:$A$20,A104,'Taux'!$B$6:$B$20,D104),"n.d.")</f>
        <v>1</v>
      </c>
      <c r="J104" s="22">
        <f>IF(COUNT(H104,I104)=2,H104/I104,"n.d.")</f>
        <v>273897.0</v>
      </c>
    </row>
    <row r="105" spans="1:11" ht="19" customHeight="1">
      <c r="A105" s="18" t="s">
        <v>38</v>
      </c>
      <c r="B105" s="18" t="s">
        <v>175</v>
      </c>
      <c r="C105" s="18" t="s">
        <v>83</v>
      </c>
      <c r="D105" s="18" t="s">
        <v>174</v>
      </c>
      <c r="E105" s="18" t="s">
        <v>214</v>
      </c>
      <c r="F105" s="18" t="s">
        <v>79</v>
      </c>
      <c r="G105" s="26">
        <v>1107</v>
      </c>
      <c r="H105" s="22">
        <v>222500</v>
      </c>
      <c r="I105" s="27">
        <f>IF(COUNTIFS('Taux'!$A$6:$A$20,A105,'Taux'!$B$6:$B$20,D105)=1,SUMIFS('Taux'!$D$6:$D$20,'Taux'!$A$6:$A$20,A105,'Taux'!$B$6:$B$20,D105),"n.d.")</f>
        <v>1</v>
      </c>
      <c r="J105" s="22">
        <f>IF(COUNT(H105,I105)=2,H105/I105,"n.d.")</f>
        <v>222500.0</v>
      </c>
    </row>
    <row r="106" spans="1:11" ht="19" customHeight="1">
      <c r="A106" s="18" t="s">
        <v>38</v>
      </c>
      <c r="B106" s="18" t="s">
        <v>175</v>
      </c>
      <c r="C106" s="18" t="s">
        <v>83</v>
      </c>
      <c r="D106" s="18" t="s">
        <v>174</v>
      </c>
      <c r="E106" s="18" t="s">
        <v>214</v>
      </c>
      <c r="F106" s="18" t="s">
        <v>80</v>
      </c>
      <c r="G106" s="26">
        <v>3171</v>
      </c>
      <c r="H106" s="22">
        <v>253677</v>
      </c>
      <c r="I106" s="27">
        <f>IF(COUNTIFS('Taux'!$A$6:$A$20,A106,'Taux'!$B$6:$B$20,D106)=1,SUMIFS('Taux'!$D$6:$D$20,'Taux'!$A$6:$A$20,A106,'Taux'!$B$6:$B$20,D106),"n.d.")</f>
        <v>1</v>
      </c>
      <c r="J106" s="22">
        <f>IF(COUNT(H106,I106)=2,H106/I106,"n.d.")</f>
        <v>253677.0</v>
      </c>
    </row>
    <row r="107" spans="1:11" ht="19" customHeight="1">
      <c r="A107" s="18" t="s">
        <v>38</v>
      </c>
      <c r="B107" s="18" t="s">
        <v>175</v>
      </c>
      <c r="C107" s="18" t="s">
        <v>83</v>
      </c>
      <c r="D107" s="18" t="s">
        <v>174</v>
      </c>
      <c r="E107" s="18" t="s">
        <v>214</v>
      </c>
      <c r="F107" s="18" t="s">
        <v>50</v>
      </c>
      <c r="G107" s="26">
        <v>4704</v>
      </c>
      <c r="H107" s="22">
        <v>553548</v>
      </c>
      <c r="I107" s="27">
        <f>IF(COUNTIFS('Taux'!$A$6:$A$20,A107,'Taux'!$B$6:$B$20,D107)=1,SUMIFS('Taux'!$D$6:$D$20,'Taux'!$A$6:$A$20,A107,'Taux'!$B$6:$B$20,D107),"n.d.")</f>
        <v>1</v>
      </c>
      <c r="J107" s="22">
        <f>IF(COUNT(H107,I107)=2,H107/I107,"n.d.")</f>
        <v>553548.0</v>
      </c>
    </row>
    <row r="108" spans="1:11" ht="19" customHeight="1">
      <c r="A108" s="18" t="s">
        <v>38</v>
      </c>
      <c r="B108" s="18" t="s">
        <v>175</v>
      </c>
      <c r="C108" s="18" t="s">
        <v>83</v>
      </c>
      <c r="D108" s="18" t="s">
        <v>174</v>
      </c>
      <c r="E108" s="18" t="s">
        <v>214</v>
      </c>
      <c r="F108" s="18" t="s">
        <v>51</v>
      </c>
      <c r="G108" s="26">
        <v>10085</v>
      </c>
      <c r="H108" s="22">
        <v>1986810</v>
      </c>
      <c r="I108" s="27">
        <f>IF(COUNTIFS('Taux'!$A$6:$A$20,A108,'Taux'!$B$6:$B$20,D108)=1,SUMIFS('Taux'!$D$6:$D$20,'Taux'!$A$6:$A$20,A108,'Taux'!$B$6:$B$20,D108),"n.d.")</f>
        <v>1</v>
      </c>
      <c r="J108" s="22">
        <f>IF(COUNT(H108,I108)=2,H108/I108,"n.d.")</f>
        <v>1986810.0</v>
      </c>
    </row>
    <row r="109" spans="1:11" ht="19" customHeight="1">
      <c r="A109" s="18" t="s">
        <v>38</v>
      </c>
      <c r="B109" s="18" t="s">
        <v>178</v>
      </c>
      <c r="C109" s="18" t="s">
        <v>10</v>
      </c>
      <c r="D109" s="18" t="s">
        <v>174</v>
      </c>
      <c r="E109" s="18" t="s">
        <v>229</v>
      </c>
      <c r="F109" s="18" t="s">
        <v>66</v>
      </c>
      <c r="G109" s="26">
        <v>18778</v>
      </c>
      <c r="H109" s="22">
        <v>8558</v>
      </c>
      <c r="I109" s="27">
        <f>IF(COUNTIFS('Taux'!$A$6:$A$20,A109,'Taux'!$B$6:$B$20,D109)=1,SUMIFS('Taux'!$D$6:$D$20,'Taux'!$A$6:$A$20,A109,'Taux'!$B$6:$B$20,D109),"n.d.")</f>
        <v>1</v>
      </c>
      <c r="J109" s="22">
        <f>IF(COUNT(H109,I109)=2,H109/I109,"n.d.")</f>
        <v>8558.0</v>
      </c>
    </row>
    <row r="110" spans="1:11" ht="19" customHeight="1">
      <c r="A110" s="18" t="s">
        <v>38</v>
      </c>
      <c r="B110" s="18" t="s">
        <v>178</v>
      </c>
      <c r="C110" s="18" t="s">
        <v>10</v>
      </c>
      <c r="D110" s="18" t="s">
        <v>174</v>
      </c>
      <c r="E110" s="18" t="s">
        <v>229</v>
      </c>
      <c r="F110" s="18" t="s">
        <v>67</v>
      </c>
      <c r="G110" s="26">
        <v>75068</v>
      </c>
      <c r="H110" s="22">
        <v>205306</v>
      </c>
      <c r="I110" s="27">
        <f>IF(COUNTIFS('Taux'!$A$6:$A$20,A110,'Taux'!$B$6:$B$20,D110)=1,SUMIFS('Taux'!$D$6:$D$20,'Taux'!$A$6:$A$20,A110,'Taux'!$B$6:$B$20,D110),"n.d.")</f>
        <v>1</v>
      </c>
      <c r="J110" s="22">
        <f>IF(COUNT(H110,I110)=2,H110/I110,"n.d.")</f>
        <v>205306.0</v>
      </c>
    </row>
    <row r="111" spans="1:11" ht="19" customHeight="1">
      <c r="A111" s="18" t="s">
        <v>38</v>
      </c>
      <c r="B111" s="18" t="s">
        <v>178</v>
      </c>
      <c r="C111" s="18" t="s">
        <v>10</v>
      </c>
      <c r="D111" s="18" t="s">
        <v>174</v>
      </c>
      <c r="E111" s="18" t="s">
        <v>229</v>
      </c>
      <c r="F111" s="18" t="s">
        <v>68</v>
      </c>
      <c r="G111" s="26">
        <v>8379</v>
      </c>
      <c r="H111" s="22">
        <v>310582</v>
      </c>
      <c r="I111" s="27">
        <f>IF(COUNTIFS('Taux'!$A$6:$A$20,A111,'Taux'!$B$6:$B$20,D111)=1,SUMIFS('Taux'!$D$6:$D$20,'Taux'!$A$6:$A$20,A111,'Taux'!$B$6:$B$20,D111),"n.d.")</f>
        <v>1</v>
      </c>
      <c r="J111" s="22">
        <f>IF(COUNT(H111,I111)=2,H111/I111,"n.d.")</f>
        <v>310582.0</v>
      </c>
    </row>
    <row r="112" spans="1:11" ht="19" customHeight="1">
      <c r="A112" s="18" t="s">
        <v>38</v>
      </c>
      <c r="B112" s="18" t="s">
        <v>178</v>
      </c>
      <c r="C112" s="18" t="s">
        <v>10</v>
      </c>
      <c r="D112" s="18" t="s">
        <v>174</v>
      </c>
      <c r="E112" s="18" t="s">
        <v>229</v>
      </c>
      <c r="F112" s="18" t="s">
        <v>69</v>
      </c>
      <c r="G112" s="26">
        <v>5882</v>
      </c>
      <c r="H112" s="22">
        <v>1654928</v>
      </c>
      <c r="I112" s="27">
        <f>IF(COUNTIFS('Taux'!$A$6:$A$20,A112,'Taux'!$B$6:$B$20,D112)=1,SUMIFS('Taux'!$D$6:$D$20,'Taux'!$A$6:$A$20,A112,'Taux'!$B$6:$B$20,D112),"n.d.")</f>
        <v>1</v>
      </c>
      <c r="J112" s="22">
        <f>IF(COUNT(H112,I112)=2,H112/I112,"n.d.")</f>
        <v>1654928.0</v>
      </c>
    </row>
    <row r="113" spans="1:11" ht="19" customHeight="1">
      <c r="A113" s="18" t="s">
        <v>38</v>
      </c>
      <c r="B113" s="18" t="s">
        <v>178</v>
      </c>
      <c r="C113" s="18" t="s">
        <v>10</v>
      </c>
      <c r="D113" s="18" t="s">
        <v>174</v>
      </c>
      <c r="E113" s="18" t="s">
        <v>229</v>
      </c>
      <c r="F113" s="18" t="s">
        <v>70</v>
      </c>
      <c r="G113" s="26">
        <v>366</v>
      </c>
      <c r="H113" s="22">
        <v>843871</v>
      </c>
      <c r="I113" s="27">
        <f>IF(COUNTIFS('Taux'!$A$6:$A$20,A113,'Taux'!$B$6:$B$20,D113)=1,SUMIFS('Taux'!$D$6:$D$20,'Taux'!$A$6:$A$20,A113,'Taux'!$B$6:$B$20,D113),"n.d.")</f>
        <v>1</v>
      </c>
      <c r="J113" s="22">
        <f>IF(COUNT(H113,I113)=2,H113/I113,"n.d.")</f>
        <v>843871.0</v>
      </c>
    </row>
    <row r="114" spans="1:11" ht="19" customHeight="1">
      <c r="A114" s="18" t="s">
        <v>38</v>
      </c>
      <c r="B114" s="18" t="s">
        <v>178</v>
      </c>
      <c r="C114" s="18" t="s">
        <v>10</v>
      </c>
      <c r="D114" s="18" t="s">
        <v>174</v>
      </c>
      <c r="E114" s="18" t="s">
        <v>214</v>
      </c>
      <c r="F114" s="18" t="s">
        <v>73</v>
      </c>
      <c r="G114" s="26">
        <v>8231</v>
      </c>
      <c r="H114" s="22">
        <v>527268</v>
      </c>
      <c r="I114" s="27">
        <f>IF(COUNTIFS('Taux'!$A$6:$A$20,A114,'Taux'!$B$6:$B$20,D114)=1,SUMIFS('Taux'!$D$6:$D$20,'Taux'!$A$6:$A$20,A114,'Taux'!$B$6:$B$20,D114),"n.d.")</f>
        <v>1</v>
      </c>
      <c r="J114" s="22">
        <f>IF(COUNT(H114,I114)=2,H114/I114,"n.d.")</f>
        <v>527268.0</v>
      </c>
    </row>
    <row r="115" spans="1:11" ht="19" customHeight="1">
      <c r="A115" s="18" t="s">
        <v>38</v>
      </c>
      <c r="B115" s="18" t="s">
        <v>178</v>
      </c>
      <c r="C115" s="18" t="s">
        <v>10</v>
      </c>
      <c r="D115" s="18" t="s">
        <v>174</v>
      </c>
      <c r="E115" s="18" t="s">
        <v>214</v>
      </c>
      <c r="F115" s="18" t="s">
        <v>74</v>
      </c>
      <c r="G115" s="26">
        <v>6209</v>
      </c>
      <c r="H115" s="22">
        <v>112892</v>
      </c>
      <c r="I115" s="27">
        <f>IF(COUNTIFS('Taux'!$A$6:$A$20,A115,'Taux'!$B$6:$B$20,D115)=1,SUMIFS('Taux'!$D$6:$D$20,'Taux'!$A$6:$A$20,A115,'Taux'!$B$6:$B$20,D115),"n.d.")</f>
        <v>1</v>
      </c>
      <c r="J115" s="22">
        <f>IF(COUNT(H115,I115)=2,H115/I115,"n.d.")</f>
        <v>112892.0</v>
      </c>
    </row>
    <row r="116" spans="1:11" ht="19" customHeight="1">
      <c r="A116" s="18" t="s">
        <v>38</v>
      </c>
      <c r="B116" s="18" t="s">
        <v>178</v>
      </c>
      <c r="C116" s="18" t="s">
        <v>10</v>
      </c>
      <c r="D116" s="18" t="s">
        <v>174</v>
      </c>
      <c r="E116" s="18" t="s">
        <v>214</v>
      </c>
      <c r="F116" s="18" t="s">
        <v>75</v>
      </c>
      <c r="G116" s="26">
        <v>15777</v>
      </c>
      <c r="H116" s="22">
        <v>170983</v>
      </c>
      <c r="I116" s="27">
        <f>IF(COUNTIFS('Taux'!$A$6:$A$20,A116,'Taux'!$B$6:$B$20,D116)=1,SUMIFS('Taux'!$D$6:$D$20,'Taux'!$A$6:$A$20,A116,'Taux'!$B$6:$B$20,D116),"n.d.")</f>
        <v>1</v>
      </c>
      <c r="J116" s="22">
        <f>IF(COUNT(H116,I116)=2,H116/I116,"n.d.")</f>
        <v>170983.0</v>
      </c>
    </row>
    <row r="117" spans="1:11" ht="19" customHeight="1">
      <c r="A117" s="18" t="s">
        <v>38</v>
      </c>
      <c r="B117" s="18" t="s">
        <v>178</v>
      </c>
      <c r="C117" s="18" t="s">
        <v>10</v>
      </c>
      <c r="D117" s="18" t="s">
        <v>174</v>
      </c>
      <c r="E117" s="18" t="s">
        <v>214</v>
      </c>
      <c r="F117" s="18" t="s">
        <v>76</v>
      </c>
      <c r="G117" s="26">
        <v>15829</v>
      </c>
      <c r="H117" s="22">
        <v>199362</v>
      </c>
      <c r="I117" s="27">
        <f>IF(COUNTIFS('Taux'!$A$6:$A$20,A117,'Taux'!$B$6:$B$20,D117)=1,SUMIFS('Taux'!$D$6:$D$20,'Taux'!$A$6:$A$20,A117,'Taux'!$B$6:$B$20,D117),"n.d.")</f>
        <v>1</v>
      </c>
      <c r="J117" s="22">
        <f>IF(COUNT(H117,I117)=2,H117/I117,"n.d.")</f>
        <v>199362.0</v>
      </c>
    </row>
    <row r="118" spans="1:11" ht="19" customHeight="1">
      <c r="A118" s="18" t="s">
        <v>38</v>
      </c>
      <c r="B118" s="18" t="s">
        <v>178</v>
      </c>
      <c r="C118" s="18" t="s">
        <v>10</v>
      </c>
      <c r="D118" s="18" t="s">
        <v>174</v>
      </c>
      <c r="E118" s="18" t="s">
        <v>214</v>
      </c>
      <c r="F118" s="18" t="s">
        <v>77</v>
      </c>
      <c r="G118" s="26">
        <v>12963</v>
      </c>
      <c r="H118" s="22">
        <v>147913</v>
      </c>
      <c r="I118" s="27">
        <f>IF(COUNTIFS('Taux'!$A$6:$A$20,A118,'Taux'!$B$6:$B$20,D118)=1,SUMIFS('Taux'!$D$6:$D$20,'Taux'!$A$6:$A$20,A118,'Taux'!$B$6:$B$20,D118),"n.d.")</f>
        <v>1</v>
      </c>
      <c r="J118" s="22">
        <f>IF(COUNT(H118,I118)=2,H118/I118,"n.d.")</f>
        <v>147913.0</v>
      </c>
    </row>
    <row r="119" spans="1:11" ht="19" customHeight="1">
      <c r="A119" s="18" t="s">
        <v>38</v>
      </c>
      <c r="B119" s="18" t="s">
        <v>178</v>
      </c>
      <c r="C119" s="18" t="s">
        <v>10</v>
      </c>
      <c r="D119" s="18" t="s">
        <v>174</v>
      </c>
      <c r="E119" s="18" t="s">
        <v>214</v>
      </c>
      <c r="F119" s="18" t="s">
        <v>78</v>
      </c>
      <c r="G119" s="26">
        <v>10844</v>
      </c>
      <c r="H119" s="22">
        <v>135893</v>
      </c>
      <c r="I119" s="27">
        <f>IF(COUNTIFS('Taux'!$A$6:$A$20,A119,'Taux'!$B$6:$B$20,D119)=1,SUMIFS('Taux'!$D$6:$D$20,'Taux'!$A$6:$A$20,A119,'Taux'!$B$6:$B$20,D119),"n.d.")</f>
        <v>1</v>
      </c>
      <c r="J119" s="22">
        <f>IF(COUNT(H119,I119)=2,H119/I119,"n.d.")</f>
        <v>135893.0</v>
      </c>
    </row>
    <row r="120" spans="1:11" ht="19" customHeight="1">
      <c r="A120" s="18" t="s">
        <v>38</v>
      </c>
      <c r="B120" s="18" t="s">
        <v>178</v>
      </c>
      <c r="C120" s="18" t="s">
        <v>10</v>
      </c>
      <c r="D120" s="18" t="s">
        <v>174</v>
      </c>
      <c r="E120" s="18" t="s">
        <v>214</v>
      </c>
      <c r="F120" s="18" t="s">
        <v>79</v>
      </c>
      <c r="G120" s="26">
        <v>11955</v>
      </c>
      <c r="H120" s="22">
        <v>163480</v>
      </c>
      <c r="I120" s="27">
        <f>IF(COUNTIFS('Taux'!$A$6:$A$20,A120,'Taux'!$B$6:$B$20,D120)=1,SUMIFS('Taux'!$D$6:$D$20,'Taux'!$A$6:$A$20,A120,'Taux'!$B$6:$B$20,D120),"n.d.")</f>
        <v>1</v>
      </c>
      <c r="J120" s="22">
        <f>IF(COUNT(H120,I120)=2,H120/I120,"n.d.")</f>
        <v>163480.0</v>
      </c>
    </row>
    <row r="121" spans="1:11" ht="19" customHeight="1">
      <c r="A121" s="18" t="s">
        <v>38</v>
      </c>
      <c r="B121" s="18" t="s">
        <v>178</v>
      </c>
      <c r="C121" s="18" t="s">
        <v>10</v>
      </c>
      <c r="D121" s="18" t="s">
        <v>174</v>
      </c>
      <c r="E121" s="18" t="s">
        <v>214</v>
      </c>
      <c r="F121" s="18" t="s">
        <v>80</v>
      </c>
      <c r="G121" s="26">
        <v>12805</v>
      </c>
      <c r="H121" s="22">
        <v>290503</v>
      </c>
      <c r="I121" s="27">
        <f>IF(COUNTIFS('Taux'!$A$6:$A$20,A121,'Taux'!$B$6:$B$20,D121)=1,SUMIFS('Taux'!$D$6:$D$20,'Taux'!$A$6:$A$20,A121,'Taux'!$B$6:$B$20,D121),"n.d.")</f>
        <v>1</v>
      </c>
      <c r="J121" s="22">
        <f>IF(COUNT(H121,I121)=2,H121/I121,"n.d.")</f>
        <v>290503.0</v>
      </c>
    </row>
    <row r="122" spans="1:11" ht="19" customHeight="1">
      <c r="A122" s="18" t="s">
        <v>38</v>
      </c>
      <c r="B122" s="18" t="s">
        <v>178</v>
      </c>
      <c r="C122" s="18" t="s">
        <v>10</v>
      </c>
      <c r="D122" s="18" t="s">
        <v>174</v>
      </c>
      <c r="E122" s="18" t="s">
        <v>214</v>
      </c>
      <c r="F122" s="18" t="s">
        <v>50</v>
      </c>
      <c r="G122" s="26">
        <v>8118</v>
      </c>
      <c r="H122" s="22">
        <v>360502</v>
      </c>
      <c r="I122" s="27">
        <f>IF(COUNTIFS('Taux'!$A$6:$A$20,A122,'Taux'!$B$6:$B$20,D122)=1,SUMIFS('Taux'!$D$6:$D$20,'Taux'!$A$6:$A$20,A122,'Taux'!$B$6:$B$20,D122),"n.d.")</f>
        <v>1</v>
      </c>
      <c r="J122" s="22">
        <f>IF(COUNT(H122,I122)=2,H122/I122,"n.d.")</f>
        <v>360502.0</v>
      </c>
    </row>
    <row r="123" spans="1:11" ht="19" customHeight="1">
      <c r="A123" s="18" t="s">
        <v>38</v>
      </c>
      <c r="B123" s="18" t="s">
        <v>178</v>
      </c>
      <c r="C123" s="18" t="s">
        <v>10</v>
      </c>
      <c r="D123" s="18" t="s">
        <v>174</v>
      </c>
      <c r="E123" s="18" t="s">
        <v>214</v>
      </c>
      <c r="F123" s="18" t="s">
        <v>51</v>
      </c>
      <c r="G123" s="26">
        <v>5742</v>
      </c>
      <c r="H123" s="22">
        <v>914449</v>
      </c>
      <c r="I123" s="27">
        <f>IF(COUNTIFS('Taux'!$A$6:$A$20,A123,'Taux'!$B$6:$B$20,D123)=1,SUMIFS('Taux'!$D$6:$D$20,'Taux'!$A$6:$A$20,A123,'Taux'!$B$6:$B$20,D123),"n.d.")</f>
        <v>1</v>
      </c>
      <c r="J123" s="22">
        <f>IF(COUNT(H123,I123)=2,H123/I123,"n.d.")</f>
        <v>914449.0</v>
      </c>
    </row>
    <row r="124" spans="1:11" ht="19" customHeight="1">
      <c r="A124" s="18" t="s">
        <v>38</v>
      </c>
      <c r="B124" s="18" t="s">
        <v>179</v>
      </c>
      <c r="C124" s="18" t="s">
        <v>11</v>
      </c>
      <c r="D124" s="18" t="s">
        <v>174</v>
      </c>
      <c r="E124" s="18" t="s">
        <v>229</v>
      </c>
      <c r="F124" s="18" t="s">
        <v>66</v>
      </c>
      <c r="G124" s="26">
        <v>4094</v>
      </c>
      <c r="H124" s="22">
        <v>1230</v>
      </c>
      <c r="I124" s="27">
        <f>IF(COUNTIFS('Taux'!$A$6:$A$20,A124,'Taux'!$B$6:$B$20,D124)=1,SUMIFS('Taux'!$D$6:$D$20,'Taux'!$A$6:$A$20,A124,'Taux'!$B$6:$B$20,D124),"n.d.")</f>
        <v>1</v>
      </c>
      <c r="J124" s="22">
        <f>IF(COUNT(H124,I124)=2,H124/I124,"n.d.")</f>
        <v>1230.0</v>
      </c>
    </row>
    <row r="125" spans="1:11" ht="19" customHeight="1">
      <c r="A125" s="18" t="s">
        <v>38</v>
      </c>
      <c r="B125" s="18" t="s">
        <v>179</v>
      </c>
      <c r="C125" s="18" t="s">
        <v>11</v>
      </c>
      <c r="D125" s="18" t="s">
        <v>174</v>
      </c>
      <c r="E125" s="18" t="s">
        <v>229</v>
      </c>
      <c r="F125" s="18" t="s">
        <v>67</v>
      </c>
      <c r="G125" s="26">
        <v>3459</v>
      </c>
      <c r="H125" s="22">
        <v>14166</v>
      </c>
      <c r="I125" s="27">
        <f>IF(COUNTIFS('Taux'!$A$6:$A$20,A125,'Taux'!$B$6:$B$20,D125)=1,SUMIFS('Taux'!$D$6:$D$20,'Taux'!$A$6:$A$20,A125,'Taux'!$B$6:$B$20,D125),"n.d.")</f>
        <v>1</v>
      </c>
      <c r="J125" s="22">
        <f>IF(COUNT(H125,I125)=2,H125/I125,"n.d.")</f>
        <v>14166.0</v>
      </c>
    </row>
    <row r="126" spans="1:11" ht="19" customHeight="1">
      <c r="A126" s="18" t="s">
        <v>38</v>
      </c>
      <c r="B126" s="18" t="s">
        <v>179</v>
      </c>
      <c r="C126" s="18" t="s">
        <v>11</v>
      </c>
      <c r="D126" s="18" t="s">
        <v>174</v>
      </c>
      <c r="E126" s="18" t="s">
        <v>229</v>
      </c>
      <c r="F126" s="18" t="s">
        <v>68</v>
      </c>
      <c r="G126" s="26">
        <v>4817</v>
      </c>
      <c r="H126" s="22">
        <v>176203</v>
      </c>
      <c r="I126" s="27">
        <f>IF(COUNTIFS('Taux'!$A$6:$A$20,A126,'Taux'!$B$6:$B$20,D126)=1,SUMIFS('Taux'!$D$6:$D$20,'Taux'!$A$6:$A$20,A126,'Taux'!$B$6:$B$20,D126),"n.d.")</f>
        <v>1</v>
      </c>
      <c r="J126" s="22">
        <f>IF(COUNT(H126,I126)=2,H126/I126,"n.d.")</f>
        <v>176203.0</v>
      </c>
    </row>
    <row r="127" spans="1:11" ht="19" customHeight="1">
      <c r="A127" s="18" t="s">
        <v>38</v>
      </c>
      <c r="B127" s="18" t="s">
        <v>179</v>
      </c>
      <c r="C127" s="18" t="s">
        <v>11</v>
      </c>
      <c r="D127" s="18" t="s">
        <v>174</v>
      </c>
      <c r="E127" s="18" t="s">
        <v>229</v>
      </c>
      <c r="F127" s="18" t="s">
        <v>69</v>
      </c>
      <c r="G127" s="26">
        <v>1230</v>
      </c>
      <c r="H127" s="22">
        <v>301838</v>
      </c>
      <c r="I127" s="27">
        <f>IF(COUNTIFS('Taux'!$A$6:$A$20,A127,'Taux'!$B$6:$B$20,D127)=1,SUMIFS('Taux'!$D$6:$D$20,'Taux'!$A$6:$A$20,A127,'Taux'!$B$6:$B$20,D127),"n.d.")</f>
        <v>1</v>
      </c>
      <c r="J127" s="22">
        <f>IF(COUNT(H127,I127)=2,H127/I127,"n.d.")</f>
        <v>301838.0</v>
      </c>
    </row>
    <row r="128" spans="1:11" ht="19" customHeight="1">
      <c r="A128" s="18" t="s">
        <v>38</v>
      </c>
      <c r="B128" s="18" t="s">
        <v>179</v>
      </c>
      <c r="C128" s="18" t="s">
        <v>11</v>
      </c>
      <c r="D128" s="18" t="s">
        <v>174</v>
      </c>
      <c r="E128" s="18" t="s">
        <v>229</v>
      </c>
      <c r="F128" s="18" t="s">
        <v>70</v>
      </c>
      <c r="G128" s="26">
        <v>41</v>
      </c>
      <c r="H128" s="22">
        <v>99975</v>
      </c>
      <c r="I128" s="27">
        <f>IF(COUNTIFS('Taux'!$A$6:$A$20,A128,'Taux'!$B$6:$B$20,D128)=1,SUMIFS('Taux'!$D$6:$D$20,'Taux'!$A$6:$A$20,A128,'Taux'!$B$6:$B$20,D128),"n.d.")</f>
        <v>1</v>
      </c>
      <c r="J128" s="22">
        <f>IF(COUNT(H128,I128)=2,H128/I128,"n.d.")</f>
        <v>99975.0</v>
      </c>
    </row>
    <row r="129" spans="1:11" ht="19" customHeight="1">
      <c r="A129" s="18" t="s">
        <v>38</v>
      </c>
      <c r="B129" s="18" t="s">
        <v>179</v>
      </c>
      <c r="C129" s="18" t="s">
        <v>11</v>
      </c>
      <c r="D129" s="18" t="s">
        <v>174</v>
      </c>
      <c r="E129" s="18" t="s">
        <v>214</v>
      </c>
      <c r="F129" s="18" t="s">
        <v>80</v>
      </c>
      <c r="G129" s="26">
        <v>140</v>
      </c>
      <c r="H129" s="22">
        <v>9595</v>
      </c>
      <c r="I129" s="27">
        <f>IF(COUNTIFS('Taux'!$A$6:$A$20,A129,'Taux'!$B$6:$B$20,D129)=1,SUMIFS('Taux'!$D$6:$D$20,'Taux'!$A$6:$A$20,A129,'Taux'!$B$6:$B$20,D129),"n.d.")</f>
        <v>1</v>
      </c>
      <c r="J129" s="22">
        <f>IF(COUNT(H129,I129)=2,H129/I129,"n.d.")</f>
        <v>9595.0</v>
      </c>
    </row>
    <row r="130" spans="1:11" ht="19" customHeight="1">
      <c r="A130" s="18" t="s">
        <v>38</v>
      </c>
      <c r="B130" s="18" t="s">
        <v>179</v>
      </c>
      <c r="C130" s="18" t="s">
        <v>11</v>
      </c>
      <c r="D130" s="18" t="s">
        <v>174</v>
      </c>
      <c r="E130" s="18" t="s">
        <v>214</v>
      </c>
      <c r="F130" s="18" t="s">
        <v>50</v>
      </c>
      <c r="G130" s="26">
        <v>2163</v>
      </c>
      <c r="H130" s="22">
        <v>106201</v>
      </c>
      <c r="I130" s="27">
        <f>IF(COUNTIFS('Taux'!$A$6:$A$20,A130,'Taux'!$B$6:$B$20,D130)=1,SUMIFS('Taux'!$D$6:$D$20,'Taux'!$A$6:$A$20,A130,'Taux'!$B$6:$B$20,D130),"n.d.")</f>
        <v>1</v>
      </c>
      <c r="J130" s="22">
        <f>IF(COUNT(H130,I130)=2,H130/I130,"n.d.")</f>
        <v>106201.0</v>
      </c>
    </row>
    <row r="131" spans="1:11" ht="19" customHeight="1">
      <c r="A131" s="18" t="s">
        <v>38</v>
      </c>
      <c r="B131" s="18" t="s">
        <v>179</v>
      </c>
      <c r="C131" s="18" t="s">
        <v>11</v>
      </c>
      <c r="D131" s="18" t="s">
        <v>174</v>
      </c>
      <c r="E131" s="18" t="s">
        <v>214</v>
      </c>
      <c r="F131" s="18" t="s">
        <v>51</v>
      </c>
      <c r="G131" s="26">
        <v>11338</v>
      </c>
      <c r="H131" s="22">
        <v>477617</v>
      </c>
      <c r="I131" s="27">
        <f>IF(COUNTIFS('Taux'!$A$6:$A$20,A131,'Taux'!$B$6:$B$20,D131)=1,SUMIFS('Taux'!$D$6:$D$20,'Taux'!$A$6:$A$20,A131,'Taux'!$B$6:$B$20,D131),"n.d.")</f>
        <v>1</v>
      </c>
      <c r="J131" s="22">
        <f>IF(COUNT(H131,I131)=2,H131/I131,"n.d.")</f>
        <v>477617.0</v>
      </c>
    </row>
    <row r="132" spans="1:11" ht="19" customHeight="1">
      <c r="A132" s="18" t="s">
        <v>38</v>
      </c>
      <c r="B132" s="18" t="s">
        <v>13</v>
      </c>
      <c r="C132" s="18" t="s">
        <v>13</v>
      </c>
      <c r="D132" s="18" t="s">
        <v>181</v>
      </c>
      <c r="E132" s="18" t="s">
        <v>229</v>
      </c>
      <c r="F132" s="18" t="s">
        <v>66</v>
      </c>
      <c r="G132" s="26">
        <v>998098</v>
      </c>
      <c r="H132" s="22">
        <v>-190563</v>
      </c>
      <c r="I132" s="27">
        <f>IF(COUNTIFS('Taux'!$A$6:$A$20,A132,'Taux'!$B$6:$B$20,D132)=1,SUMIFS('Taux'!$D$6:$D$20,'Taux'!$A$6:$A$20,A132,'Taux'!$B$6:$B$20,D132),"n.d.")</f>
        <v>0.85443381</v>
      </c>
      <c r="J132" s="22">
        <f>IF(COUNT(H132,I132)=2,H132/I132,"n.d.")</f>
        <v>-223028.3935042318</v>
      </c>
    </row>
    <row r="133" spans="1:11" ht="19" customHeight="1">
      <c r="A133" s="18" t="s">
        <v>38</v>
      </c>
      <c r="B133" s="18" t="s">
        <v>13</v>
      </c>
      <c r="C133" s="18" t="s">
        <v>13</v>
      </c>
      <c r="D133" s="18" t="s">
        <v>181</v>
      </c>
      <c r="E133" s="18" t="s">
        <v>229</v>
      </c>
      <c r="F133" s="18" t="s">
        <v>67</v>
      </c>
      <c r="G133" s="26">
        <v>14278</v>
      </c>
      <c r="H133" s="22">
        <v>65482</v>
      </c>
      <c r="I133" s="27">
        <f>IF(COUNTIFS('Taux'!$A$6:$A$20,A133,'Taux'!$B$6:$B$20,D133)=1,SUMIFS('Taux'!$D$6:$D$20,'Taux'!$A$6:$A$20,A133,'Taux'!$B$6:$B$20,D133),"n.d.")</f>
        <v>0.85443381</v>
      </c>
      <c r="J133" s="22">
        <f>IF(COUNT(H133,I133)=2,H133/I133,"n.d.")</f>
        <v>76637.88491703062</v>
      </c>
    </row>
    <row r="134" spans="1:11" ht="19" customHeight="1">
      <c r="A134" s="18" t="s">
        <v>38</v>
      </c>
      <c r="B134" s="18" t="s">
        <v>13</v>
      </c>
      <c r="C134" s="18" t="s">
        <v>13</v>
      </c>
      <c r="D134" s="18" t="s">
        <v>181</v>
      </c>
      <c r="E134" s="18" t="s">
        <v>229</v>
      </c>
      <c r="F134" s="18" t="s">
        <v>68</v>
      </c>
      <c r="G134" s="26">
        <v>15298</v>
      </c>
      <c r="H134" s="22">
        <v>540040</v>
      </c>
      <c r="I134" s="27">
        <f>IF(COUNTIFS('Taux'!$A$6:$A$20,A134,'Taux'!$B$6:$B$20,D134)=1,SUMIFS('Taux'!$D$6:$D$20,'Taux'!$A$6:$A$20,A134,'Taux'!$B$6:$B$20,D134),"n.d.")</f>
        <v>0.85443381</v>
      </c>
      <c r="J134" s="22">
        <f>IF(COUNT(H134,I134)=2,H134/I134,"n.d.")</f>
        <v>632044.2773677226</v>
      </c>
    </row>
    <row r="135" spans="1:11" ht="19" customHeight="1">
      <c r="A135" s="18" t="s">
        <v>38</v>
      </c>
      <c r="B135" s="18" t="s">
        <v>13</v>
      </c>
      <c r="C135" s="18" t="s">
        <v>13</v>
      </c>
      <c r="D135" s="18" t="s">
        <v>181</v>
      </c>
      <c r="E135" s="18" t="s">
        <v>229</v>
      </c>
      <c r="F135" s="18" t="s">
        <v>69</v>
      </c>
      <c r="G135" s="26">
        <v>3141</v>
      </c>
      <c r="H135" s="22">
        <v>869367</v>
      </c>
      <c r="I135" s="27">
        <f>IF(COUNTIFS('Taux'!$A$6:$A$20,A135,'Taux'!$B$6:$B$20,D135)=1,SUMIFS('Taux'!$D$6:$D$20,'Taux'!$A$6:$A$20,A135,'Taux'!$B$6:$B$20,D135),"n.d.")</f>
        <v>0.85443381</v>
      </c>
      <c r="J135" s="22">
        <f>IF(COUNT(H135,I135)=2,H135/I135,"n.d.")</f>
        <v>1017477.2929456057</v>
      </c>
    </row>
    <row r="136" spans="1:11" ht="19" customHeight="1">
      <c r="A136" s="18" t="s">
        <v>38</v>
      </c>
      <c r="B136" s="18" t="s">
        <v>13</v>
      </c>
      <c r="C136" s="18" t="s">
        <v>13</v>
      </c>
      <c r="D136" s="18" t="s">
        <v>181</v>
      </c>
      <c r="E136" s="18" t="s">
        <v>229</v>
      </c>
      <c r="F136" s="18" t="s">
        <v>70</v>
      </c>
      <c r="G136" s="26">
        <v>431</v>
      </c>
      <c r="H136" s="22">
        <v>1159877</v>
      </c>
      <c r="I136" s="27">
        <f>IF(COUNTIFS('Taux'!$A$6:$A$20,A136,'Taux'!$B$6:$B$20,D136)=1,SUMIFS('Taux'!$D$6:$D$20,'Taux'!$A$6:$A$20,A136,'Taux'!$B$6:$B$20,D136),"n.d.")</f>
        <v>0.85443381</v>
      </c>
      <c r="J136" s="22">
        <f>IF(COUNT(H136,I136)=2,H136/I136,"n.d.")</f>
        <v>1357480.2242434672</v>
      </c>
    </row>
    <row r="137" spans="1:11" ht="19" customHeight="1">
      <c r="A137" s="18" t="s">
        <v>38</v>
      </c>
      <c r="B137" s="18" t="s">
        <v>13</v>
      </c>
      <c r="C137" s="18" t="s">
        <v>13</v>
      </c>
      <c r="D137" s="18" t="s">
        <v>181</v>
      </c>
      <c r="E137" s="18" t="s">
        <v>214</v>
      </c>
      <c r="F137" s="18" t="s">
        <v>73</v>
      </c>
      <c r="G137" s="26">
        <v>1321</v>
      </c>
      <c r="H137" s="22">
        <v>68632</v>
      </c>
      <c r="I137" s="27">
        <f>IF(COUNTIFS('Taux'!$A$6:$A$20,A137,'Taux'!$B$6:$B$20,D137)=1,SUMIFS('Taux'!$D$6:$D$20,'Taux'!$A$6:$A$20,A137,'Taux'!$B$6:$B$20,D137),"n.d.")</f>
        <v>0.85443381</v>
      </c>
      <c r="J137" s="22">
        <f>IF(COUNT(H137,I137)=2,H137/I137,"n.d.")</f>
        <v>80324.53678301892</v>
      </c>
    </row>
    <row r="138" spans="1:11" ht="19" customHeight="1">
      <c r="A138" s="18" t="s">
        <v>38</v>
      </c>
      <c r="B138" s="18" t="s">
        <v>13</v>
      </c>
      <c r="C138" s="18" t="s">
        <v>13</v>
      </c>
      <c r="D138" s="18" t="s">
        <v>181</v>
      </c>
      <c r="E138" s="18" t="s">
        <v>214</v>
      </c>
      <c r="F138" s="18" t="s">
        <v>74</v>
      </c>
      <c r="G138" s="26">
        <v>817</v>
      </c>
      <c r="H138" s="22">
        <v>84026</v>
      </c>
      <c r="I138" s="27">
        <f>IF(COUNTIFS('Taux'!$A$6:$A$20,A138,'Taux'!$B$6:$B$20,D138)=1,SUMIFS('Taux'!$D$6:$D$20,'Taux'!$A$6:$A$20,A138,'Taux'!$B$6:$B$20,D138),"n.d.")</f>
        <v>0.85443381</v>
      </c>
      <c r="J138" s="22">
        <f>IF(COUNT(H138,I138)=2,H138/I138,"n.d.")</f>
        <v>98341.1459338202</v>
      </c>
    </row>
    <row r="139" spans="1:11" ht="19" customHeight="1">
      <c r="A139" s="18" t="s">
        <v>38</v>
      </c>
      <c r="B139" s="18" t="s">
        <v>13</v>
      </c>
      <c r="C139" s="18" t="s">
        <v>13</v>
      </c>
      <c r="D139" s="18" t="s">
        <v>181</v>
      </c>
      <c r="E139" s="18" t="s">
        <v>214</v>
      </c>
      <c r="F139" s="18" t="s">
        <v>75</v>
      </c>
      <c r="G139" s="26">
        <v>953</v>
      </c>
      <c r="H139" s="22">
        <v>100521</v>
      </c>
      <c r="I139" s="27">
        <f>IF(COUNTIFS('Taux'!$A$6:$A$20,A139,'Taux'!$B$6:$B$20,D139)=1,SUMIFS('Taux'!$D$6:$D$20,'Taux'!$A$6:$A$20,A139,'Taux'!$B$6:$B$20,D139),"n.d.")</f>
        <v>0.85443381</v>
      </c>
      <c r="J139" s="22">
        <f>IF(COUNT(H139,I139)=2,H139/I139,"n.d.")</f>
        <v>117646.32768920978</v>
      </c>
    </row>
    <row r="140" spans="1:11" ht="19" customHeight="1">
      <c r="A140" s="18" t="s">
        <v>38</v>
      </c>
      <c r="B140" s="18" t="s">
        <v>13</v>
      </c>
      <c r="C140" s="18" t="s">
        <v>13</v>
      </c>
      <c r="D140" s="18" t="s">
        <v>181</v>
      </c>
      <c r="E140" s="18" t="s">
        <v>214</v>
      </c>
      <c r="F140" s="18" t="s">
        <v>76</v>
      </c>
      <c r="G140" s="26">
        <v>752</v>
      </c>
      <c r="H140" s="22">
        <v>75096</v>
      </c>
      <c r="I140" s="27">
        <f>IF(COUNTIFS('Taux'!$A$6:$A$20,A140,'Taux'!$B$6:$B$20,D140)=1,SUMIFS('Taux'!$D$6:$D$20,'Taux'!$A$6:$A$20,A140,'Taux'!$B$6:$B$20,D140),"n.d.")</f>
        <v>0.85443381</v>
      </c>
      <c r="J140" s="22">
        <f>IF(COUNT(H140,I140)=2,H140/I140,"n.d.")</f>
        <v>87889.78048516129</v>
      </c>
    </row>
    <row r="141" spans="1:11" ht="19" customHeight="1">
      <c r="A141" s="18" t="s">
        <v>38</v>
      </c>
      <c r="B141" s="18" t="s">
        <v>13</v>
      </c>
      <c r="C141" s="18" t="s">
        <v>13</v>
      </c>
      <c r="D141" s="18" t="s">
        <v>181</v>
      </c>
      <c r="E141" s="18" t="s">
        <v>214</v>
      </c>
      <c r="F141" s="18" t="s">
        <v>77</v>
      </c>
      <c r="G141" s="26">
        <v>727</v>
      </c>
      <c r="H141" s="22">
        <v>86007</v>
      </c>
      <c r="I141" s="27">
        <f>IF(COUNTIFS('Taux'!$A$6:$A$20,A141,'Taux'!$B$6:$B$20,D141)=1,SUMIFS('Taux'!$D$6:$D$20,'Taux'!$A$6:$A$20,A141,'Taux'!$B$6:$B$20,D141),"n.d.")</f>
        <v>0.85443381</v>
      </c>
      <c r="J141" s="22">
        <f>IF(COUNT(H141,I141)=2,H141/I141,"n.d.")</f>
        <v>100659.64032954174</v>
      </c>
    </row>
    <row r="142" spans="1:11" ht="19" customHeight="1">
      <c r="A142" s="18" t="s">
        <v>38</v>
      </c>
      <c r="B142" s="18" t="s">
        <v>13</v>
      </c>
      <c r="C142" s="18" t="s">
        <v>13</v>
      </c>
      <c r="D142" s="18" t="s">
        <v>181</v>
      </c>
      <c r="E142" s="18" t="s">
        <v>214</v>
      </c>
      <c r="F142" s="18" t="s">
        <v>78</v>
      </c>
      <c r="G142" s="26">
        <v>1294</v>
      </c>
      <c r="H142" s="22">
        <v>114129</v>
      </c>
      <c r="I142" s="27">
        <f>IF(COUNTIFS('Taux'!$A$6:$A$20,A142,'Taux'!$B$6:$B$20,D142)=1,SUMIFS('Taux'!$D$6:$D$20,'Taux'!$A$6:$A$20,A142,'Taux'!$B$6:$B$20,D142),"n.d.")</f>
        <v>0.85443381</v>
      </c>
      <c r="J142" s="22">
        <f>IF(COUNT(H142,I142)=2,H142/I142,"n.d.")</f>
        <v>133572.66375027926</v>
      </c>
    </row>
    <row r="143" spans="1:11" ht="19" customHeight="1">
      <c r="A143" s="18" t="s">
        <v>38</v>
      </c>
      <c r="B143" s="18" t="s">
        <v>13</v>
      </c>
      <c r="C143" s="18" t="s">
        <v>13</v>
      </c>
      <c r="D143" s="18" t="s">
        <v>181</v>
      </c>
      <c r="E143" s="18" t="s">
        <v>214</v>
      </c>
      <c r="F143" s="18" t="s">
        <v>79</v>
      </c>
      <c r="G143" s="26">
        <v>3920</v>
      </c>
      <c r="H143" s="22">
        <v>206814</v>
      </c>
      <c r="I143" s="27">
        <f>IF(COUNTIFS('Taux'!$A$6:$A$20,A143,'Taux'!$B$6:$B$20,D143)=1,SUMIFS('Taux'!$D$6:$D$20,'Taux'!$A$6:$A$20,A143,'Taux'!$B$6:$B$20,D143),"n.d.")</f>
        <v>0.85443381</v>
      </c>
      <c r="J143" s="22">
        <f>IF(COUNT(H143,I143)=2,H143/I143,"n.d.")</f>
        <v>242048.00603571621</v>
      </c>
    </row>
    <row r="144" spans="1:11" ht="19" customHeight="1">
      <c r="A144" s="18" t="s">
        <v>38</v>
      </c>
      <c r="B144" s="18" t="s">
        <v>13</v>
      </c>
      <c r="C144" s="18" t="s">
        <v>13</v>
      </c>
      <c r="D144" s="18" t="s">
        <v>181</v>
      </c>
      <c r="E144" s="18" t="s">
        <v>214</v>
      </c>
      <c r="F144" s="18" t="s">
        <v>80</v>
      </c>
      <c r="G144" s="26">
        <v>10012</v>
      </c>
      <c r="H144" s="22">
        <v>759953</v>
      </c>
      <c r="I144" s="27">
        <f>IF(COUNTIFS('Taux'!$A$6:$A$20,A144,'Taux'!$B$6:$B$20,D144)=1,SUMIFS('Taux'!$D$6:$D$20,'Taux'!$A$6:$A$20,A144,'Taux'!$B$6:$B$20,D144),"n.d.")</f>
        <v>0.85443381</v>
      </c>
      <c r="J144" s="22">
        <f>IF(COUNT(H144,I144)=2,H144/I144,"n.d.")</f>
        <v>889422.9033375916</v>
      </c>
    </row>
    <row r="145" spans="1:11" ht="19" customHeight="1">
      <c r="A145" s="18" t="s">
        <v>38</v>
      </c>
      <c r="B145" s="18" t="s">
        <v>13</v>
      </c>
      <c r="C145" s="18" t="s">
        <v>13</v>
      </c>
      <c r="D145" s="18" t="s">
        <v>181</v>
      </c>
      <c r="E145" s="18" t="s">
        <v>214</v>
      </c>
      <c r="F145" s="18" t="s">
        <v>50</v>
      </c>
      <c r="G145" s="26">
        <v>16647</v>
      </c>
      <c r="H145" s="22">
        <v>626510</v>
      </c>
      <c r="I145" s="27">
        <f>IF(COUNTIFS('Taux'!$A$6:$A$20,A145,'Taux'!$B$6:$B$20,D145)=1,SUMIFS('Taux'!$D$6:$D$20,'Taux'!$A$6:$A$20,A145,'Taux'!$B$6:$B$20,D145),"n.d.")</f>
        <v>0.85443381</v>
      </c>
      <c r="J145" s="22">
        <f>IF(COUNT(H145,I145)=2,H145/I145,"n.d.")</f>
        <v>733245.7970032811</v>
      </c>
    </row>
    <row r="146" spans="1:11" ht="19" customHeight="1">
      <c r="A146" s="18" t="s">
        <v>38</v>
      </c>
      <c r="B146" s="18" t="s">
        <v>13</v>
      </c>
      <c r="C146" s="18" t="s">
        <v>13</v>
      </c>
      <c r="D146" s="18" t="s">
        <v>181</v>
      </c>
      <c r="E146" s="18" t="s">
        <v>214</v>
      </c>
      <c r="F146" s="18" t="s">
        <v>51</v>
      </c>
      <c r="G146" s="26">
        <v>14520</v>
      </c>
      <c r="H146" s="22">
        <v>322515</v>
      </c>
      <c r="I146" s="27">
        <f>IF(COUNTIFS('Taux'!$A$6:$A$20,A146,'Taux'!$B$6:$B$20,D146)=1,SUMIFS('Taux'!$D$6:$D$20,'Taux'!$A$6:$A$20,A146,'Taux'!$B$6:$B$20,D146),"n.d.")</f>
        <v>0.85443381</v>
      </c>
      <c r="J146" s="22">
        <f>IF(COUNT(H146,I146)=2,H146/I146,"n.d.")</f>
        <v>377460.4846219744</v>
      </c>
    </row>
    <row r="147" spans="1:11" ht="19" customHeight="1">
      <c r="A147" s="18" t="s">
        <v>38</v>
      </c>
      <c r="B147" s="18" t="s">
        <v>176</v>
      </c>
      <c r="C147" s="18" t="s">
        <v>87</v>
      </c>
      <c r="D147" s="18" t="s">
        <v>174</v>
      </c>
      <c r="E147" s="18" t="s">
        <v>229</v>
      </c>
      <c r="F147" s="18" t="s">
        <v>66</v>
      </c>
      <c r="G147" s="26">
        <v>5</v>
      </c>
      <c r="H147" s="22">
        <v>1.21</v>
      </c>
      <c r="I147" s="27">
        <f>IF(COUNTIFS('Taux'!$A$6:$A$20,A147,'Taux'!$B$6:$B$20,D147)=1,SUMIFS('Taux'!$D$6:$D$20,'Taux'!$A$6:$A$20,A147,'Taux'!$B$6:$B$20,D147),"n.d.")</f>
        <v>1</v>
      </c>
      <c r="J147" s="22">
        <f>IF(COUNT(H147,I147)=2,H147/I147,"n.d.")</f>
        <v>1.21</v>
      </c>
    </row>
    <row r="148" spans="1:11" ht="19" customHeight="1">
      <c r="A148" s="18" t="s">
        <v>38</v>
      </c>
      <c r="B148" s="18" t="s">
        <v>176</v>
      </c>
      <c r="C148" s="18" t="s">
        <v>87</v>
      </c>
      <c r="D148" s="18" t="s">
        <v>174</v>
      </c>
      <c r="E148" s="18" t="s">
        <v>229</v>
      </c>
      <c r="F148" s="18" t="s">
        <v>67</v>
      </c>
      <c r="G148" s="26">
        <v>19</v>
      </c>
      <c r="H148" s="22">
        <v>83.42</v>
      </c>
      <c r="I148" s="27">
        <f>IF(COUNTIFS('Taux'!$A$6:$A$20,A148,'Taux'!$B$6:$B$20,D148)=1,SUMIFS('Taux'!$D$6:$D$20,'Taux'!$A$6:$A$20,A148,'Taux'!$B$6:$B$20,D148),"n.d.")</f>
        <v>1</v>
      </c>
      <c r="J148" s="22">
        <f>IF(COUNT(H148,I148)=2,H148/I148,"n.d.")</f>
        <v>83.42</v>
      </c>
    </row>
    <row r="149" spans="1:11" ht="19" customHeight="1">
      <c r="A149" s="18" t="s">
        <v>38</v>
      </c>
      <c r="B149" s="18" t="s">
        <v>176</v>
      </c>
      <c r="C149" s="18" t="s">
        <v>87</v>
      </c>
      <c r="D149" s="18" t="s">
        <v>174</v>
      </c>
      <c r="E149" s="18" t="s">
        <v>229</v>
      </c>
      <c r="F149" s="18" t="s">
        <v>68</v>
      </c>
      <c r="G149" s="26">
        <v>32</v>
      </c>
      <c r="H149" s="22">
        <v>1265.6</v>
      </c>
      <c r="I149" s="27">
        <f>IF(COUNTIFS('Taux'!$A$6:$A$20,A149,'Taux'!$B$6:$B$20,D149)=1,SUMIFS('Taux'!$D$6:$D$20,'Taux'!$A$6:$A$20,A149,'Taux'!$B$6:$B$20,D149),"n.d.")</f>
        <v>1</v>
      </c>
      <c r="J149" s="22">
        <f>IF(COUNT(H149,I149)=2,H149/I149,"n.d.")</f>
        <v>1265.6</v>
      </c>
    </row>
    <row r="150" spans="1:11" ht="19" customHeight="1">
      <c r="A150" s="18" t="s">
        <v>38</v>
      </c>
      <c r="B150" s="18" t="s">
        <v>176</v>
      </c>
      <c r="C150" s="18" t="s">
        <v>87</v>
      </c>
      <c r="D150" s="18" t="s">
        <v>174</v>
      </c>
      <c r="E150" s="18" t="s">
        <v>229</v>
      </c>
      <c r="F150" s="18" t="s">
        <v>69</v>
      </c>
      <c r="G150" s="26">
        <v>14</v>
      </c>
      <c r="H150" s="22">
        <v>3254</v>
      </c>
      <c r="I150" s="27">
        <f>IF(COUNTIFS('Taux'!$A$6:$A$20,A150,'Taux'!$B$6:$B$20,D150)=1,SUMIFS('Taux'!$D$6:$D$20,'Taux'!$A$6:$A$20,A150,'Taux'!$B$6:$B$20,D150),"n.d.")</f>
        <v>1</v>
      </c>
      <c r="J150" s="22">
        <f>IF(COUNT(H150,I150)=2,H150/I150,"n.d.")</f>
        <v>3254.0</v>
      </c>
    </row>
    <row r="151" spans="1:11" ht="19" customHeight="1">
      <c r="A151" s="18" t="s">
        <v>38</v>
      </c>
      <c r="B151" s="18" t="s">
        <v>176</v>
      </c>
      <c r="C151" s="18" t="s">
        <v>87</v>
      </c>
      <c r="D151" s="18" t="s">
        <v>174</v>
      </c>
      <c r="E151" s="18" t="s">
        <v>229</v>
      </c>
      <c r="F151" s="18" t="s">
        <v>70</v>
      </c>
      <c r="G151" s="26">
        <v>4</v>
      </c>
      <c r="H151" s="22">
        <v>7388.06</v>
      </c>
      <c r="I151" s="27">
        <f>IF(COUNTIFS('Taux'!$A$6:$A$20,A151,'Taux'!$B$6:$B$20,D151)=1,SUMIFS('Taux'!$D$6:$D$20,'Taux'!$A$6:$A$20,A151,'Taux'!$B$6:$B$20,D151),"n.d.")</f>
        <v>1</v>
      </c>
      <c r="J151" s="22">
        <f>IF(COUNT(H151,I151)=2,H151/I151,"n.d.")</f>
        <v>7388.06</v>
      </c>
    </row>
    <row r="152" spans="1:11" ht="19" customHeight="1">
      <c r="A152" s="18" t="s">
        <v>38</v>
      </c>
      <c r="B152" s="18" t="s">
        <v>176</v>
      </c>
      <c r="C152" s="18" t="s">
        <v>87</v>
      </c>
      <c r="D152" s="18" t="s">
        <v>174</v>
      </c>
      <c r="E152" s="18" t="s">
        <v>214</v>
      </c>
      <c r="F152" s="18" t="s">
        <v>73</v>
      </c>
      <c r="G152" s="23" t="s">
        <v>39</v>
      </c>
      <c r="H152" s="23" t="s">
        <v>39</v>
      </c>
      <c r="I152" s="27">
        <f>IF(COUNTIFS('Taux'!$A$6:$A$20,A152,'Taux'!$B$6:$B$20,D152)=1,SUMIFS('Taux'!$D$6:$D$20,'Taux'!$A$6:$A$20,A152,'Taux'!$B$6:$B$20,D152),"n.d.")</f>
        <v>1</v>
      </c>
      <c r="J152" s="22" t="str">
        <f>IF(COUNT(H152,I152)=2,H152/I152,"n.d.")</f>
        <v>n.d.</v>
      </c>
    </row>
    <row r="153" spans="1:11" ht="19" customHeight="1">
      <c r="A153" s="18" t="s">
        <v>38</v>
      </c>
      <c r="B153" s="18" t="s">
        <v>176</v>
      </c>
      <c r="C153" s="18" t="s">
        <v>87</v>
      </c>
      <c r="D153" s="18" t="s">
        <v>174</v>
      </c>
      <c r="E153" s="18" t="s">
        <v>214</v>
      </c>
      <c r="F153" s="18" t="s">
        <v>74</v>
      </c>
      <c r="G153" s="23" t="s">
        <v>39</v>
      </c>
      <c r="H153" s="23" t="s">
        <v>39</v>
      </c>
      <c r="I153" s="27">
        <f>IF(COUNTIFS('Taux'!$A$6:$A$20,A153,'Taux'!$B$6:$B$20,D153)=1,SUMIFS('Taux'!$D$6:$D$20,'Taux'!$A$6:$A$20,A153,'Taux'!$B$6:$B$20,D153),"n.d.")</f>
        <v>1</v>
      </c>
      <c r="J153" s="22" t="str">
        <f>IF(COUNT(H153,I153)=2,H153/I153,"n.d.")</f>
        <v>n.d.</v>
      </c>
    </row>
    <row r="154" spans="1:11" ht="19" customHeight="1">
      <c r="A154" s="18" t="s">
        <v>38</v>
      </c>
      <c r="B154" s="18" t="s">
        <v>176</v>
      </c>
      <c r="C154" s="18" t="s">
        <v>87</v>
      </c>
      <c r="D154" s="18" t="s">
        <v>174</v>
      </c>
      <c r="E154" s="18" t="s">
        <v>214</v>
      </c>
      <c r="F154" s="18" t="s">
        <v>75</v>
      </c>
      <c r="G154" s="26">
        <v>1</v>
      </c>
      <c r="H154" s="22">
        <v>2314.9</v>
      </c>
      <c r="I154" s="27">
        <f>IF(COUNTIFS('Taux'!$A$6:$A$20,A154,'Taux'!$B$6:$B$20,D154)=1,SUMIFS('Taux'!$D$6:$D$20,'Taux'!$A$6:$A$20,A154,'Taux'!$B$6:$B$20,D154),"n.d.")</f>
        <v>1</v>
      </c>
      <c r="J154" s="22">
        <f>IF(COUNT(H154,I154)=2,H154/I154,"n.d.")</f>
        <v>2314.9</v>
      </c>
    </row>
    <row r="155" spans="1:11" ht="19" customHeight="1">
      <c r="A155" s="18" t="s">
        <v>38</v>
      </c>
      <c r="B155" s="18" t="s">
        <v>176</v>
      </c>
      <c r="C155" s="18" t="s">
        <v>87</v>
      </c>
      <c r="D155" s="18" t="s">
        <v>174</v>
      </c>
      <c r="E155" s="18" t="s">
        <v>214</v>
      </c>
      <c r="F155" s="18" t="s">
        <v>76</v>
      </c>
      <c r="G155" s="26">
        <v>0</v>
      </c>
      <c r="H155" s="22">
        <v>0</v>
      </c>
      <c r="I155" s="27">
        <f>IF(COUNTIFS('Taux'!$A$6:$A$20,A155,'Taux'!$B$6:$B$20,D155)=1,SUMIFS('Taux'!$D$6:$D$20,'Taux'!$A$6:$A$20,A155,'Taux'!$B$6:$B$20,D155),"n.d.")</f>
        <v>1</v>
      </c>
      <c r="J155" s="22">
        <f>IF(COUNT(H155,I155)=2,H155/I155,"n.d.")</f>
        <v>0.0</v>
      </c>
    </row>
    <row r="156" spans="1:11" ht="19" customHeight="1">
      <c r="A156" s="18" t="s">
        <v>38</v>
      </c>
      <c r="B156" s="18" t="s">
        <v>176</v>
      </c>
      <c r="C156" s="18" t="s">
        <v>87</v>
      </c>
      <c r="D156" s="18" t="s">
        <v>174</v>
      </c>
      <c r="E156" s="18" t="s">
        <v>214</v>
      </c>
      <c r="F156" s="18" t="s">
        <v>77</v>
      </c>
      <c r="G156" s="26">
        <v>1</v>
      </c>
      <c r="H156" s="22">
        <v>81.01000000000001</v>
      </c>
      <c r="I156" s="27">
        <f>IF(COUNTIFS('Taux'!$A$6:$A$20,A156,'Taux'!$B$6:$B$20,D156)=1,SUMIFS('Taux'!$D$6:$D$20,'Taux'!$A$6:$A$20,A156,'Taux'!$B$6:$B$20,D156),"n.d.")</f>
        <v>1</v>
      </c>
      <c r="J156" s="22">
        <f>IF(COUNT(H156,I156)=2,H156/I156,"n.d.")</f>
        <v>81.01</v>
      </c>
    </row>
    <row r="157" spans="1:11" ht="19" customHeight="1">
      <c r="A157" s="18" t="s">
        <v>38</v>
      </c>
      <c r="B157" s="18" t="s">
        <v>176</v>
      </c>
      <c r="C157" s="18" t="s">
        <v>87</v>
      </c>
      <c r="D157" s="18" t="s">
        <v>174</v>
      </c>
      <c r="E157" s="18" t="s">
        <v>214</v>
      </c>
      <c r="F157" s="18" t="s">
        <v>78</v>
      </c>
      <c r="G157" s="26">
        <v>0</v>
      </c>
      <c r="H157" s="22">
        <v>0</v>
      </c>
      <c r="I157" s="27">
        <f>IF(COUNTIFS('Taux'!$A$6:$A$20,A157,'Taux'!$B$6:$B$20,D157)=1,SUMIFS('Taux'!$D$6:$D$20,'Taux'!$A$6:$A$20,A157,'Taux'!$B$6:$B$20,D157),"n.d.")</f>
        <v>1</v>
      </c>
      <c r="J157" s="22">
        <f>IF(COUNT(H157,I157)=2,H157/I157,"n.d.")</f>
        <v>0.0</v>
      </c>
    </row>
    <row r="158" spans="1:11" ht="19" customHeight="1">
      <c r="A158" s="18" t="s">
        <v>38</v>
      </c>
      <c r="B158" s="18" t="s">
        <v>176</v>
      </c>
      <c r="C158" s="18" t="s">
        <v>87</v>
      </c>
      <c r="D158" s="18" t="s">
        <v>174</v>
      </c>
      <c r="E158" s="18" t="s">
        <v>214</v>
      </c>
      <c r="F158" s="18" t="s">
        <v>79</v>
      </c>
      <c r="G158" s="26">
        <v>1</v>
      </c>
      <c r="H158" s="22">
        <v>47.06</v>
      </c>
      <c r="I158" s="27">
        <f>IF(COUNTIFS('Taux'!$A$6:$A$20,A158,'Taux'!$B$6:$B$20,D158)=1,SUMIFS('Taux'!$D$6:$D$20,'Taux'!$A$6:$A$20,A158,'Taux'!$B$6:$B$20,D158),"n.d.")</f>
        <v>1</v>
      </c>
      <c r="J158" s="22">
        <f>IF(COUNT(H158,I158)=2,H158/I158,"n.d.")</f>
        <v>47.06</v>
      </c>
    </row>
    <row r="159" spans="1:11" ht="19" customHeight="1">
      <c r="A159" s="18" t="s">
        <v>38</v>
      </c>
      <c r="B159" s="18" t="s">
        <v>176</v>
      </c>
      <c r="C159" s="18" t="s">
        <v>87</v>
      </c>
      <c r="D159" s="18" t="s">
        <v>174</v>
      </c>
      <c r="E159" s="18" t="s">
        <v>214</v>
      </c>
      <c r="F159" s="18" t="s">
        <v>80</v>
      </c>
      <c r="G159" s="26">
        <v>3</v>
      </c>
      <c r="H159" s="22">
        <v>3734.12</v>
      </c>
      <c r="I159" s="27">
        <f>IF(COUNTIFS('Taux'!$A$6:$A$20,A159,'Taux'!$B$6:$B$20,D159)=1,SUMIFS('Taux'!$D$6:$D$20,'Taux'!$A$6:$A$20,A159,'Taux'!$B$6:$B$20,D159),"n.d.")</f>
        <v>1</v>
      </c>
      <c r="J159" s="22">
        <f>IF(COUNT(H159,I159)=2,H159/I159,"n.d.")</f>
        <v>3734.12</v>
      </c>
    </row>
    <row r="160" spans="1:11" ht="19" customHeight="1">
      <c r="A160" s="18" t="s">
        <v>38</v>
      </c>
      <c r="B160" s="18" t="s">
        <v>176</v>
      </c>
      <c r="C160" s="18" t="s">
        <v>87</v>
      </c>
      <c r="D160" s="18" t="s">
        <v>174</v>
      </c>
      <c r="E160" s="18" t="s">
        <v>214</v>
      </c>
      <c r="F160" s="18" t="s">
        <v>50</v>
      </c>
      <c r="G160" s="26">
        <v>3</v>
      </c>
      <c r="H160" s="22">
        <v>429.88</v>
      </c>
      <c r="I160" s="27">
        <f>IF(COUNTIFS('Taux'!$A$6:$A$20,A160,'Taux'!$B$6:$B$20,D160)=1,SUMIFS('Taux'!$D$6:$D$20,'Taux'!$A$6:$A$20,A160,'Taux'!$B$6:$B$20,D160),"n.d.")</f>
        <v>1</v>
      </c>
      <c r="J160" s="22">
        <f>IF(COUNT(H160,I160)=2,H160/I160,"n.d.")</f>
        <v>429.88</v>
      </c>
    </row>
    <row r="161" spans="1:11" ht="19" customHeight="1">
      <c r="A161" s="18" t="s">
        <v>38</v>
      </c>
      <c r="B161" s="18" t="s">
        <v>176</v>
      </c>
      <c r="C161" s="18" t="s">
        <v>87</v>
      </c>
      <c r="D161" s="18" t="s">
        <v>174</v>
      </c>
      <c r="E161" s="18" t="s">
        <v>214</v>
      </c>
      <c r="F161" s="18" t="s">
        <v>51</v>
      </c>
      <c r="G161" s="26">
        <v>65</v>
      </c>
      <c r="H161" s="22">
        <v>5385.32</v>
      </c>
      <c r="I161" s="27">
        <f>IF(COUNTIFS('Taux'!$A$6:$A$20,A161,'Taux'!$B$6:$B$20,D161)=1,SUMIFS('Taux'!$D$6:$D$20,'Taux'!$A$6:$A$20,A161,'Taux'!$B$6:$B$20,D161),"n.d.")</f>
        <v>1</v>
      </c>
      <c r="J161" s="22">
        <f>IF(COUNT(H161,I161)=2,H161/I161,"n.d.")</f>
        <v>5385.32</v>
      </c>
    </row>
    <row r="162" spans="1:11" ht="19" customHeight="1">
      <c r="A162" s="18" t="s">
        <v>38</v>
      </c>
      <c r="B162" s="18" t="s">
        <v>187</v>
      </c>
      <c r="C162" s="18" t="s">
        <v>17</v>
      </c>
      <c r="D162" s="18" t="s">
        <v>188</v>
      </c>
      <c r="E162" s="18" t="s">
        <v>229</v>
      </c>
      <c r="F162" s="18" t="s">
        <v>120</v>
      </c>
      <c r="G162" s="26">
        <v>135</v>
      </c>
      <c r="H162" s="22">
        <v>313.4800000000001</v>
      </c>
      <c r="I162" s="27">
        <f>IF(COUNTIFS('Taux'!$A$6:$A$20,A162,'Taux'!$B$6:$B$20,D162)=1,SUMIFS('Taux'!$D$6:$D$20,'Taux'!$A$6:$A$20,A162,'Taux'!$B$6:$B$20,D162),"n.d.")</f>
        <v>7.47595715</v>
      </c>
      <c r="J162" s="22">
        <f>IF(COUNT(H162,I162)=2,H162/I162,"n.d.")</f>
        <v>41.93175451788137</v>
      </c>
    </row>
    <row r="163" spans="1:11" ht="19" customHeight="1">
      <c r="A163" s="18" t="s">
        <v>38</v>
      </c>
      <c r="B163" s="18" t="s">
        <v>187</v>
      </c>
      <c r="C163" s="18" t="s">
        <v>17</v>
      </c>
      <c r="D163" s="18" t="s">
        <v>188</v>
      </c>
      <c r="E163" s="18" t="s">
        <v>229</v>
      </c>
      <c r="F163" s="18" t="s">
        <v>121</v>
      </c>
      <c r="G163" s="26">
        <v>205</v>
      </c>
      <c r="H163" s="22">
        <v>6945.040000000003</v>
      </c>
      <c r="I163" s="27">
        <f>IF(COUNTIFS('Taux'!$A$6:$A$20,A163,'Taux'!$B$6:$B$20,D163)=1,SUMIFS('Taux'!$D$6:$D$20,'Taux'!$A$6:$A$20,A163,'Taux'!$B$6:$B$20,D163),"n.d.")</f>
        <v>7.47595715</v>
      </c>
      <c r="J163" s="22">
        <f>IF(COUNT(H163,I163)=2,H163/I163,"n.d.")</f>
        <v>928.9833877659402</v>
      </c>
    </row>
    <row r="164" spans="1:11" ht="19" customHeight="1">
      <c r="A164" s="18" t="s">
        <v>38</v>
      </c>
      <c r="B164" s="18" t="s">
        <v>187</v>
      </c>
      <c r="C164" s="18" t="s">
        <v>17</v>
      </c>
      <c r="D164" s="18" t="s">
        <v>188</v>
      </c>
      <c r="E164" s="18" t="s">
        <v>229</v>
      </c>
      <c r="F164" s="18" t="s">
        <v>230</v>
      </c>
      <c r="G164" s="26">
        <v>300</v>
      </c>
      <c r="H164" s="22">
        <v>78102.59999999999</v>
      </c>
      <c r="I164" s="27">
        <f>IF(COUNTIFS('Taux'!$A$6:$A$20,A164,'Taux'!$B$6:$B$20,D164)=1,SUMIFS('Taux'!$D$6:$D$20,'Taux'!$A$6:$A$20,A164,'Taux'!$B$6:$B$20,D164),"n.d.")</f>
        <v>7.47595715</v>
      </c>
      <c r="J164" s="22">
        <f>IF(COUNT(H164,I164)=2,H164/I164,"n.d.")</f>
        <v>10447.170634197655</v>
      </c>
    </row>
    <row r="165" spans="1:11" ht="19" customHeight="1">
      <c r="A165" s="18" t="s">
        <v>38</v>
      </c>
      <c r="B165" s="18" t="s">
        <v>187</v>
      </c>
      <c r="C165" s="18" t="s">
        <v>17</v>
      </c>
      <c r="D165" s="18" t="s">
        <v>188</v>
      </c>
      <c r="E165" s="18" t="s">
        <v>229</v>
      </c>
      <c r="F165" s="18" t="s">
        <v>231</v>
      </c>
      <c r="G165" s="26">
        <v>51</v>
      </c>
      <c r="H165" s="22">
        <v>83888.11999999998</v>
      </c>
      <c r="I165" s="27">
        <f>IF(COUNTIFS('Taux'!$A$6:$A$20,A165,'Taux'!$B$6:$B$20,D165)=1,SUMIFS('Taux'!$D$6:$D$20,'Taux'!$A$6:$A$20,A165,'Taux'!$B$6:$B$20,D165),"n.d.")</f>
        <v>7.47595715</v>
      </c>
      <c r="J165" s="22">
        <f>IF(COUNT(H165,I165)=2,H165/I165,"n.d.")</f>
        <v>11221.05414956799</v>
      </c>
    </row>
    <row r="166" spans="1:11" ht="19" customHeight="1">
      <c r="A166" s="18" t="s">
        <v>38</v>
      </c>
      <c r="B166" s="18" t="s">
        <v>187</v>
      </c>
      <c r="C166" s="18" t="s">
        <v>17</v>
      </c>
      <c r="D166" s="18" t="s">
        <v>188</v>
      </c>
      <c r="E166" s="18" t="s">
        <v>229</v>
      </c>
      <c r="F166" s="18" t="s">
        <v>232</v>
      </c>
      <c r="G166" s="26">
        <v>1</v>
      </c>
      <c r="H166" s="22">
        <v>13048.57</v>
      </c>
      <c r="I166" s="27">
        <f>IF(COUNTIFS('Taux'!$A$6:$A$20,A166,'Taux'!$B$6:$B$20,D166)=1,SUMIFS('Taux'!$D$6:$D$20,'Taux'!$A$6:$A$20,A166,'Taux'!$B$6:$B$20,D166),"n.d.")</f>
        <v>7.47595715</v>
      </c>
      <c r="J166" s="22">
        <f>IF(COUNT(H166,I166)=2,H166/I166,"n.d.")</f>
        <v>1745.4046001320378</v>
      </c>
    </row>
    <row r="167" spans="1:11" ht="19" customHeight="1">
      <c r="A167" s="18" t="s">
        <v>38</v>
      </c>
      <c r="B167" s="18" t="s">
        <v>187</v>
      </c>
      <c r="C167" s="18" t="s">
        <v>17</v>
      </c>
      <c r="D167" s="18" t="s">
        <v>188</v>
      </c>
      <c r="E167" s="18" t="s">
        <v>214</v>
      </c>
      <c r="F167" s="18" t="s">
        <v>73</v>
      </c>
      <c r="G167" s="26">
        <v>0</v>
      </c>
      <c r="H167" s="22">
        <v>0</v>
      </c>
      <c r="I167" s="27">
        <f>IF(COUNTIFS('Taux'!$A$6:$A$20,A167,'Taux'!$B$6:$B$20,D167)=1,SUMIFS('Taux'!$D$6:$D$20,'Taux'!$A$6:$A$20,A167,'Taux'!$B$6:$B$20,D167),"n.d.")</f>
        <v>7.47595715</v>
      </c>
      <c r="J167" s="22">
        <f>IF(COUNT(H167,I167)=2,H167/I167,"n.d.")</f>
        <v>0.0</v>
      </c>
    </row>
    <row r="168" spans="1:11" ht="19" customHeight="1">
      <c r="A168" s="18" t="s">
        <v>38</v>
      </c>
      <c r="B168" s="18" t="s">
        <v>187</v>
      </c>
      <c r="C168" s="18" t="s">
        <v>17</v>
      </c>
      <c r="D168" s="18" t="s">
        <v>188</v>
      </c>
      <c r="E168" s="18" t="s">
        <v>214</v>
      </c>
      <c r="F168" s="18" t="s">
        <v>74</v>
      </c>
      <c r="G168" s="26">
        <v>0</v>
      </c>
      <c r="H168" s="22">
        <v>0</v>
      </c>
      <c r="I168" s="27">
        <f>IF(COUNTIFS('Taux'!$A$6:$A$20,A168,'Taux'!$B$6:$B$20,D168)=1,SUMIFS('Taux'!$D$6:$D$20,'Taux'!$A$6:$A$20,A168,'Taux'!$B$6:$B$20,D168),"n.d.")</f>
        <v>7.47595715</v>
      </c>
      <c r="J168" s="22">
        <f>IF(COUNT(H168,I168)=2,H168/I168,"n.d.")</f>
        <v>0.0</v>
      </c>
    </row>
    <row r="169" spans="1:11" ht="19" customHeight="1">
      <c r="A169" s="18" t="s">
        <v>38</v>
      </c>
      <c r="B169" s="18" t="s">
        <v>187</v>
      </c>
      <c r="C169" s="18" t="s">
        <v>17</v>
      </c>
      <c r="D169" s="18" t="s">
        <v>188</v>
      </c>
      <c r="E169" s="18" t="s">
        <v>214</v>
      </c>
      <c r="F169" s="18" t="s">
        <v>75</v>
      </c>
      <c r="G169" s="26">
        <v>0</v>
      </c>
      <c r="H169" s="22">
        <v>0</v>
      </c>
      <c r="I169" s="27">
        <f>IF(COUNTIFS('Taux'!$A$6:$A$20,A169,'Taux'!$B$6:$B$20,D169)=1,SUMIFS('Taux'!$D$6:$D$20,'Taux'!$A$6:$A$20,A169,'Taux'!$B$6:$B$20,D169),"n.d.")</f>
        <v>7.47595715</v>
      </c>
      <c r="J169" s="22">
        <f>IF(COUNT(H169,I169)=2,H169/I169,"n.d.")</f>
        <v>0.0</v>
      </c>
    </row>
    <row r="170" spans="1:11" ht="19" customHeight="1">
      <c r="A170" s="18" t="s">
        <v>38</v>
      </c>
      <c r="B170" s="18" t="s">
        <v>187</v>
      </c>
      <c r="C170" s="18" t="s">
        <v>17</v>
      </c>
      <c r="D170" s="18" t="s">
        <v>188</v>
      </c>
      <c r="E170" s="18" t="s">
        <v>214</v>
      </c>
      <c r="F170" s="18" t="s">
        <v>76</v>
      </c>
      <c r="G170" s="26">
        <v>0</v>
      </c>
      <c r="H170" s="22">
        <v>0</v>
      </c>
      <c r="I170" s="27">
        <f>IF(COUNTIFS('Taux'!$A$6:$A$20,A170,'Taux'!$B$6:$B$20,D170)=1,SUMIFS('Taux'!$D$6:$D$20,'Taux'!$A$6:$A$20,A170,'Taux'!$B$6:$B$20,D170),"n.d.")</f>
        <v>7.47595715</v>
      </c>
      <c r="J170" s="22">
        <f>IF(COUNT(H170,I170)=2,H170/I170,"n.d.")</f>
        <v>0.0</v>
      </c>
    </row>
    <row r="171" spans="1:11" ht="19" customHeight="1">
      <c r="A171" s="18" t="s">
        <v>38</v>
      </c>
      <c r="B171" s="18" t="s">
        <v>187</v>
      </c>
      <c r="C171" s="18" t="s">
        <v>17</v>
      </c>
      <c r="D171" s="18" t="s">
        <v>188</v>
      </c>
      <c r="E171" s="18" t="s">
        <v>214</v>
      </c>
      <c r="F171" s="18" t="s">
        <v>77</v>
      </c>
      <c r="G171" s="26">
        <v>0</v>
      </c>
      <c r="H171" s="22">
        <v>0</v>
      </c>
      <c r="I171" s="27">
        <f>IF(COUNTIFS('Taux'!$A$6:$A$20,A171,'Taux'!$B$6:$B$20,D171)=1,SUMIFS('Taux'!$D$6:$D$20,'Taux'!$A$6:$A$20,A171,'Taux'!$B$6:$B$20,D171),"n.d.")</f>
        <v>7.47595715</v>
      </c>
      <c r="J171" s="22">
        <f>IF(COUNT(H171,I171)=2,H171/I171,"n.d.")</f>
        <v>0.0</v>
      </c>
    </row>
    <row r="172" spans="1:11" ht="19" customHeight="1">
      <c r="A172" s="18" t="s">
        <v>38</v>
      </c>
      <c r="B172" s="18" t="s">
        <v>187</v>
      </c>
      <c r="C172" s="18" t="s">
        <v>17</v>
      </c>
      <c r="D172" s="18" t="s">
        <v>188</v>
      </c>
      <c r="E172" s="18" t="s">
        <v>214</v>
      </c>
      <c r="F172" s="18" t="s">
        <v>78</v>
      </c>
      <c r="G172" s="26">
        <v>0</v>
      </c>
      <c r="H172" s="22">
        <v>0</v>
      </c>
      <c r="I172" s="27">
        <f>IF(COUNTIFS('Taux'!$A$6:$A$20,A172,'Taux'!$B$6:$B$20,D172)=1,SUMIFS('Taux'!$D$6:$D$20,'Taux'!$A$6:$A$20,A172,'Taux'!$B$6:$B$20,D172),"n.d.")</f>
        <v>7.47595715</v>
      </c>
      <c r="J172" s="22">
        <f>IF(COUNT(H172,I172)=2,H172/I172,"n.d.")</f>
        <v>0.0</v>
      </c>
    </row>
    <row r="173" spans="1:11" ht="19" customHeight="1">
      <c r="A173" s="18" t="s">
        <v>38</v>
      </c>
      <c r="B173" s="18" t="s">
        <v>187</v>
      </c>
      <c r="C173" s="18" t="s">
        <v>17</v>
      </c>
      <c r="D173" s="18" t="s">
        <v>188</v>
      </c>
      <c r="E173" s="18" t="s">
        <v>214</v>
      </c>
      <c r="F173" s="18" t="s">
        <v>79</v>
      </c>
      <c r="G173" s="26">
        <v>0</v>
      </c>
      <c r="H173" s="22">
        <v>0</v>
      </c>
      <c r="I173" s="27">
        <f>IF(COUNTIFS('Taux'!$A$6:$A$20,A173,'Taux'!$B$6:$B$20,D173)=1,SUMIFS('Taux'!$D$6:$D$20,'Taux'!$A$6:$A$20,A173,'Taux'!$B$6:$B$20,D173),"n.d.")</f>
        <v>7.47595715</v>
      </c>
      <c r="J173" s="22">
        <f>IF(COUNT(H173,I173)=2,H173/I173,"n.d.")</f>
        <v>0.0</v>
      </c>
    </row>
    <row r="174" spans="1:11" ht="19" customHeight="1">
      <c r="A174" s="18" t="s">
        <v>38</v>
      </c>
      <c r="B174" s="18" t="s">
        <v>187</v>
      </c>
      <c r="C174" s="18" t="s">
        <v>17</v>
      </c>
      <c r="D174" s="18" t="s">
        <v>188</v>
      </c>
      <c r="E174" s="18" t="s">
        <v>214</v>
      </c>
      <c r="F174" s="18" t="s">
        <v>80</v>
      </c>
      <c r="G174" s="26">
        <v>0</v>
      </c>
      <c r="H174" s="22">
        <v>0</v>
      </c>
      <c r="I174" s="27">
        <f>IF(COUNTIFS('Taux'!$A$6:$A$20,A174,'Taux'!$B$6:$B$20,D174)=1,SUMIFS('Taux'!$D$6:$D$20,'Taux'!$A$6:$A$20,A174,'Taux'!$B$6:$B$20,D174),"n.d.")</f>
        <v>7.47595715</v>
      </c>
      <c r="J174" s="22">
        <f>IF(COUNT(H174,I174)=2,H174/I174,"n.d.")</f>
        <v>0.0</v>
      </c>
    </row>
    <row r="175" spans="1:11" ht="19" customHeight="1">
      <c r="A175" s="18" t="s">
        <v>38</v>
      </c>
      <c r="B175" s="18" t="s">
        <v>187</v>
      </c>
      <c r="C175" s="18" t="s">
        <v>17</v>
      </c>
      <c r="D175" s="18" t="s">
        <v>188</v>
      </c>
      <c r="E175" s="18" t="s">
        <v>214</v>
      </c>
      <c r="F175" s="18" t="s">
        <v>50</v>
      </c>
      <c r="G175" s="26">
        <v>0</v>
      </c>
      <c r="H175" s="22">
        <v>0</v>
      </c>
      <c r="I175" s="27">
        <f>IF(COUNTIFS('Taux'!$A$6:$A$20,A175,'Taux'!$B$6:$B$20,D175)=1,SUMIFS('Taux'!$D$6:$D$20,'Taux'!$A$6:$A$20,A175,'Taux'!$B$6:$B$20,D175),"n.d.")</f>
        <v>7.47595715</v>
      </c>
      <c r="J175" s="22">
        <f>IF(COUNT(H175,I175)=2,H175/I175,"n.d.")</f>
        <v>0.0</v>
      </c>
    </row>
    <row r="176" spans="1:11" ht="19" customHeight="1">
      <c r="A176" s="18" t="s">
        <v>38</v>
      </c>
      <c r="B176" s="18" t="s">
        <v>187</v>
      </c>
      <c r="C176" s="18" t="s">
        <v>17</v>
      </c>
      <c r="D176" s="18" t="s">
        <v>188</v>
      </c>
      <c r="E176" s="18" t="s">
        <v>214</v>
      </c>
      <c r="F176" s="18" t="s">
        <v>51</v>
      </c>
      <c r="G176" s="26">
        <v>692</v>
      </c>
      <c r="H176" s="22">
        <v>182297.8099999999</v>
      </c>
      <c r="I176" s="27">
        <f>IF(COUNTIFS('Taux'!$A$6:$A$20,A176,'Taux'!$B$6:$B$20,D176)=1,SUMIFS('Taux'!$D$6:$D$20,'Taux'!$A$6:$A$20,A176,'Taux'!$B$6:$B$20,D176),"n.d.")</f>
        <v>7.47595715</v>
      </c>
      <c r="J176" s="22">
        <f>IF(COUNT(H176,I176)=2,H176/I176,"n.d.")</f>
        <v>24384.544526181493</v>
      </c>
    </row>
    <row r="177" spans="1:11" ht="19" customHeight="1">
      <c r="A177" s="18" t="s">
        <v>38</v>
      </c>
      <c r="B177" s="18" t="s">
        <v>189</v>
      </c>
      <c r="C177" s="18" t="s">
        <v>18</v>
      </c>
      <c r="D177" s="18" t="s">
        <v>190</v>
      </c>
      <c r="E177" s="18" t="s">
        <v>229</v>
      </c>
      <c r="F177" s="18" t="s">
        <v>137</v>
      </c>
      <c r="G177" s="26">
        <v>215</v>
      </c>
      <c r="H177" s="22">
        <v>900.8400000000005</v>
      </c>
      <c r="I177" s="27">
        <f>IF(COUNTIFS('Taux'!$A$6:$A$20,A177,'Taux'!$B$6:$B$20,D177)=1,SUMIFS('Taux'!$D$6:$D$20,'Taux'!$A$6:$A$20,A177,'Taux'!$B$6:$B$20,D177),"n.d.")</f>
        <v>10.90384939</v>
      </c>
      <c r="J177" s="22">
        <f>IF(COUNT(H177,I177)=2,H177/I177,"n.d.")</f>
        <v>82.6166950569005</v>
      </c>
    </row>
    <row r="178" spans="1:11" ht="19" customHeight="1">
      <c r="A178" s="18" t="s">
        <v>38</v>
      </c>
      <c r="B178" s="18" t="s">
        <v>189</v>
      </c>
      <c r="C178" s="18" t="s">
        <v>18</v>
      </c>
      <c r="D178" s="18" t="s">
        <v>190</v>
      </c>
      <c r="E178" s="18" t="s">
        <v>229</v>
      </c>
      <c r="F178" s="18" t="s">
        <v>138</v>
      </c>
      <c r="G178" s="26">
        <v>118</v>
      </c>
      <c r="H178" s="22">
        <v>4661.589999999999</v>
      </c>
      <c r="I178" s="27">
        <f>IF(COUNTIFS('Taux'!$A$6:$A$20,A178,'Taux'!$B$6:$B$20,D178)=1,SUMIFS('Taux'!$D$6:$D$20,'Taux'!$A$6:$A$20,A178,'Taux'!$B$6:$B$20,D178),"n.d.")</f>
        <v>10.90384939</v>
      </c>
      <c r="J178" s="22">
        <f>IF(COUNT(H178,I178)=2,H178/I178,"n.d.")</f>
        <v>427.51782726155204</v>
      </c>
    </row>
    <row r="179" spans="1:11" ht="19" customHeight="1">
      <c r="A179" s="18" t="s">
        <v>38</v>
      </c>
      <c r="B179" s="18" t="s">
        <v>189</v>
      </c>
      <c r="C179" s="18" t="s">
        <v>18</v>
      </c>
      <c r="D179" s="18" t="s">
        <v>190</v>
      </c>
      <c r="E179" s="18" t="s">
        <v>229</v>
      </c>
      <c r="F179" s="18" t="s">
        <v>233</v>
      </c>
      <c r="G179" s="26">
        <v>108</v>
      </c>
      <c r="H179" s="22">
        <v>46587.51</v>
      </c>
      <c r="I179" s="27">
        <f>IF(COUNTIFS('Taux'!$A$6:$A$20,A179,'Taux'!$B$6:$B$20,D179)=1,SUMIFS('Taux'!$D$6:$D$20,'Taux'!$A$6:$A$20,A179,'Taux'!$B$6:$B$20,D179),"n.d.")</f>
        <v>10.90384939</v>
      </c>
      <c r="J179" s="22">
        <f>IF(COUNT(H179,I179)=2,H179/I179,"n.d.")</f>
        <v>4272.574604957929</v>
      </c>
    </row>
    <row r="180" spans="1:11" ht="19" customHeight="1">
      <c r="A180" s="18" t="s">
        <v>38</v>
      </c>
      <c r="B180" s="18" t="s">
        <v>189</v>
      </c>
      <c r="C180" s="18" t="s">
        <v>18</v>
      </c>
      <c r="D180" s="18" t="s">
        <v>190</v>
      </c>
      <c r="E180" s="18" t="s">
        <v>229</v>
      </c>
      <c r="F180" s="18" t="s">
        <v>234</v>
      </c>
      <c r="G180" s="26">
        <v>20</v>
      </c>
      <c r="H180" s="22">
        <v>70098.11999999998</v>
      </c>
      <c r="I180" s="27">
        <f>IF(COUNTIFS('Taux'!$A$6:$A$20,A180,'Taux'!$B$6:$B$20,D180)=1,SUMIFS('Taux'!$D$6:$D$20,'Taux'!$A$6:$A$20,A180,'Taux'!$B$6:$B$20,D180),"n.d.")</f>
        <v>10.90384939</v>
      </c>
      <c r="J180" s="22">
        <f>IF(COUNT(H180,I180)=2,H180/I180,"n.d.")</f>
        <v>6428.749838042287</v>
      </c>
    </row>
    <row r="181" spans="1:11" ht="19" customHeight="1">
      <c r="A181" s="18" t="s">
        <v>38</v>
      </c>
      <c r="B181" s="18" t="s">
        <v>189</v>
      </c>
      <c r="C181" s="18" t="s">
        <v>18</v>
      </c>
      <c r="D181" s="18" t="s">
        <v>190</v>
      </c>
      <c r="E181" s="18" t="s">
        <v>229</v>
      </c>
      <c r="F181" s="18" t="s">
        <v>235</v>
      </c>
      <c r="G181" s="26">
        <v>0</v>
      </c>
      <c r="H181" s="22">
        <v>0</v>
      </c>
      <c r="I181" s="27">
        <f>IF(COUNTIFS('Taux'!$A$6:$A$20,A181,'Taux'!$B$6:$B$20,D181)=1,SUMIFS('Taux'!$D$6:$D$20,'Taux'!$A$6:$A$20,A181,'Taux'!$B$6:$B$20,D181),"n.d.")</f>
        <v>10.90384939</v>
      </c>
      <c r="J181" s="22">
        <f>IF(COUNT(H181,I181)=2,H181/I181,"n.d.")</f>
        <v>0.0</v>
      </c>
    </row>
    <row r="182" spans="1:11" ht="19" customHeight="1">
      <c r="A182" s="18" t="s">
        <v>38</v>
      </c>
      <c r="B182" s="18" t="s">
        <v>189</v>
      </c>
      <c r="C182" s="18" t="s">
        <v>18</v>
      </c>
      <c r="D182" s="18" t="s">
        <v>190</v>
      </c>
      <c r="E182" s="18" t="s">
        <v>214</v>
      </c>
      <c r="F182" s="18" t="s">
        <v>73</v>
      </c>
      <c r="G182" s="26">
        <v>0</v>
      </c>
      <c r="H182" s="22">
        <v>0</v>
      </c>
      <c r="I182" s="27">
        <f>IF(COUNTIFS('Taux'!$A$6:$A$20,A182,'Taux'!$B$6:$B$20,D182)=1,SUMIFS('Taux'!$D$6:$D$20,'Taux'!$A$6:$A$20,A182,'Taux'!$B$6:$B$20,D182),"n.d.")</f>
        <v>10.90384939</v>
      </c>
      <c r="J182" s="22">
        <f>IF(COUNT(H182,I182)=2,H182/I182,"n.d.")</f>
        <v>0.0</v>
      </c>
    </row>
    <row r="183" spans="1:11" ht="19" customHeight="1">
      <c r="A183" s="18" t="s">
        <v>38</v>
      </c>
      <c r="B183" s="18" t="s">
        <v>189</v>
      </c>
      <c r="C183" s="18" t="s">
        <v>18</v>
      </c>
      <c r="D183" s="18" t="s">
        <v>190</v>
      </c>
      <c r="E183" s="18" t="s">
        <v>214</v>
      </c>
      <c r="F183" s="18" t="s">
        <v>74</v>
      </c>
      <c r="G183" s="26">
        <v>0</v>
      </c>
      <c r="H183" s="22">
        <v>0</v>
      </c>
      <c r="I183" s="27">
        <f>IF(COUNTIFS('Taux'!$A$6:$A$20,A183,'Taux'!$B$6:$B$20,D183)=1,SUMIFS('Taux'!$D$6:$D$20,'Taux'!$A$6:$A$20,A183,'Taux'!$B$6:$B$20,D183),"n.d.")</f>
        <v>10.90384939</v>
      </c>
      <c r="J183" s="22">
        <f>IF(COUNT(H183,I183)=2,H183/I183,"n.d.")</f>
        <v>0.0</v>
      </c>
    </row>
    <row r="184" spans="1:11" ht="19" customHeight="1">
      <c r="A184" s="18" t="s">
        <v>38</v>
      </c>
      <c r="B184" s="18" t="s">
        <v>189</v>
      </c>
      <c r="C184" s="18" t="s">
        <v>18</v>
      </c>
      <c r="D184" s="18" t="s">
        <v>190</v>
      </c>
      <c r="E184" s="18" t="s">
        <v>214</v>
      </c>
      <c r="F184" s="18" t="s">
        <v>75</v>
      </c>
      <c r="G184" s="26">
        <v>0</v>
      </c>
      <c r="H184" s="22">
        <v>0</v>
      </c>
      <c r="I184" s="27">
        <f>IF(COUNTIFS('Taux'!$A$6:$A$20,A184,'Taux'!$B$6:$B$20,D184)=1,SUMIFS('Taux'!$D$6:$D$20,'Taux'!$A$6:$A$20,A184,'Taux'!$B$6:$B$20,D184),"n.d.")</f>
        <v>10.90384939</v>
      </c>
      <c r="J184" s="22">
        <f>IF(COUNT(H184,I184)=2,H184/I184,"n.d.")</f>
        <v>0.0</v>
      </c>
    </row>
    <row r="185" spans="1:11" ht="19" customHeight="1">
      <c r="A185" s="18" t="s">
        <v>38</v>
      </c>
      <c r="B185" s="18" t="s">
        <v>189</v>
      </c>
      <c r="C185" s="18" t="s">
        <v>18</v>
      </c>
      <c r="D185" s="18" t="s">
        <v>190</v>
      </c>
      <c r="E185" s="18" t="s">
        <v>214</v>
      </c>
      <c r="F185" s="18" t="s">
        <v>76</v>
      </c>
      <c r="G185" s="26">
        <v>0</v>
      </c>
      <c r="H185" s="22">
        <v>0</v>
      </c>
      <c r="I185" s="27">
        <f>IF(COUNTIFS('Taux'!$A$6:$A$20,A185,'Taux'!$B$6:$B$20,D185)=1,SUMIFS('Taux'!$D$6:$D$20,'Taux'!$A$6:$A$20,A185,'Taux'!$B$6:$B$20,D185),"n.d.")</f>
        <v>10.90384939</v>
      </c>
      <c r="J185" s="22">
        <f>IF(COUNT(H185,I185)=2,H185/I185,"n.d.")</f>
        <v>0.0</v>
      </c>
    </row>
    <row r="186" spans="1:11" ht="19" customHeight="1">
      <c r="A186" s="18" t="s">
        <v>38</v>
      </c>
      <c r="B186" s="18" t="s">
        <v>189</v>
      </c>
      <c r="C186" s="18" t="s">
        <v>18</v>
      </c>
      <c r="D186" s="18" t="s">
        <v>190</v>
      </c>
      <c r="E186" s="18" t="s">
        <v>214</v>
      </c>
      <c r="F186" s="18" t="s">
        <v>77</v>
      </c>
      <c r="G186" s="26">
        <v>0</v>
      </c>
      <c r="H186" s="22">
        <v>0</v>
      </c>
      <c r="I186" s="27">
        <f>IF(COUNTIFS('Taux'!$A$6:$A$20,A186,'Taux'!$B$6:$B$20,D186)=1,SUMIFS('Taux'!$D$6:$D$20,'Taux'!$A$6:$A$20,A186,'Taux'!$B$6:$B$20,D186),"n.d.")</f>
        <v>10.90384939</v>
      </c>
      <c r="J186" s="22">
        <f>IF(COUNT(H186,I186)=2,H186/I186,"n.d.")</f>
        <v>0.0</v>
      </c>
    </row>
    <row r="187" spans="1:11" ht="19" customHeight="1">
      <c r="A187" s="18" t="s">
        <v>38</v>
      </c>
      <c r="B187" s="18" t="s">
        <v>189</v>
      </c>
      <c r="C187" s="18" t="s">
        <v>18</v>
      </c>
      <c r="D187" s="18" t="s">
        <v>190</v>
      </c>
      <c r="E187" s="18" t="s">
        <v>214</v>
      </c>
      <c r="F187" s="18" t="s">
        <v>78</v>
      </c>
      <c r="G187" s="26">
        <v>0</v>
      </c>
      <c r="H187" s="22">
        <v>0</v>
      </c>
      <c r="I187" s="27">
        <f>IF(COUNTIFS('Taux'!$A$6:$A$20,A187,'Taux'!$B$6:$B$20,D187)=1,SUMIFS('Taux'!$D$6:$D$20,'Taux'!$A$6:$A$20,A187,'Taux'!$B$6:$B$20,D187),"n.d.")</f>
        <v>10.90384939</v>
      </c>
      <c r="J187" s="22">
        <f>IF(COUNT(H187,I187)=2,H187/I187,"n.d.")</f>
        <v>0.0</v>
      </c>
    </row>
    <row r="188" spans="1:11" ht="19" customHeight="1">
      <c r="A188" s="18" t="s">
        <v>38</v>
      </c>
      <c r="B188" s="18" t="s">
        <v>189</v>
      </c>
      <c r="C188" s="18" t="s">
        <v>18</v>
      </c>
      <c r="D188" s="18" t="s">
        <v>190</v>
      </c>
      <c r="E188" s="18" t="s">
        <v>214</v>
      </c>
      <c r="F188" s="18" t="s">
        <v>79</v>
      </c>
      <c r="G188" s="26">
        <v>0</v>
      </c>
      <c r="H188" s="22">
        <v>0</v>
      </c>
      <c r="I188" s="27">
        <f>IF(COUNTIFS('Taux'!$A$6:$A$20,A188,'Taux'!$B$6:$B$20,D188)=1,SUMIFS('Taux'!$D$6:$D$20,'Taux'!$A$6:$A$20,A188,'Taux'!$B$6:$B$20,D188),"n.d.")</f>
        <v>10.90384939</v>
      </c>
      <c r="J188" s="22">
        <f>IF(COUNT(H188,I188)=2,H188/I188,"n.d.")</f>
        <v>0.0</v>
      </c>
    </row>
    <row r="189" spans="1:11" ht="19" customHeight="1">
      <c r="A189" s="18" t="s">
        <v>38</v>
      </c>
      <c r="B189" s="18" t="s">
        <v>189</v>
      </c>
      <c r="C189" s="18" t="s">
        <v>18</v>
      </c>
      <c r="D189" s="18" t="s">
        <v>190</v>
      </c>
      <c r="E189" s="18" t="s">
        <v>214</v>
      </c>
      <c r="F189" s="18" t="s">
        <v>80</v>
      </c>
      <c r="G189" s="26">
        <v>0</v>
      </c>
      <c r="H189" s="22">
        <v>0</v>
      </c>
      <c r="I189" s="27">
        <f>IF(COUNTIFS('Taux'!$A$6:$A$20,A189,'Taux'!$B$6:$B$20,D189)=1,SUMIFS('Taux'!$D$6:$D$20,'Taux'!$A$6:$A$20,A189,'Taux'!$B$6:$B$20,D189),"n.d.")</f>
        <v>10.90384939</v>
      </c>
      <c r="J189" s="22">
        <f>IF(COUNT(H189,I189)=2,H189/I189,"n.d.")</f>
        <v>0.0</v>
      </c>
    </row>
    <row r="190" spans="1:11" ht="19" customHeight="1">
      <c r="A190" s="18" t="s">
        <v>38</v>
      </c>
      <c r="B190" s="18" t="s">
        <v>189</v>
      </c>
      <c r="C190" s="18" t="s">
        <v>18</v>
      </c>
      <c r="D190" s="18" t="s">
        <v>190</v>
      </c>
      <c r="E190" s="18" t="s">
        <v>214</v>
      </c>
      <c r="F190" s="18" t="s">
        <v>50</v>
      </c>
      <c r="G190" s="26">
        <v>0</v>
      </c>
      <c r="H190" s="22">
        <v>0</v>
      </c>
      <c r="I190" s="27">
        <f>IF(COUNTIFS('Taux'!$A$6:$A$20,A190,'Taux'!$B$6:$B$20,D190)=1,SUMIFS('Taux'!$D$6:$D$20,'Taux'!$A$6:$A$20,A190,'Taux'!$B$6:$B$20,D190),"n.d.")</f>
        <v>10.90384939</v>
      </c>
      <c r="J190" s="22">
        <f>IF(COUNT(H190,I190)=2,H190/I190,"n.d.")</f>
        <v>0.0</v>
      </c>
    </row>
    <row r="191" spans="1:11" ht="19" customHeight="1">
      <c r="A191" s="18" t="s">
        <v>38</v>
      </c>
      <c r="B191" s="18" t="s">
        <v>189</v>
      </c>
      <c r="C191" s="18" t="s">
        <v>18</v>
      </c>
      <c r="D191" s="18" t="s">
        <v>190</v>
      </c>
      <c r="E191" s="18" t="s">
        <v>214</v>
      </c>
      <c r="F191" s="18" t="s">
        <v>51</v>
      </c>
      <c r="G191" s="26">
        <v>461</v>
      </c>
      <c r="H191" s="22">
        <v>122248.06</v>
      </c>
      <c r="I191" s="27">
        <f>IF(COUNTIFS('Taux'!$A$6:$A$20,A191,'Taux'!$B$6:$B$20,D191)=1,SUMIFS('Taux'!$D$6:$D$20,'Taux'!$A$6:$A$20,A191,'Taux'!$B$6:$B$20,D191),"n.d.")</f>
        <v>10.90384939</v>
      </c>
      <c r="J191" s="22">
        <f>IF(COUNT(H191,I191)=2,H191/I191,"n.d.")</f>
        <v>11211.458965318669</v>
      </c>
    </row>
    <row r="192" spans="1:11" ht="19" customHeight="1">
      <c r="A192" s="18" t="s">
        <v>38</v>
      </c>
      <c r="B192" s="18" t="s">
        <v>191</v>
      </c>
      <c r="C192" s="18" t="s">
        <v>19</v>
      </c>
      <c r="D192" s="18" t="s">
        <v>192</v>
      </c>
      <c r="E192" s="18" t="s">
        <v>229</v>
      </c>
      <c r="F192" s="18" t="s">
        <v>236</v>
      </c>
      <c r="G192" s="26">
        <v>161</v>
      </c>
      <c r="H192" s="22">
        <v>263.22</v>
      </c>
      <c r="I192" s="27">
        <f>IF(COUNTIFS('Taux'!$A$6:$A$20,A192,'Taux'!$B$6:$B$20,D192)=1,SUMIFS('Taux'!$D$6:$D$20,'Taux'!$A$6:$A$20,A192,'Taux'!$B$6:$B$20,D192),"n.d.")</f>
        <v>11.34339828</v>
      </c>
      <c r="J192" s="22">
        <f>IF(COUNT(H192,I192)=2,H192/I192,"n.d.")</f>
        <v>23.20468641783421</v>
      </c>
    </row>
    <row r="193" spans="1:11" ht="19" customHeight="1">
      <c r="A193" s="18" t="s">
        <v>38</v>
      </c>
      <c r="B193" s="18" t="s">
        <v>191</v>
      </c>
      <c r="C193" s="18" t="s">
        <v>19</v>
      </c>
      <c r="D193" s="18" t="s">
        <v>192</v>
      </c>
      <c r="E193" s="18" t="s">
        <v>229</v>
      </c>
      <c r="F193" s="18" t="s">
        <v>237</v>
      </c>
      <c r="G193" s="26">
        <v>119</v>
      </c>
      <c r="H193" s="22">
        <v>6340.86</v>
      </c>
      <c r="I193" s="27">
        <f>IF(COUNTIFS('Taux'!$A$6:$A$20,A193,'Taux'!$B$6:$B$20,D193)=1,SUMIFS('Taux'!$D$6:$D$20,'Taux'!$A$6:$A$20,A193,'Taux'!$B$6:$B$20,D193),"n.d.")</f>
        <v>11.34339828</v>
      </c>
      <c r="J193" s="22">
        <f>IF(COUNT(H193,I193)=2,H193/I193,"n.d.")</f>
        <v>558.99121616666</v>
      </c>
    </row>
    <row r="194" spans="1:11" ht="19" customHeight="1">
      <c r="A194" s="18" t="s">
        <v>38</v>
      </c>
      <c r="B194" s="18" t="s">
        <v>191</v>
      </c>
      <c r="C194" s="18" t="s">
        <v>19</v>
      </c>
      <c r="D194" s="18" t="s">
        <v>192</v>
      </c>
      <c r="E194" s="18" t="s">
        <v>229</v>
      </c>
      <c r="F194" s="18" t="s">
        <v>238</v>
      </c>
      <c r="G194" s="26">
        <v>175</v>
      </c>
      <c r="H194" s="22">
        <v>65226.56999999998</v>
      </c>
      <c r="I194" s="27">
        <f>IF(COUNTIFS('Taux'!$A$6:$A$20,A194,'Taux'!$B$6:$B$20,D194)=1,SUMIFS('Taux'!$D$6:$D$20,'Taux'!$A$6:$A$20,A194,'Taux'!$B$6:$B$20,D194),"n.d.")</f>
        <v>11.34339828</v>
      </c>
      <c r="J194" s="22">
        <f>IF(COUNT(H194,I194)=2,H194/I194,"n.d.")</f>
        <v>5750.178949019497</v>
      </c>
    </row>
    <row r="195" spans="1:11" ht="19" customHeight="1">
      <c r="A195" s="18" t="s">
        <v>38</v>
      </c>
      <c r="B195" s="18" t="s">
        <v>191</v>
      </c>
      <c r="C195" s="18" t="s">
        <v>19</v>
      </c>
      <c r="D195" s="18" t="s">
        <v>192</v>
      </c>
      <c r="E195" s="18" t="s">
        <v>229</v>
      </c>
      <c r="F195" s="18" t="s">
        <v>239</v>
      </c>
      <c r="G195" s="26">
        <v>32</v>
      </c>
      <c r="H195" s="22">
        <v>84813.40999999996</v>
      </c>
      <c r="I195" s="27">
        <f>IF(COUNTIFS('Taux'!$A$6:$A$20,A195,'Taux'!$B$6:$B$20,D195)=1,SUMIFS('Taux'!$D$6:$D$20,'Taux'!$A$6:$A$20,A195,'Taux'!$B$6:$B$20,D195),"n.d.")</f>
        <v>11.34339828</v>
      </c>
      <c r="J195" s="22">
        <f>IF(COUNT(H195,I195)=2,H195/I195,"n.d.")</f>
        <v>7476.896068221274</v>
      </c>
    </row>
    <row r="196" spans="1:11" ht="19" customHeight="1">
      <c r="A196" s="18" t="s">
        <v>38</v>
      </c>
      <c r="B196" s="18" t="s">
        <v>191</v>
      </c>
      <c r="C196" s="18" t="s">
        <v>19</v>
      </c>
      <c r="D196" s="18" t="s">
        <v>192</v>
      </c>
      <c r="E196" s="18" t="s">
        <v>229</v>
      </c>
      <c r="F196" s="18" t="s">
        <v>240</v>
      </c>
      <c r="G196" s="26">
        <v>0</v>
      </c>
      <c r="H196" s="22">
        <v>0</v>
      </c>
      <c r="I196" s="27">
        <f>IF(COUNTIFS('Taux'!$A$6:$A$20,A196,'Taux'!$B$6:$B$20,D196)=1,SUMIFS('Taux'!$D$6:$D$20,'Taux'!$A$6:$A$20,A196,'Taux'!$B$6:$B$20,D196),"n.d.")</f>
        <v>11.34339828</v>
      </c>
      <c r="J196" s="22">
        <f>IF(COUNT(H196,I196)=2,H196/I196,"n.d.")</f>
        <v>0.0</v>
      </c>
    </row>
    <row r="197" spans="1:11" ht="19" customHeight="1">
      <c r="A197" s="18" t="s">
        <v>38</v>
      </c>
      <c r="B197" s="18" t="s">
        <v>191</v>
      </c>
      <c r="C197" s="18" t="s">
        <v>19</v>
      </c>
      <c r="D197" s="18" t="s">
        <v>192</v>
      </c>
      <c r="E197" s="18" t="s">
        <v>214</v>
      </c>
      <c r="F197" s="18" t="s">
        <v>73</v>
      </c>
      <c r="G197" s="26">
        <v>0</v>
      </c>
      <c r="H197" s="22">
        <v>0</v>
      </c>
      <c r="I197" s="27">
        <f>IF(COUNTIFS('Taux'!$A$6:$A$20,A197,'Taux'!$B$6:$B$20,D197)=1,SUMIFS('Taux'!$D$6:$D$20,'Taux'!$A$6:$A$20,A197,'Taux'!$B$6:$B$20,D197),"n.d.")</f>
        <v>11.34339828</v>
      </c>
      <c r="J197" s="22">
        <f>IF(COUNT(H197,I197)=2,H197/I197,"n.d.")</f>
        <v>0.0</v>
      </c>
    </row>
    <row r="198" spans="1:11" ht="19" customHeight="1">
      <c r="A198" s="18" t="s">
        <v>38</v>
      </c>
      <c r="B198" s="18" t="s">
        <v>191</v>
      </c>
      <c r="C198" s="18" t="s">
        <v>19</v>
      </c>
      <c r="D198" s="18" t="s">
        <v>192</v>
      </c>
      <c r="E198" s="18" t="s">
        <v>214</v>
      </c>
      <c r="F198" s="18" t="s">
        <v>74</v>
      </c>
      <c r="G198" s="26">
        <v>0</v>
      </c>
      <c r="H198" s="22">
        <v>0</v>
      </c>
      <c r="I198" s="27">
        <f>IF(COUNTIFS('Taux'!$A$6:$A$20,A198,'Taux'!$B$6:$B$20,D198)=1,SUMIFS('Taux'!$D$6:$D$20,'Taux'!$A$6:$A$20,A198,'Taux'!$B$6:$B$20,D198),"n.d.")</f>
        <v>11.34339828</v>
      </c>
      <c r="J198" s="22">
        <f>IF(COUNT(H198,I198)=2,H198/I198,"n.d.")</f>
        <v>0.0</v>
      </c>
    </row>
    <row r="199" spans="1:11" ht="19" customHeight="1">
      <c r="A199" s="18" t="s">
        <v>38</v>
      </c>
      <c r="B199" s="18" t="s">
        <v>191</v>
      </c>
      <c r="C199" s="18" t="s">
        <v>19</v>
      </c>
      <c r="D199" s="18" t="s">
        <v>192</v>
      </c>
      <c r="E199" s="18" t="s">
        <v>214</v>
      </c>
      <c r="F199" s="18" t="s">
        <v>75</v>
      </c>
      <c r="G199" s="26">
        <v>0</v>
      </c>
      <c r="H199" s="22">
        <v>0</v>
      </c>
      <c r="I199" s="27">
        <f>IF(COUNTIFS('Taux'!$A$6:$A$20,A199,'Taux'!$B$6:$B$20,D199)=1,SUMIFS('Taux'!$D$6:$D$20,'Taux'!$A$6:$A$20,A199,'Taux'!$B$6:$B$20,D199),"n.d.")</f>
        <v>11.34339828</v>
      </c>
      <c r="J199" s="22">
        <f>IF(COUNT(H199,I199)=2,H199/I199,"n.d.")</f>
        <v>0.0</v>
      </c>
    </row>
    <row r="200" spans="1:11" ht="19" customHeight="1">
      <c r="A200" s="18" t="s">
        <v>38</v>
      </c>
      <c r="B200" s="18" t="s">
        <v>191</v>
      </c>
      <c r="C200" s="18" t="s">
        <v>19</v>
      </c>
      <c r="D200" s="18" t="s">
        <v>192</v>
      </c>
      <c r="E200" s="18" t="s">
        <v>214</v>
      </c>
      <c r="F200" s="18" t="s">
        <v>76</v>
      </c>
      <c r="G200" s="26">
        <v>0</v>
      </c>
      <c r="H200" s="22">
        <v>0</v>
      </c>
      <c r="I200" s="27">
        <f>IF(COUNTIFS('Taux'!$A$6:$A$20,A200,'Taux'!$B$6:$B$20,D200)=1,SUMIFS('Taux'!$D$6:$D$20,'Taux'!$A$6:$A$20,A200,'Taux'!$B$6:$B$20,D200),"n.d.")</f>
        <v>11.34339828</v>
      </c>
      <c r="J200" s="22">
        <f>IF(COUNT(H200,I200)=2,H200/I200,"n.d.")</f>
        <v>0.0</v>
      </c>
    </row>
    <row r="201" spans="1:11" ht="19" customHeight="1">
      <c r="A201" s="18" t="s">
        <v>38</v>
      </c>
      <c r="B201" s="18" t="s">
        <v>191</v>
      </c>
      <c r="C201" s="18" t="s">
        <v>19</v>
      </c>
      <c r="D201" s="18" t="s">
        <v>192</v>
      </c>
      <c r="E201" s="18" t="s">
        <v>214</v>
      </c>
      <c r="F201" s="18" t="s">
        <v>77</v>
      </c>
      <c r="G201" s="26">
        <v>0</v>
      </c>
      <c r="H201" s="22">
        <v>0</v>
      </c>
      <c r="I201" s="27">
        <f>IF(COUNTIFS('Taux'!$A$6:$A$20,A201,'Taux'!$B$6:$B$20,D201)=1,SUMIFS('Taux'!$D$6:$D$20,'Taux'!$A$6:$A$20,A201,'Taux'!$B$6:$B$20,D201),"n.d.")</f>
        <v>11.34339828</v>
      </c>
      <c r="J201" s="22">
        <f>IF(COUNT(H201,I201)=2,H201/I201,"n.d.")</f>
        <v>0.0</v>
      </c>
    </row>
    <row r="202" spans="1:11" ht="19" customHeight="1">
      <c r="A202" s="18" t="s">
        <v>38</v>
      </c>
      <c r="B202" s="18" t="s">
        <v>191</v>
      </c>
      <c r="C202" s="18" t="s">
        <v>19</v>
      </c>
      <c r="D202" s="18" t="s">
        <v>192</v>
      </c>
      <c r="E202" s="18" t="s">
        <v>214</v>
      </c>
      <c r="F202" s="18" t="s">
        <v>78</v>
      </c>
      <c r="G202" s="26">
        <v>0</v>
      </c>
      <c r="H202" s="22">
        <v>0</v>
      </c>
      <c r="I202" s="27">
        <f>IF(COUNTIFS('Taux'!$A$6:$A$20,A202,'Taux'!$B$6:$B$20,D202)=1,SUMIFS('Taux'!$D$6:$D$20,'Taux'!$A$6:$A$20,A202,'Taux'!$B$6:$B$20,D202),"n.d.")</f>
        <v>11.34339828</v>
      </c>
      <c r="J202" s="22">
        <f>IF(COUNT(H202,I202)=2,H202/I202,"n.d.")</f>
        <v>0.0</v>
      </c>
    </row>
    <row r="203" spans="1:11" ht="19" customHeight="1">
      <c r="A203" s="18" t="s">
        <v>38</v>
      </c>
      <c r="B203" s="18" t="s">
        <v>191</v>
      </c>
      <c r="C203" s="18" t="s">
        <v>19</v>
      </c>
      <c r="D203" s="18" t="s">
        <v>192</v>
      </c>
      <c r="E203" s="18" t="s">
        <v>214</v>
      </c>
      <c r="F203" s="18" t="s">
        <v>79</v>
      </c>
      <c r="G203" s="26">
        <v>0</v>
      </c>
      <c r="H203" s="22">
        <v>0</v>
      </c>
      <c r="I203" s="27">
        <f>IF(COUNTIFS('Taux'!$A$6:$A$20,A203,'Taux'!$B$6:$B$20,D203)=1,SUMIFS('Taux'!$D$6:$D$20,'Taux'!$A$6:$A$20,A203,'Taux'!$B$6:$B$20,D203),"n.d.")</f>
        <v>11.34339828</v>
      </c>
      <c r="J203" s="22">
        <f>IF(COUNT(H203,I203)=2,H203/I203,"n.d.")</f>
        <v>0.0</v>
      </c>
    </row>
    <row r="204" spans="1:11" ht="19" customHeight="1">
      <c r="A204" s="18" t="s">
        <v>38</v>
      </c>
      <c r="B204" s="18" t="s">
        <v>191</v>
      </c>
      <c r="C204" s="18" t="s">
        <v>19</v>
      </c>
      <c r="D204" s="18" t="s">
        <v>192</v>
      </c>
      <c r="E204" s="18" t="s">
        <v>214</v>
      </c>
      <c r="F204" s="18" t="s">
        <v>80</v>
      </c>
      <c r="G204" s="26">
        <v>0</v>
      </c>
      <c r="H204" s="22">
        <v>0</v>
      </c>
      <c r="I204" s="27">
        <f>IF(COUNTIFS('Taux'!$A$6:$A$20,A204,'Taux'!$B$6:$B$20,D204)=1,SUMIFS('Taux'!$D$6:$D$20,'Taux'!$A$6:$A$20,A204,'Taux'!$B$6:$B$20,D204),"n.d.")</f>
        <v>11.34339828</v>
      </c>
      <c r="J204" s="22">
        <f>IF(COUNT(H204,I204)=2,H204/I204,"n.d.")</f>
        <v>0.0</v>
      </c>
    </row>
    <row r="205" spans="1:11" ht="19" customHeight="1">
      <c r="A205" s="18" t="s">
        <v>38</v>
      </c>
      <c r="B205" s="18" t="s">
        <v>191</v>
      </c>
      <c r="C205" s="18" t="s">
        <v>19</v>
      </c>
      <c r="D205" s="18" t="s">
        <v>192</v>
      </c>
      <c r="E205" s="18" t="s">
        <v>214</v>
      </c>
      <c r="F205" s="18" t="s">
        <v>50</v>
      </c>
      <c r="G205" s="26">
        <v>0</v>
      </c>
      <c r="H205" s="22">
        <v>0</v>
      </c>
      <c r="I205" s="27">
        <f>IF(COUNTIFS('Taux'!$A$6:$A$20,A205,'Taux'!$B$6:$B$20,D205)=1,SUMIFS('Taux'!$D$6:$D$20,'Taux'!$A$6:$A$20,A205,'Taux'!$B$6:$B$20,D205),"n.d.")</f>
        <v>11.34339828</v>
      </c>
      <c r="J205" s="22">
        <f>IF(COUNT(H205,I205)=2,H205/I205,"n.d.")</f>
        <v>0.0</v>
      </c>
    </row>
    <row r="206" spans="1:11" ht="19" customHeight="1">
      <c r="A206" s="18" t="s">
        <v>38</v>
      </c>
      <c r="B206" s="18" t="s">
        <v>191</v>
      </c>
      <c r="C206" s="18" t="s">
        <v>19</v>
      </c>
      <c r="D206" s="18" t="s">
        <v>192</v>
      </c>
      <c r="E206" s="18" t="s">
        <v>214</v>
      </c>
      <c r="F206" s="18" t="s">
        <v>51</v>
      </c>
      <c r="G206" s="26">
        <v>487</v>
      </c>
      <c r="H206" s="22">
        <v>156644.0600000001</v>
      </c>
      <c r="I206" s="27">
        <f>IF(COUNTIFS('Taux'!$A$6:$A$20,A206,'Taux'!$B$6:$B$20,D206)=1,SUMIFS('Taux'!$D$6:$D$20,'Taux'!$A$6:$A$20,A206,'Taux'!$B$6:$B$20,D206),"n.d.")</f>
        <v>11.34339828</v>
      </c>
      <c r="J206" s="22">
        <f>IF(COUNT(H206,I206)=2,H206/I206,"n.d.")</f>
        <v>13809.270919825283</v>
      </c>
    </row>
    <row r="207" spans="1:11" ht="19" customHeight="1">
      <c r="A207" s="18" t="s">
        <v>38</v>
      </c>
      <c r="B207" s="18" t="s">
        <v>184</v>
      </c>
      <c r="C207" s="18" t="s">
        <v>15</v>
      </c>
      <c r="D207" s="18" t="s">
        <v>174</v>
      </c>
      <c r="E207" s="18" t="s">
        <v>229</v>
      </c>
      <c r="F207" s="18" t="s">
        <v>66</v>
      </c>
      <c r="G207" s="26">
        <v>1738</v>
      </c>
      <c r="H207" s="22">
        <v>697.0822685838494</v>
      </c>
      <c r="I207" s="27">
        <f>IF(COUNTIFS('Taux'!$A$6:$A$20,A207,'Taux'!$B$6:$B$20,D207)=1,SUMIFS('Taux'!$D$6:$D$20,'Taux'!$A$6:$A$20,A207,'Taux'!$B$6:$B$20,D207),"n.d.")</f>
        <v>1</v>
      </c>
      <c r="J207" s="22">
        <f>IF(COUNT(H207,I207)=2,H207/I207,"n.d.")</f>
        <v>697.0822685838494</v>
      </c>
    </row>
    <row r="208" spans="1:11" ht="19" customHeight="1">
      <c r="A208" s="18" t="s">
        <v>38</v>
      </c>
      <c r="B208" s="18" t="s">
        <v>184</v>
      </c>
      <c r="C208" s="18" t="s">
        <v>15</v>
      </c>
      <c r="D208" s="18" t="s">
        <v>174</v>
      </c>
      <c r="E208" s="18" t="s">
        <v>229</v>
      </c>
      <c r="F208" s="18" t="s">
        <v>67</v>
      </c>
      <c r="G208" s="26">
        <v>2794</v>
      </c>
      <c r="H208" s="22">
        <v>10283.9429421412</v>
      </c>
      <c r="I208" s="27">
        <f>IF(COUNTIFS('Taux'!$A$6:$A$20,A208,'Taux'!$B$6:$B$20,D208)=1,SUMIFS('Taux'!$D$6:$D$20,'Taux'!$A$6:$A$20,A208,'Taux'!$B$6:$B$20,D208),"n.d.")</f>
        <v>1</v>
      </c>
      <c r="J208" s="22">
        <f>IF(COUNT(H208,I208)=2,H208/I208,"n.d.")</f>
        <v>10283.942942141204</v>
      </c>
    </row>
    <row r="209" spans="1:11" ht="19" customHeight="1">
      <c r="A209" s="18" t="s">
        <v>38</v>
      </c>
      <c r="B209" s="18" t="s">
        <v>184</v>
      </c>
      <c r="C209" s="18" t="s">
        <v>15</v>
      </c>
      <c r="D209" s="18" t="s">
        <v>174</v>
      </c>
      <c r="E209" s="18" t="s">
        <v>229</v>
      </c>
      <c r="F209" s="18" t="s">
        <v>68</v>
      </c>
      <c r="G209" s="26">
        <v>554</v>
      </c>
      <c r="H209" s="22">
        <v>15916.02845264884</v>
      </c>
      <c r="I209" s="27">
        <f>IF(COUNTIFS('Taux'!$A$6:$A$20,A209,'Taux'!$B$6:$B$20,D209)=1,SUMIFS('Taux'!$D$6:$D$20,'Taux'!$A$6:$A$20,A209,'Taux'!$B$6:$B$20,D209),"n.d.")</f>
        <v>1</v>
      </c>
      <c r="J209" s="22">
        <f>IF(COUNT(H209,I209)=2,H209/I209,"n.d.")</f>
        <v>15916.028452648836</v>
      </c>
    </row>
    <row r="210" spans="1:11" ht="19" customHeight="1">
      <c r="A210" s="18" t="s">
        <v>38</v>
      </c>
      <c r="B210" s="18" t="s">
        <v>184</v>
      </c>
      <c r="C210" s="18" t="s">
        <v>15</v>
      </c>
      <c r="D210" s="18" t="s">
        <v>174</v>
      </c>
      <c r="E210" s="18" t="s">
        <v>229</v>
      </c>
      <c r="F210" s="18" t="s">
        <v>69</v>
      </c>
      <c r="G210" s="26">
        <v>65</v>
      </c>
      <c r="H210" s="22">
        <v>18805.21949731111</v>
      </c>
      <c r="I210" s="27">
        <f>IF(COUNTIFS('Taux'!$A$6:$A$20,A210,'Taux'!$B$6:$B$20,D210)=1,SUMIFS('Taux'!$D$6:$D$20,'Taux'!$A$6:$A$20,A210,'Taux'!$B$6:$B$20,D210),"n.d.")</f>
        <v>1</v>
      </c>
      <c r="J210" s="22">
        <f>IF(COUNT(H210,I210)=2,H210/I210,"n.d.")</f>
        <v>18805.219497311107</v>
      </c>
    </row>
    <row r="211" spans="1:11" ht="19" customHeight="1">
      <c r="A211" s="18" t="s">
        <v>38</v>
      </c>
      <c r="B211" s="18" t="s">
        <v>184</v>
      </c>
      <c r="C211" s="18" t="s">
        <v>15</v>
      </c>
      <c r="D211" s="18" t="s">
        <v>174</v>
      </c>
      <c r="E211" s="18" t="s">
        <v>229</v>
      </c>
      <c r="F211" s="18" t="s">
        <v>70</v>
      </c>
      <c r="G211" s="26">
        <v>2</v>
      </c>
      <c r="H211" s="22">
        <v>3185.245432701476</v>
      </c>
      <c r="I211" s="27">
        <f>IF(COUNTIFS('Taux'!$A$6:$A$20,A211,'Taux'!$B$6:$B$20,D211)=1,SUMIFS('Taux'!$D$6:$D$20,'Taux'!$A$6:$A$20,A211,'Taux'!$B$6:$B$20,D211),"n.d.")</f>
        <v>1</v>
      </c>
      <c r="J211" s="22">
        <f>IF(COUNT(H211,I211)=2,H211/I211,"n.d.")</f>
        <v>3185.2454327014757</v>
      </c>
    </row>
    <row r="212" spans="1:11" ht="19" customHeight="1">
      <c r="A212" s="18" t="s">
        <v>38</v>
      </c>
      <c r="B212" s="18" t="s">
        <v>184</v>
      </c>
      <c r="C212" s="18" t="s">
        <v>15</v>
      </c>
      <c r="D212" s="18" t="s">
        <v>174</v>
      </c>
      <c r="E212" s="18" t="s">
        <v>214</v>
      </c>
      <c r="F212" s="18" t="s">
        <v>78</v>
      </c>
      <c r="G212" s="26">
        <v>0</v>
      </c>
      <c r="H212" s="22">
        <v>0</v>
      </c>
      <c r="I212" s="27">
        <f>IF(COUNTIFS('Taux'!$A$6:$A$20,A212,'Taux'!$B$6:$B$20,D212)=1,SUMIFS('Taux'!$D$6:$D$20,'Taux'!$A$6:$A$20,A212,'Taux'!$B$6:$B$20,D212),"n.d.")</f>
        <v>1</v>
      </c>
      <c r="J212" s="22">
        <f>IF(COUNT(H212,I212)=2,H212/I212,"n.d.")</f>
        <v>0.0</v>
      </c>
    </row>
    <row r="213" spans="1:11" ht="19" customHeight="1">
      <c r="A213" s="18" t="s">
        <v>38</v>
      </c>
      <c r="B213" s="18" t="s">
        <v>184</v>
      </c>
      <c r="C213" s="18" t="s">
        <v>15</v>
      </c>
      <c r="D213" s="18" t="s">
        <v>174</v>
      </c>
      <c r="E213" s="18" t="s">
        <v>214</v>
      </c>
      <c r="F213" s="18" t="s">
        <v>79</v>
      </c>
      <c r="G213" s="26">
        <v>0</v>
      </c>
      <c r="H213" s="22">
        <v>0</v>
      </c>
      <c r="I213" s="27">
        <f>IF(COUNTIFS('Taux'!$A$6:$A$20,A213,'Taux'!$B$6:$B$20,D213)=1,SUMIFS('Taux'!$D$6:$D$20,'Taux'!$A$6:$A$20,A213,'Taux'!$B$6:$B$20,D213),"n.d.")</f>
        <v>1</v>
      </c>
      <c r="J213" s="22">
        <f>IF(COUNT(H213,I213)=2,H213/I213,"n.d.")</f>
        <v>0.0</v>
      </c>
    </row>
    <row r="214" spans="1:11" ht="19" customHeight="1">
      <c r="A214" s="18" t="s">
        <v>38</v>
      </c>
      <c r="B214" s="18" t="s">
        <v>184</v>
      </c>
      <c r="C214" s="18" t="s">
        <v>15</v>
      </c>
      <c r="D214" s="18" t="s">
        <v>174</v>
      </c>
      <c r="E214" s="18" t="s">
        <v>214</v>
      </c>
      <c r="F214" s="18" t="s">
        <v>80</v>
      </c>
      <c r="G214" s="26">
        <v>10</v>
      </c>
      <c r="H214" s="22">
        <v>416.6730233799916</v>
      </c>
      <c r="I214" s="27">
        <f>IF(COUNTIFS('Taux'!$A$6:$A$20,A214,'Taux'!$B$6:$B$20,D214)=1,SUMIFS('Taux'!$D$6:$D$20,'Taux'!$A$6:$A$20,A214,'Taux'!$B$6:$B$20,D214),"n.d.")</f>
        <v>1</v>
      </c>
      <c r="J214" s="22">
        <f>IF(COUNT(H214,I214)=2,H214/I214,"n.d.")</f>
        <v>416.6730233799916</v>
      </c>
    </row>
    <row r="215" spans="1:11" ht="19" customHeight="1">
      <c r="A215" s="18" t="s">
        <v>38</v>
      </c>
      <c r="B215" s="18" t="s">
        <v>184</v>
      </c>
      <c r="C215" s="18" t="s">
        <v>15</v>
      </c>
      <c r="D215" s="18" t="s">
        <v>174</v>
      </c>
      <c r="E215" s="18" t="s">
        <v>214</v>
      </c>
      <c r="F215" s="18" t="s">
        <v>50</v>
      </c>
      <c r="G215" s="26">
        <v>61</v>
      </c>
      <c r="H215" s="22">
        <v>1682.62138144094</v>
      </c>
      <c r="I215" s="27">
        <f>IF(COUNTIFS('Taux'!$A$6:$A$20,A215,'Taux'!$B$6:$B$20,D215)=1,SUMIFS('Taux'!$D$6:$D$20,'Taux'!$A$6:$A$20,A215,'Taux'!$B$6:$B$20,D215),"n.d.")</f>
        <v>1</v>
      </c>
      <c r="J215" s="22">
        <f>IF(COUNT(H215,I215)=2,H215/I215,"n.d.")</f>
        <v>1682.6213814409402</v>
      </c>
    </row>
    <row r="216" spans="1:11" ht="19" customHeight="1">
      <c r="A216" s="18" t="s">
        <v>38</v>
      </c>
      <c r="B216" s="18" t="s">
        <v>184</v>
      </c>
      <c r="C216" s="18" t="s">
        <v>15</v>
      </c>
      <c r="D216" s="18" t="s">
        <v>174</v>
      </c>
      <c r="E216" s="18" t="s">
        <v>214</v>
      </c>
      <c r="F216" s="18" t="s">
        <v>51</v>
      </c>
      <c r="G216" s="26">
        <v>5082</v>
      </c>
      <c r="H216" s="22">
        <v>46788.22418856551</v>
      </c>
      <c r="I216" s="27">
        <f>IF(COUNTIFS('Taux'!$A$6:$A$20,A216,'Taux'!$B$6:$B$20,D216)=1,SUMIFS('Taux'!$D$6:$D$20,'Taux'!$A$6:$A$20,A216,'Taux'!$B$6:$B$20,D216),"n.d.")</f>
        <v>1</v>
      </c>
      <c r="J216" s="22">
        <f>IF(COUNT(H216,I216)=2,H216/I216,"n.d.")</f>
        <v>46788.22418856551</v>
      </c>
    </row>
    <row r="217" spans="1:11" ht="19" customHeight="1">
      <c r="A217" s="18" t="s">
        <v>38</v>
      </c>
      <c r="B217" s="18" t="s">
        <v>185</v>
      </c>
      <c r="C217" s="18" t="s">
        <v>16</v>
      </c>
      <c r="D217" s="18" t="s">
        <v>186</v>
      </c>
      <c r="E217" s="18" t="s">
        <v>214</v>
      </c>
      <c r="F217" s="18" t="s">
        <v>73</v>
      </c>
      <c r="G217" s="26">
        <v>204408</v>
      </c>
      <c r="H217" s="22">
        <v>10455964.92999984</v>
      </c>
      <c r="I217" s="27">
        <f>IF(COUNTIFS('Taux'!$A$6:$A$20,A217,'Taux'!$B$6:$B$20,D217)=1,SUMIFS('Taux'!$D$6:$D$20,'Taux'!$A$6:$A$20,A217,'Taux'!$B$6:$B$20,D217),"n.d.")</f>
        <v>5.855892595</v>
      </c>
      <c r="J217" s="22">
        <f>IF(COUNT(H217,I217)=2,H217/I217,"n.d.")</f>
        <v>1785545.8856823249</v>
      </c>
    </row>
    <row r="218" spans="1:11" ht="19" customHeight="1">
      <c r="A218" s="18" t="s">
        <v>38</v>
      </c>
      <c r="B218" s="18" t="s">
        <v>185</v>
      </c>
      <c r="C218" s="18" t="s">
        <v>16</v>
      </c>
      <c r="D218" s="18" t="s">
        <v>186</v>
      </c>
      <c r="E218" s="18" t="s">
        <v>214</v>
      </c>
      <c r="F218" s="18" t="s">
        <v>74</v>
      </c>
      <c r="G218" s="26">
        <v>7874</v>
      </c>
      <c r="H218" s="22">
        <v>1211495.900000023</v>
      </c>
      <c r="I218" s="27">
        <f>IF(COUNTIFS('Taux'!$A$6:$A$20,A218,'Taux'!$B$6:$B$20,D218)=1,SUMIFS('Taux'!$D$6:$D$20,'Taux'!$A$6:$A$20,A218,'Taux'!$B$6:$B$20,D218),"n.d.")</f>
        <v>5.855892595</v>
      </c>
      <c r="J218" s="22">
        <f>IF(COUNT(H218,I218)=2,H218/I218,"n.d.")</f>
        <v>206884.92494456738</v>
      </c>
    </row>
    <row r="219" spans="1:11" ht="19" customHeight="1">
      <c r="A219" s="18" t="s">
        <v>38</v>
      </c>
      <c r="B219" s="18" t="s">
        <v>185</v>
      </c>
      <c r="C219" s="18" t="s">
        <v>16</v>
      </c>
      <c r="D219" s="18" t="s">
        <v>186</v>
      </c>
      <c r="E219" s="18" t="s">
        <v>214</v>
      </c>
      <c r="F219" s="18" t="s">
        <v>75</v>
      </c>
      <c r="G219" s="26">
        <v>5045</v>
      </c>
      <c r="H219" s="22">
        <v>1173346.680000023</v>
      </c>
      <c r="I219" s="27">
        <f>IF(COUNTIFS('Taux'!$A$6:$A$20,A219,'Taux'!$B$6:$B$20,D219)=1,SUMIFS('Taux'!$D$6:$D$20,'Taux'!$A$6:$A$20,A219,'Taux'!$B$6:$B$20,D219),"n.d.")</f>
        <v>5.855892595</v>
      </c>
      <c r="J219" s="22">
        <f>IF(COUNT(H219,I219)=2,H219/I219,"n.d.")</f>
        <v>200370.25286322262</v>
      </c>
    </row>
    <row r="220" spans="1:11" ht="19" customHeight="1">
      <c r="A220" s="18" t="s">
        <v>38</v>
      </c>
      <c r="B220" s="18" t="s">
        <v>185</v>
      </c>
      <c r="C220" s="18" t="s">
        <v>16</v>
      </c>
      <c r="D220" s="18" t="s">
        <v>186</v>
      </c>
      <c r="E220" s="18" t="s">
        <v>214</v>
      </c>
      <c r="F220" s="18" t="s">
        <v>76</v>
      </c>
      <c r="G220" s="26">
        <v>48309</v>
      </c>
      <c r="H220" s="22">
        <v>1826170.719999621</v>
      </c>
      <c r="I220" s="27">
        <f>IF(COUNTIFS('Taux'!$A$6:$A$20,A220,'Taux'!$B$6:$B$20,D220)=1,SUMIFS('Taux'!$D$6:$D$20,'Taux'!$A$6:$A$20,A220,'Taux'!$B$6:$B$20,D220),"n.d.")</f>
        <v>5.855892595</v>
      </c>
      <c r="J220" s="22">
        <f>IF(COUNT(H220,I220)=2,H220/I220,"n.d.")</f>
        <v>311851.8125757429</v>
      </c>
    </row>
    <row r="221" spans="1:11" ht="19" customHeight="1">
      <c r="A221" s="18" t="s">
        <v>38</v>
      </c>
      <c r="B221" s="18" t="s">
        <v>185</v>
      </c>
      <c r="C221" s="18" t="s">
        <v>16</v>
      </c>
      <c r="D221" s="18" t="s">
        <v>186</v>
      </c>
      <c r="E221" s="18" t="s">
        <v>214</v>
      </c>
      <c r="F221" s="18" t="s">
        <v>77</v>
      </c>
      <c r="G221" s="26">
        <v>21435</v>
      </c>
      <c r="H221" s="22">
        <v>2266165.230000161</v>
      </c>
      <c r="I221" s="27">
        <f>IF(COUNTIFS('Taux'!$A$6:$A$20,A221,'Taux'!$B$6:$B$20,D221)=1,SUMIFS('Taux'!$D$6:$D$20,'Taux'!$A$6:$A$20,A221,'Taux'!$B$6:$B$20,D221),"n.d.")</f>
        <v>5.855892595</v>
      </c>
      <c r="J221" s="22">
        <f>IF(COUNT(H221,I221)=2,H221/I221,"n.d.")</f>
        <v>386988.86518770934</v>
      </c>
    </row>
    <row r="222" spans="1:11" ht="19" customHeight="1">
      <c r="A222" s="18" t="s">
        <v>38</v>
      </c>
      <c r="B222" s="18" t="s">
        <v>185</v>
      </c>
      <c r="C222" s="18" t="s">
        <v>16</v>
      </c>
      <c r="D222" s="18" t="s">
        <v>186</v>
      </c>
      <c r="E222" s="18" t="s">
        <v>214</v>
      </c>
      <c r="F222" s="18" t="s">
        <v>78</v>
      </c>
      <c r="G222" s="26">
        <v>5402</v>
      </c>
      <c r="H222" s="22">
        <v>1018876.380000086</v>
      </c>
      <c r="I222" s="27">
        <f>IF(COUNTIFS('Taux'!$A$6:$A$20,A222,'Taux'!$B$6:$B$20,D222)=1,SUMIFS('Taux'!$D$6:$D$20,'Taux'!$A$6:$A$20,A222,'Taux'!$B$6:$B$20,D222),"n.d.")</f>
        <v>5.855892595</v>
      </c>
      <c r="J222" s="22">
        <f>IF(COUNT(H222,I222)=2,H222/I222,"n.d.")</f>
        <v>173991.64405270075</v>
      </c>
    </row>
    <row r="223" spans="1:11" ht="19" customHeight="1">
      <c r="A223" s="18" t="s">
        <v>38</v>
      </c>
      <c r="B223" s="18" t="s">
        <v>185</v>
      </c>
      <c r="C223" s="18" t="s">
        <v>16</v>
      </c>
      <c r="D223" s="18" t="s">
        <v>186</v>
      </c>
      <c r="E223" s="18" t="s">
        <v>214</v>
      </c>
      <c r="F223" s="18" t="s">
        <v>79</v>
      </c>
      <c r="G223" s="26">
        <v>23925</v>
      </c>
      <c r="H223" s="22">
        <v>1566070.45000213</v>
      </c>
      <c r="I223" s="27">
        <f>IF(COUNTIFS('Taux'!$A$6:$A$20,A223,'Taux'!$B$6:$B$20,D223)=1,SUMIFS('Taux'!$D$6:$D$20,'Taux'!$A$6:$A$20,A223,'Taux'!$B$6:$B$20,D223),"n.d.")</f>
        <v>5.855892595</v>
      </c>
      <c r="J223" s="22">
        <f>IF(COUNT(H223,I223)=2,H223/I223,"n.d.")</f>
        <v>267434.96821292536</v>
      </c>
    </row>
    <row r="224" spans="1:11" ht="19" customHeight="1">
      <c r="A224" s="18" t="s">
        <v>38</v>
      </c>
      <c r="B224" s="18" t="s">
        <v>185</v>
      </c>
      <c r="C224" s="18" t="s">
        <v>16</v>
      </c>
      <c r="D224" s="18" t="s">
        <v>186</v>
      </c>
      <c r="E224" s="18" t="s">
        <v>214</v>
      </c>
      <c r="F224" s="18" t="s">
        <v>80</v>
      </c>
      <c r="G224" s="26">
        <v>11188</v>
      </c>
      <c r="H224" s="22">
        <v>2079340.85000078</v>
      </c>
      <c r="I224" s="27">
        <f>IF(COUNTIFS('Taux'!$A$6:$A$20,A224,'Taux'!$B$6:$B$20,D224)=1,SUMIFS('Taux'!$D$6:$D$20,'Taux'!$A$6:$A$20,A224,'Taux'!$B$6:$B$20,D224),"n.d.")</f>
        <v>5.855892595</v>
      </c>
      <c r="J224" s="22">
        <f>IF(COUNT(H224,I224)=2,H224/I224,"n.d.")</f>
        <v>355085.2096871117</v>
      </c>
    </row>
    <row r="225" spans="1:11" ht="19" customHeight="1">
      <c r="A225" s="18" t="s">
        <v>38</v>
      </c>
      <c r="B225" s="18" t="s">
        <v>185</v>
      </c>
      <c r="C225" s="18" t="s">
        <v>16</v>
      </c>
      <c r="D225" s="18" t="s">
        <v>186</v>
      </c>
      <c r="E225" s="18" t="s">
        <v>214</v>
      </c>
      <c r="F225" s="18" t="s">
        <v>50</v>
      </c>
      <c r="G225" s="26">
        <v>8305</v>
      </c>
      <c r="H225" s="22">
        <v>675883.9200000016</v>
      </c>
      <c r="I225" s="27">
        <f>IF(COUNTIFS('Taux'!$A$6:$A$20,A225,'Taux'!$B$6:$B$20,D225)=1,SUMIFS('Taux'!$D$6:$D$20,'Taux'!$A$6:$A$20,A225,'Taux'!$B$6:$B$20,D225),"n.d.")</f>
        <v>5.855892595</v>
      </c>
      <c r="J225" s="22">
        <f>IF(COUNT(H225,I225)=2,H225/I225,"n.d.")</f>
        <v>115419.45297581085</v>
      </c>
    </row>
    <row r="226" spans="1:11" ht="19" customHeight="1">
      <c r="A226" s="18" t="s">
        <v>38</v>
      </c>
      <c r="B226" s="18" t="s">
        <v>185</v>
      </c>
      <c r="C226" s="18" t="s">
        <v>16</v>
      </c>
      <c r="D226" s="18" t="s">
        <v>186</v>
      </c>
      <c r="E226" s="18" t="s">
        <v>214</v>
      </c>
      <c r="F226" s="18" t="s">
        <v>51</v>
      </c>
      <c r="G226" s="26">
        <v>661</v>
      </c>
      <c r="H226" s="22">
        <v>65237.37999999942</v>
      </c>
      <c r="I226" s="27">
        <f>IF(COUNTIFS('Taux'!$A$6:$A$20,A226,'Taux'!$B$6:$B$20,D226)=1,SUMIFS('Taux'!$D$6:$D$20,'Taux'!$A$6:$A$20,A226,'Taux'!$B$6:$B$20,D226),"n.d.")</f>
        <v>5.855892595</v>
      </c>
      <c r="J226" s="22">
        <f>IF(COUNT(H226,I226)=2,H226/I226,"n.d.")</f>
        <v>11140.46730565068</v>
      </c>
    </row>
    <row r="227" spans="1:11" ht="19" customHeight="1">
      <c r="A227" s="18" t="s">
        <v>38</v>
      </c>
      <c r="B227" s="18" t="s">
        <v>182</v>
      </c>
      <c r="C227" s="18" t="s">
        <v>14</v>
      </c>
      <c r="D227" s="18" t="s">
        <v>183</v>
      </c>
      <c r="E227" s="18" t="s">
        <v>229</v>
      </c>
      <c r="F227" s="18" t="s">
        <v>66</v>
      </c>
      <c r="G227" s="26">
        <v>71052</v>
      </c>
      <c r="H227" s="22">
        <v>31178863.20999995</v>
      </c>
      <c r="I227" s="27">
        <f>IF(COUNTIFS('Taux'!$A$6:$A$20,A227,'Taux'!$B$6:$B$20,D227)=1,SUMIFS('Taux'!$D$6:$D$20,'Taux'!$A$6:$A$20,A227,'Taux'!$B$6:$B$20,D227),"n.d.")</f>
        <v>18.58943911</v>
      </c>
      <c r="J227" s="22">
        <f>IF(COUNT(H227,I227)=2,H227/I227,"n.d.")</f>
        <v>1677235.2853415352</v>
      </c>
    </row>
    <row r="228" spans="1:11" ht="19" customHeight="1">
      <c r="A228" s="18" t="s">
        <v>38</v>
      </c>
      <c r="B228" s="18" t="s">
        <v>182</v>
      </c>
      <c r="C228" s="18" t="s">
        <v>14</v>
      </c>
      <c r="D228" s="18" t="s">
        <v>183</v>
      </c>
      <c r="E228" s="18" t="s">
        <v>229</v>
      </c>
      <c r="F228" s="18" t="s">
        <v>67</v>
      </c>
      <c r="G228" s="26">
        <v>0</v>
      </c>
      <c r="H228" s="22">
        <v>0</v>
      </c>
      <c r="I228" s="27">
        <f>IF(COUNTIFS('Taux'!$A$6:$A$20,A228,'Taux'!$B$6:$B$20,D228)=1,SUMIFS('Taux'!$D$6:$D$20,'Taux'!$A$6:$A$20,A228,'Taux'!$B$6:$B$20,D228),"n.d.")</f>
        <v>18.58943911</v>
      </c>
      <c r="J228" s="22">
        <f>IF(COUNT(H228,I228)=2,H228/I228,"n.d.")</f>
        <v>0.0</v>
      </c>
    </row>
    <row r="229" spans="1:11" ht="19" customHeight="1">
      <c r="A229" s="18" t="s">
        <v>38</v>
      </c>
      <c r="B229" s="18" t="s">
        <v>182</v>
      </c>
      <c r="C229" s="18" t="s">
        <v>14</v>
      </c>
      <c r="D229" s="18" t="s">
        <v>183</v>
      </c>
      <c r="E229" s="18" t="s">
        <v>229</v>
      </c>
      <c r="F229" s="18" t="s">
        <v>68</v>
      </c>
      <c r="G229" s="26">
        <v>0</v>
      </c>
      <c r="H229" s="22">
        <v>0</v>
      </c>
      <c r="I229" s="27">
        <f>IF(COUNTIFS('Taux'!$A$6:$A$20,A229,'Taux'!$B$6:$B$20,D229)=1,SUMIFS('Taux'!$D$6:$D$20,'Taux'!$A$6:$A$20,A229,'Taux'!$B$6:$B$20,D229),"n.d.")</f>
        <v>18.58943911</v>
      </c>
      <c r="J229" s="22">
        <f>IF(COUNT(H229,I229)=2,H229/I229,"n.d.")</f>
        <v>0.0</v>
      </c>
    </row>
    <row r="230" spans="1:11" ht="19" customHeight="1">
      <c r="A230" s="18" t="s">
        <v>38</v>
      </c>
      <c r="B230" s="18" t="s">
        <v>182</v>
      </c>
      <c r="C230" s="18" t="s">
        <v>14</v>
      </c>
      <c r="D230" s="18" t="s">
        <v>183</v>
      </c>
      <c r="E230" s="18" t="s">
        <v>229</v>
      </c>
      <c r="F230" s="18" t="s">
        <v>69</v>
      </c>
      <c r="G230" s="26">
        <v>0</v>
      </c>
      <c r="H230" s="22">
        <v>0</v>
      </c>
      <c r="I230" s="27">
        <f>IF(COUNTIFS('Taux'!$A$6:$A$20,A230,'Taux'!$B$6:$B$20,D230)=1,SUMIFS('Taux'!$D$6:$D$20,'Taux'!$A$6:$A$20,A230,'Taux'!$B$6:$B$20,D230),"n.d.")</f>
        <v>18.58943911</v>
      </c>
      <c r="J230" s="22">
        <f>IF(COUNT(H230,I230)=2,H230/I230,"n.d.")</f>
        <v>0.0</v>
      </c>
    </row>
    <row r="231" spans="1:11" ht="19" customHeight="1">
      <c r="A231" s="18" t="s">
        <v>38</v>
      </c>
      <c r="B231" s="18" t="s">
        <v>182</v>
      </c>
      <c r="C231" s="18" t="s">
        <v>14</v>
      </c>
      <c r="D231" s="18" t="s">
        <v>183</v>
      </c>
      <c r="E231" s="18" t="s">
        <v>229</v>
      </c>
      <c r="F231" s="18" t="s">
        <v>70</v>
      </c>
      <c r="G231" s="26">
        <v>0</v>
      </c>
      <c r="H231" s="22">
        <v>0</v>
      </c>
      <c r="I231" s="27">
        <f>IF(COUNTIFS('Taux'!$A$6:$A$20,A231,'Taux'!$B$6:$B$20,D231)=1,SUMIFS('Taux'!$D$6:$D$20,'Taux'!$A$6:$A$20,A231,'Taux'!$B$6:$B$20,D231),"n.d.")</f>
        <v>18.58943911</v>
      </c>
      <c r="J231" s="22">
        <f>IF(COUNT(H231,I231)=2,H231/I231,"n.d.")</f>
        <v>0.0</v>
      </c>
    </row>
    <row r="232" spans="1:11" ht="19" customHeight="1">
      <c r="A232" s="18" t="s">
        <v>38</v>
      </c>
      <c r="B232" s="18" t="s">
        <v>182</v>
      </c>
      <c r="C232" s="18" t="s">
        <v>14</v>
      </c>
      <c r="D232" s="18" t="s">
        <v>183</v>
      </c>
      <c r="E232" s="18" t="s">
        <v>214</v>
      </c>
      <c r="F232" s="18" t="s">
        <v>101</v>
      </c>
      <c r="G232" s="26">
        <v>199</v>
      </c>
      <c r="H232" s="22">
        <v>751149.8100000001</v>
      </c>
      <c r="I232" s="27">
        <f>IF(COUNTIFS('Taux'!$A$6:$A$20,A232,'Taux'!$B$6:$B$20,D232)=1,SUMIFS('Taux'!$D$6:$D$20,'Taux'!$A$6:$A$20,A232,'Taux'!$B$6:$B$20,D232),"n.d.")</f>
        <v>18.58943911</v>
      </c>
      <c r="J232" s="22">
        <f>IF(COUNT(H232,I232)=2,H232/I232,"n.d.")</f>
        <v>40407.341262702575</v>
      </c>
    </row>
    <row r="233" spans="1:11" ht="19" customHeight="1">
      <c r="A233" s="18" t="s">
        <v>38</v>
      </c>
      <c r="B233" s="18" t="s">
        <v>182</v>
      </c>
      <c r="C233" s="18" t="s">
        <v>14</v>
      </c>
      <c r="D233" s="18" t="s">
        <v>183</v>
      </c>
      <c r="E233" s="18" t="s">
        <v>214</v>
      </c>
      <c r="F233" s="18" t="s">
        <v>75</v>
      </c>
      <c r="G233" s="26">
        <v>82</v>
      </c>
      <c r="H233" s="22">
        <v>227540</v>
      </c>
      <c r="I233" s="27">
        <f>IF(COUNTIFS('Taux'!$A$6:$A$20,A233,'Taux'!$B$6:$B$20,D233)=1,SUMIFS('Taux'!$D$6:$D$20,'Taux'!$A$6:$A$20,A233,'Taux'!$B$6:$B$20,D233),"n.d.")</f>
        <v>18.58943911</v>
      </c>
      <c r="J233" s="22">
        <f>IF(COUNT(H233,I233)=2,H233/I233,"n.d.")</f>
        <v>12240.28324112249</v>
      </c>
    </row>
    <row r="234" spans="1:11" ht="19" customHeight="1">
      <c r="A234" s="18" t="s">
        <v>38</v>
      </c>
      <c r="B234" s="18" t="s">
        <v>182</v>
      </c>
      <c r="C234" s="18" t="s">
        <v>14</v>
      </c>
      <c r="D234" s="18" t="s">
        <v>183</v>
      </c>
      <c r="E234" s="18" t="s">
        <v>214</v>
      </c>
      <c r="F234" s="18" t="s">
        <v>76</v>
      </c>
      <c r="G234" s="26">
        <v>577</v>
      </c>
      <c r="H234" s="22">
        <v>1055811.67</v>
      </c>
      <c r="I234" s="27">
        <f>IF(COUNTIFS('Taux'!$A$6:$A$20,A234,'Taux'!$B$6:$B$20,D234)=1,SUMIFS('Taux'!$D$6:$D$20,'Taux'!$A$6:$A$20,A234,'Taux'!$B$6:$B$20,D234),"n.d.")</f>
        <v>18.58943911</v>
      </c>
      <c r="J234" s="22">
        <f>IF(COUNT(H234,I234)=2,H234/I234,"n.d.")</f>
        <v>56796.316647985186</v>
      </c>
    </row>
    <row r="235" spans="1:11" ht="19" customHeight="1">
      <c r="A235" s="18" t="s">
        <v>38</v>
      </c>
      <c r="B235" s="18" t="s">
        <v>182</v>
      </c>
      <c r="C235" s="18" t="s">
        <v>14</v>
      </c>
      <c r="D235" s="18" t="s">
        <v>183</v>
      </c>
      <c r="E235" s="18" t="s">
        <v>214</v>
      </c>
      <c r="F235" s="18" t="s">
        <v>77</v>
      </c>
      <c r="G235" s="26">
        <v>3490</v>
      </c>
      <c r="H235" s="22">
        <v>1891299.92</v>
      </c>
      <c r="I235" s="27">
        <f>IF(COUNTIFS('Taux'!$A$6:$A$20,A235,'Taux'!$B$6:$B$20,D235)=1,SUMIFS('Taux'!$D$6:$D$20,'Taux'!$A$6:$A$20,A235,'Taux'!$B$6:$B$20,D235),"n.d.")</f>
        <v>18.58943911</v>
      </c>
      <c r="J235" s="22">
        <f>IF(COUNT(H235,I235)=2,H235/I235,"n.d.")</f>
        <v>101740.55864776438</v>
      </c>
    </row>
    <row r="236" spans="1:11" ht="19" customHeight="1">
      <c r="A236" s="18" t="s">
        <v>38</v>
      </c>
      <c r="B236" s="18" t="s">
        <v>182</v>
      </c>
      <c r="C236" s="18" t="s">
        <v>14</v>
      </c>
      <c r="D236" s="18" t="s">
        <v>183</v>
      </c>
      <c r="E236" s="18" t="s">
        <v>214</v>
      </c>
      <c r="F236" s="18" t="s">
        <v>78</v>
      </c>
      <c r="G236" s="26">
        <v>3177</v>
      </c>
      <c r="H236" s="22">
        <v>1803180.89</v>
      </c>
      <c r="I236" s="27">
        <f>IF(COUNTIFS('Taux'!$A$6:$A$20,A236,'Taux'!$B$6:$B$20,D236)=1,SUMIFS('Taux'!$D$6:$D$20,'Taux'!$A$6:$A$20,A236,'Taux'!$B$6:$B$20,D236),"n.d.")</f>
        <v>18.58943911</v>
      </c>
      <c r="J236" s="22">
        <f>IF(COUNT(H236,I236)=2,H236/I236,"n.d.")</f>
        <v>97000.2849106941</v>
      </c>
    </row>
    <row r="237" spans="1:11" ht="19" customHeight="1">
      <c r="A237" s="18" t="s">
        <v>38</v>
      </c>
      <c r="B237" s="18" t="s">
        <v>182</v>
      </c>
      <c r="C237" s="18" t="s">
        <v>14</v>
      </c>
      <c r="D237" s="18" t="s">
        <v>183</v>
      </c>
      <c r="E237" s="18" t="s">
        <v>214</v>
      </c>
      <c r="F237" s="18" t="s">
        <v>79</v>
      </c>
      <c r="G237" s="26">
        <v>4518</v>
      </c>
      <c r="H237" s="22">
        <v>2617980.37999999</v>
      </c>
      <c r="I237" s="27">
        <f>IF(COUNTIFS('Taux'!$A$6:$A$20,A237,'Taux'!$B$6:$B$20,D237)=1,SUMIFS('Taux'!$D$6:$D$20,'Taux'!$A$6:$A$20,A237,'Taux'!$B$6:$B$20,D237),"n.d.")</f>
        <v>18.58943911</v>
      </c>
      <c r="J237" s="22">
        <f>IF(COUNT(H237,I237)=2,H237/I237,"n.d.")</f>
        <v>140831.59607498185</v>
      </c>
    </row>
    <row r="238" spans="1:11" ht="19" customHeight="1">
      <c r="A238" s="18" t="s">
        <v>38</v>
      </c>
      <c r="B238" s="18" t="s">
        <v>182</v>
      </c>
      <c r="C238" s="18" t="s">
        <v>14</v>
      </c>
      <c r="D238" s="18" t="s">
        <v>183</v>
      </c>
      <c r="E238" s="18" t="s">
        <v>214</v>
      </c>
      <c r="F238" s="18" t="s">
        <v>80</v>
      </c>
      <c r="G238" s="26">
        <v>6481</v>
      </c>
      <c r="H238" s="22">
        <v>3470230.67</v>
      </c>
      <c r="I238" s="27">
        <f>IF(COUNTIFS('Taux'!$A$6:$A$20,A238,'Taux'!$B$6:$B$20,D238)=1,SUMIFS('Taux'!$D$6:$D$20,'Taux'!$A$6:$A$20,A238,'Taux'!$B$6:$B$20,D238),"n.d.")</f>
        <v>18.58943911</v>
      </c>
      <c r="J238" s="22">
        <f>IF(COUNT(H238,I238)=2,H238/I238,"n.d.")</f>
        <v>186677.53499529872</v>
      </c>
    </row>
    <row r="239" spans="1:11" ht="19" customHeight="1">
      <c r="A239" s="18" t="s">
        <v>38</v>
      </c>
      <c r="B239" s="18" t="s">
        <v>182</v>
      </c>
      <c r="C239" s="18" t="s">
        <v>14</v>
      </c>
      <c r="D239" s="18" t="s">
        <v>183</v>
      </c>
      <c r="E239" s="18" t="s">
        <v>214</v>
      </c>
      <c r="F239" s="18" t="s">
        <v>50</v>
      </c>
      <c r="G239" s="26">
        <v>13904</v>
      </c>
      <c r="H239" s="22">
        <v>7308977.3999999</v>
      </c>
      <c r="I239" s="27">
        <f>IF(COUNTIFS('Taux'!$A$6:$A$20,A239,'Taux'!$B$6:$B$20,D239)=1,SUMIFS('Taux'!$D$6:$D$20,'Taux'!$A$6:$A$20,A239,'Taux'!$B$6:$B$20,D239),"n.d.")</f>
        <v>18.58943911</v>
      </c>
      <c r="J239" s="22">
        <f>IF(COUNT(H239,I239)=2,H239/I239,"n.d.")</f>
        <v>393179.0172231775</v>
      </c>
    </row>
    <row r="240" spans="1:11" ht="19" customHeight="1">
      <c r="A240" s="18" t="s">
        <v>38</v>
      </c>
      <c r="B240" s="18" t="s">
        <v>182</v>
      </c>
      <c r="C240" s="18" t="s">
        <v>14</v>
      </c>
      <c r="D240" s="18" t="s">
        <v>183</v>
      </c>
      <c r="E240" s="18" t="s">
        <v>214</v>
      </c>
      <c r="F240" s="18" t="s">
        <v>51</v>
      </c>
      <c r="G240" s="26">
        <v>38624</v>
      </c>
      <c r="H240" s="22">
        <v>12052692.47</v>
      </c>
      <c r="I240" s="27">
        <f>IF(COUNTIFS('Taux'!$A$6:$A$20,A240,'Taux'!$B$6:$B$20,D240)=1,SUMIFS('Taux'!$D$6:$D$20,'Taux'!$A$6:$A$20,A240,'Taux'!$B$6:$B$20,D240),"n.d.")</f>
        <v>18.58943911</v>
      </c>
      <c r="J240" s="22">
        <f>IF(COUNT(H240,I240)=2,H240/I240,"n.d.")</f>
        <v>648362.3523378054</v>
      </c>
    </row>
    <row r="241" spans="1:11" ht="19" customHeight="1">
      <c r="A241" s="18" t="s">
        <v>5</v>
      </c>
      <c r="B241" s="18" t="s">
        <v>177</v>
      </c>
      <c r="C241" s="18" t="s">
        <v>9</v>
      </c>
      <c r="D241" s="18" t="s">
        <v>174</v>
      </c>
      <c r="E241" s="18" t="s">
        <v>229</v>
      </c>
      <c r="F241" s="18" t="s">
        <v>66</v>
      </c>
      <c r="G241" s="26">
        <v>5</v>
      </c>
      <c r="H241" s="22">
        <v>2</v>
      </c>
      <c r="I241" s="27">
        <f>IF(COUNTIFS('Taux'!$A$6:$A$20,A241,'Taux'!$B$6:$B$20,D241)=1,SUMIFS('Taux'!$D$6:$D$20,'Taux'!$A$6:$A$20,A241,'Taux'!$B$6:$B$20,D241),"n.d.")</f>
        <v>1</v>
      </c>
      <c r="J241" s="22">
        <f>IF(COUNT(H241,I241)=2,H241/I241,"n.d.")</f>
        <v>2.0</v>
      </c>
    </row>
    <row r="242" spans="1:11" ht="19" customHeight="1">
      <c r="A242" s="18" t="s">
        <v>5</v>
      </c>
      <c r="B242" s="18" t="s">
        <v>177</v>
      </c>
      <c r="C242" s="18" t="s">
        <v>9</v>
      </c>
      <c r="D242" s="18" t="s">
        <v>174</v>
      </c>
      <c r="E242" s="18" t="s">
        <v>229</v>
      </c>
      <c r="F242" s="18" t="s">
        <v>67</v>
      </c>
      <c r="G242" s="26">
        <v>11</v>
      </c>
      <c r="H242" s="22">
        <v>72</v>
      </c>
      <c r="I242" s="27">
        <f>IF(COUNTIFS('Taux'!$A$6:$A$20,A242,'Taux'!$B$6:$B$20,D242)=1,SUMIFS('Taux'!$D$6:$D$20,'Taux'!$A$6:$A$20,A242,'Taux'!$B$6:$B$20,D242),"n.d.")</f>
        <v>1</v>
      </c>
      <c r="J242" s="22">
        <f>IF(COUNT(H242,I242)=2,H242/I242,"n.d.")</f>
        <v>72.0</v>
      </c>
    </row>
    <row r="243" spans="1:11" ht="19" customHeight="1">
      <c r="A243" s="18" t="s">
        <v>5</v>
      </c>
      <c r="B243" s="18" t="s">
        <v>177</v>
      </c>
      <c r="C243" s="18" t="s">
        <v>9</v>
      </c>
      <c r="D243" s="18" t="s">
        <v>174</v>
      </c>
      <c r="E243" s="18" t="s">
        <v>229</v>
      </c>
      <c r="F243" s="18" t="s">
        <v>68</v>
      </c>
      <c r="G243" s="26">
        <v>54</v>
      </c>
      <c r="H243" s="22">
        <v>2685</v>
      </c>
      <c r="I243" s="27">
        <f>IF(COUNTIFS('Taux'!$A$6:$A$20,A243,'Taux'!$B$6:$B$20,D243)=1,SUMIFS('Taux'!$D$6:$D$20,'Taux'!$A$6:$A$20,A243,'Taux'!$B$6:$B$20,D243),"n.d.")</f>
        <v>1</v>
      </c>
      <c r="J243" s="22">
        <f>IF(COUNT(H243,I243)=2,H243/I243,"n.d.")</f>
        <v>2685.0</v>
      </c>
    </row>
    <row r="244" spans="1:11" ht="19" customHeight="1">
      <c r="A244" s="18" t="s">
        <v>5</v>
      </c>
      <c r="B244" s="18" t="s">
        <v>177</v>
      </c>
      <c r="C244" s="18" t="s">
        <v>9</v>
      </c>
      <c r="D244" s="18" t="s">
        <v>174</v>
      </c>
      <c r="E244" s="18" t="s">
        <v>229</v>
      </c>
      <c r="F244" s="18" t="s">
        <v>69</v>
      </c>
      <c r="G244" s="26">
        <v>157</v>
      </c>
      <c r="H244" s="22">
        <v>44176</v>
      </c>
      <c r="I244" s="27">
        <f>IF(COUNTIFS('Taux'!$A$6:$A$20,A244,'Taux'!$B$6:$B$20,D244)=1,SUMIFS('Taux'!$D$6:$D$20,'Taux'!$A$6:$A$20,A244,'Taux'!$B$6:$B$20,D244),"n.d.")</f>
        <v>1</v>
      </c>
      <c r="J244" s="22">
        <f>IF(COUNT(H244,I244)=2,H244/I244,"n.d.")</f>
        <v>44176.0</v>
      </c>
    </row>
    <row r="245" spans="1:11" ht="19" customHeight="1">
      <c r="A245" s="18" t="s">
        <v>5</v>
      </c>
      <c r="B245" s="18" t="s">
        <v>177</v>
      </c>
      <c r="C245" s="18" t="s">
        <v>9</v>
      </c>
      <c r="D245" s="18" t="s">
        <v>174</v>
      </c>
      <c r="E245" s="18" t="s">
        <v>229</v>
      </c>
      <c r="F245" s="18" t="s">
        <v>70</v>
      </c>
      <c r="G245" s="26">
        <v>10</v>
      </c>
      <c r="H245" s="22">
        <v>59111</v>
      </c>
      <c r="I245" s="27">
        <f>IF(COUNTIFS('Taux'!$A$6:$A$20,A245,'Taux'!$B$6:$B$20,D245)=1,SUMIFS('Taux'!$D$6:$D$20,'Taux'!$A$6:$A$20,A245,'Taux'!$B$6:$B$20,D245),"n.d.")</f>
        <v>1</v>
      </c>
      <c r="J245" s="22">
        <f>IF(COUNT(H245,I245)=2,H245/I245,"n.d.")</f>
        <v>59111.0</v>
      </c>
    </row>
    <row r="246" spans="1:11" ht="19" customHeight="1">
      <c r="A246" s="18" t="s">
        <v>5</v>
      </c>
      <c r="B246" s="18" t="s">
        <v>177</v>
      </c>
      <c r="C246" s="18" t="s">
        <v>9</v>
      </c>
      <c r="D246" s="18" t="s">
        <v>174</v>
      </c>
      <c r="E246" s="18" t="s">
        <v>214</v>
      </c>
      <c r="F246" s="18" t="s">
        <v>73</v>
      </c>
      <c r="G246" s="23" t="s">
        <v>39</v>
      </c>
      <c r="H246" s="23" t="s">
        <v>39</v>
      </c>
      <c r="I246" s="27">
        <f>IF(COUNTIFS('Taux'!$A$6:$A$20,A246,'Taux'!$B$6:$B$20,D246)=1,SUMIFS('Taux'!$D$6:$D$20,'Taux'!$A$6:$A$20,A246,'Taux'!$B$6:$B$20,D246),"n.d.")</f>
        <v>1</v>
      </c>
      <c r="J246" s="22" t="str">
        <f>IF(COUNT(H246,I246)=2,H246/I246,"n.d.")</f>
        <v>n.d.</v>
      </c>
    </row>
    <row r="247" spans="1:11" ht="19" customHeight="1">
      <c r="A247" s="18" t="s">
        <v>5</v>
      </c>
      <c r="B247" s="18" t="s">
        <v>177</v>
      </c>
      <c r="C247" s="18" t="s">
        <v>9</v>
      </c>
      <c r="D247" s="18" t="s">
        <v>174</v>
      </c>
      <c r="E247" s="18" t="s">
        <v>214</v>
      </c>
      <c r="F247" s="18" t="s">
        <v>74</v>
      </c>
      <c r="G247" s="23" t="s">
        <v>39</v>
      </c>
      <c r="H247" s="23" t="s">
        <v>39</v>
      </c>
      <c r="I247" s="27">
        <f>IF(COUNTIFS('Taux'!$A$6:$A$20,A247,'Taux'!$B$6:$B$20,D247)=1,SUMIFS('Taux'!$D$6:$D$20,'Taux'!$A$6:$A$20,A247,'Taux'!$B$6:$B$20,D247),"n.d.")</f>
        <v>1</v>
      </c>
      <c r="J247" s="22" t="str">
        <f>IF(COUNT(H247,I247)=2,H247/I247,"n.d.")</f>
        <v>n.d.</v>
      </c>
    </row>
    <row r="248" spans="1:11" ht="19" customHeight="1">
      <c r="A248" s="18" t="s">
        <v>5</v>
      </c>
      <c r="B248" s="18" t="s">
        <v>177</v>
      </c>
      <c r="C248" s="18" t="s">
        <v>9</v>
      </c>
      <c r="D248" s="18" t="s">
        <v>174</v>
      </c>
      <c r="E248" s="18" t="s">
        <v>214</v>
      </c>
      <c r="F248" s="18" t="s">
        <v>75</v>
      </c>
      <c r="G248" s="23" t="s">
        <v>39</v>
      </c>
      <c r="H248" s="23" t="s">
        <v>39</v>
      </c>
      <c r="I248" s="27">
        <f>IF(COUNTIFS('Taux'!$A$6:$A$20,A248,'Taux'!$B$6:$B$20,D248)=1,SUMIFS('Taux'!$D$6:$D$20,'Taux'!$A$6:$A$20,A248,'Taux'!$B$6:$B$20,D248),"n.d.")</f>
        <v>1</v>
      </c>
      <c r="J248" s="22" t="str">
        <f>IF(COUNT(H248,I248)=2,H248/I248,"n.d.")</f>
        <v>n.d.</v>
      </c>
    </row>
    <row r="249" spans="1:11" ht="19" customHeight="1">
      <c r="A249" s="18" t="s">
        <v>5</v>
      </c>
      <c r="B249" s="18" t="s">
        <v>177</v>
      </c>
      <c r="C249" s="18" t="s">
        <v>9</v>
      </c>
      <c r="D249" s="18" t="s">
        <v>174</v>
      </c>
      <c r="E249" s="18" t="s">
        <v>214</v>
      </c>
      <c r="F249" s="18" t="s">
        <v>76</v>
      </c>
      <c r="G249" s="23" t="s">
        <v>39</v>
      </c>
      <c r="H249" s="23" t="s">
        <v>39</v>
      </c>
      <c r="I249" s="27">
        <f>IF(COUNTIFS('Taux'!$A$6:$A$20,A249,'Taux'!$B$6:$B$20,D249)=1,SUMIFS('Taux'!$D$6:$D$20,'Taux'!$A$6:$A$20,A249,'Taux'!$B$6:$B$20,D249),"n.d.")</f>
        <v>1</v>
      </c>
      <c r="J249" s="22" t="str">
        <f>IF(COUNT(H249,I249)=2,H249/I249,"n.d.")</f>
        <v>n.d.</v>
      </c>
    </row>
    <row r="250" spans="1:11" ht="19" customHeight="1">
      <c r="A250" s="18" t="s">
        <v>5</v>
      </c>
      <c r="B250" s="18" t="s">
        <v>177</v>
      </c>
      <c r="C250" s="18" t="s">
        <v>9</v>
      </c>
      <c r="D250" s="18" t="s">
        <v>174</v>
      </c>
      <c r="E250" s="18" t="s">
        <v>214</v>
      </c>
      <c r="F250" s="18" t="s">
        <v>77</v>
      </c>
      <c r="G250" s="23" t="s">
        <v>39</v>
      </c>
      <c r="H250" s="23" t="s">
        <v>39</v>
      </c>
      <c r="I250" s="27">
        <f>IF(COUNTIFS('Taux'!$A$6:$A$20,A250,'Taux'!$B$6:$B$20,D250)=1,SUMIFS('Taux'!$D$6:$D$20,'Taux'!$A$6:$A$20,A250,'Taux'!$B$6:$B$20,D250),"n.d.")</f>
        <v>1</v>
      </c>
      <c r="J250" s="22" t="str">
        <f>IF(COUNT(H250,I250)=2,H250/I250,"n.d.")</f>
        <v>n.d.</v>
      </c>
    </row>
    <row r="251" spans="1:11" ht="19" customHeight="1">
      <c r="A251" s="18" t="s">
        <v>5</v>
      </c>
      <c r="B251" s="18" t="s">
        <v>177</v>
      </c>
      <c r="C251" s="18" t="s">
        <v>9</v>
      </c>
      <c r="D251" s="18" t="s">
        <v>174</v>
      </c>
      <c r="E251" s="18" t="s">
        <v>214</v>
      </c>
      <c r="F251" s="18" t="s">
        <v>78</v>
      </c>
      <c r="G251" s="23" t="s">
        <v>39</v>
      </c>
      <c r="H251" s="23" t="s">
        <v>39</v>
      </c>
      <c r="I251" s="27">
        <f>IF(COUNTIFS('Taux'!$A$6:$A$20,A251,'Taux'!$B$6:$B$20,D251)=1,SUMIFS('Taux'!$D$6:$D$20,'Taux'!$A$6:$A$20,A251,'Taux'!$B$6:$B$20,D251),"n.d.")</f>
        <v>1</v>
      </c>
      <c r="J251" s="22" t="str">
        <f>IF(COUNT(H251,I251)=2,H251/I251,"n.d.")</f>
        <v>n.d.</v>
      </c>
    </row>
    <row r="252" spans="1:11" ht="19" customHeight="1">
      <c r="A252" s="18" t="s">
        <v>5</v>
      </c>
      <c r="B252" s="18" t="s">
        <v>177</v>
      </c>
      <c r="C252" s="18" t="s">
        <v>9</v>
      </c>
      <c r="D252" s="18" t="s">
        <v>174</v>
      </c>
      <c r="E252" s="18" t="s">
        <v>214</v>
      </c>
      <c r="F252" s="18" t="s">
        <v>79</v>
      </c>
      <c r="G252" s="26">
        <v>1</v>
      </c>
      <c r="H252" s="22">
        <v>0</v>
      </c>
      <c r="I252" s="27">
        <f>IF(COUNTIFS('Taux'!$A$6:$A$20,A252,'Taux'!$B$6:$B$20,D252)=1,SUMIFS('Taux'!$D$6:$D$20,'Taux'!$A$6:$A$20,A252,'Taux'!$B$6:$B$20,D252),"n.d.")</f>
        <v>1</v>
      </c>
      <c r="J252" s="22">
        <f>IF(COUNT(H252,I252)=2,H252/I252,"n.d.")</f>
        <v>0.0</v>
      </c>
    </row>
    <row r="253" spans="1:11" ht="19" customHeight="1">
      <c r="A253" s="18" t="s">
        <v>5</v>
      </c>
      <c r="B253" s="18" t="s">
        <v>177</v>
      </c>
      <c r="C253" s="18" t="s">
        <v>9</v>
      </c>
      <c r="D253" s="18" t="s">
        <v>174</v>
      </c>
      <c r="E253" s="18" t="s">
        <v>214</v>
      </c>
      <c r="F253" s="18" t="s">
        <v>80</v>
      </c>
      <c r="G253" s="23" t="s">
        <v>39</v>
      </c>
      <c r="H253" s="23" t="s">
        <v>39</v>
      </c>
      <c r="I253" s="27">
        <f>IF(COUNTIFS('Taux'!$A$6:$A$20,A253,'Taux'!$B$6:$B$20,D253)=1,SUMIFS('Taux'!$D$6:$D$20,'Taux'!$A$6:$A$20,A253,'Taux'!$B$6:$B$20,D253),"n.d.")</f>
        <v>1</v>
      </c>
      <c r="J253" s="22" t="str">
        <f>IF(COUNT(H253,I253)=2,H253/I253,"n.d.")</f>
        <v>n.d.</v>
      </c>
    </row>
    <row r="254" spans="1:11" ht="19" customHeight="1">
      <c r="A254" s="18" t="s">
        <v>5</v>
      </c>
      <c r="B254" s="18" t="s">
        <v>177</v>
      </c>
      <c r="C254" s="18" t="s">
        <v>9</v>
      </c>
      <c r="D254" s="18" t="s">
        <v>174</v>
      </c>
      <c r="E254" s="18" t="s">
        <v>214</v>
      </c>
      <c r="F254" s="18" t="s">
        <v>50</v>
      </c>
      <c r="G254" s="26">
        <v>2</v>
      </c>
      <c r="H254" s="22">
        <v>1390</v>
      </c>
      <c r="I254" s="27">
        <f>IF(COUNTIFS('Taux'!$A$6:$A$20,A254,'Taux'!$B$6:$B$20,D254)=1,SUMIFS('Taux'!$D$6:$D$20,'Taux'!$A$6:$A$20,A254,'Taux'!$B$6:$B$20,D254),"n.d.")</f>
        <v>1</v>
      </c>
      <c r="J254" s="22">
        <f>IF(COUNT(H254,I254)=2,H254/I254,"n.d.")</f>
        <v>1390.0</v>
      </c>
    </row>
    <row r="255" spans="1:11" ht="19" customHeight="1">
      <c r="A255" s="18" t="s">
        <v>5</v>
      </c>
      <c r="B255" s="18" t="s">
        <v>177</v>
      </c>
      <c r="C255" s="18" t="s">
        <v>9</v>
      </c>
      <c r="D255" s="18" t="s">
        <v>174</v>
      </c>
      <c r="E255" s="18" t="s">
        <v>214</v>
      </c>
      <c r="F255" s="18" t="s">
        <v>51</v>
      </c>
      <c r="G255" s="26">
        <v>234</v>
      </c>
      <c r="H255" s="22">
        <v>104655</v>
      </c>
      <c r="I255" s="27">
        <f>IF(COUNTIFS('Taux'!$A$6:$A$20,A255,'Taux'!$B$6:$B$20,D255)=1,SUMIFS('Taux'!$D$6:$D$20,'Taux'!$A$6:$A$20,A255,'Taux'!$B$6:$B$20,D255),"n.d.")</f>
        <v>1</v>
      </c>
      <c r="J255" s="22">
        <f>IF(COUNT(H255,I255)=2,H255/I255,"n.d.")</f>
        <v>104655.0</v>
      </c>
    </row>
    <row r="256" spans="1:11" ht="19" customHeight="1">
      <c r="A256" s="18" t="s">
        <v>5</v>
      </c>
      <c r="B256" s="18" t="s">
        <v>173</v>
      </c>
      <c r="C256" s="18" t="s">
        <v>7</v>
      </c>
      <c r="D256" s="18" t="s">
        <v>174</v>
      </c>
      <c r="E256" s="18" t="s">
        <v>229</v>
      </c>
      <c r="F256" s="18" t="s">
        <v>66</v>
      </c>
      <c r="G256" s="26">
        <v>183</v>
      </c>
      <c r="H256" s="22">
        <v>27</v>
      </c>
      <c r="I256" s="27">
        <f>IF(COUNTIFS('Taux'!$A$6:$A$20,A256,'Taux'!$B$6:$B$20,D256)=1,SUMIFS('Taux'!$D$6:$D$20,'Taux'!$A$6:$A$20,A256,'Taux'!$B$6:$B$20,D256),"n.d.")</f>
        <v>1</v>
      </c>
      <c r="J256" s="22">
        <f>IF(COUNT(H256,I256)=2,H256/I256,"n.d.")</f>
        <v>27.0</v>
      </c>
    </row>
    <row r="257" spans="1:11" ht="19" customHeight="1">
      <c r="A257" s="18" t="s">
        <v>5</v>
      </c>
      <c r="B257" s="18" t="s">
        <v>173</v>
      </c>
      <c r="C257" s="18" t="s">
        <v>7</v>
      </c>
      <c r="D257" s="18" t="s">
        <v>174</v>
      </c>
      <c r="E257" s="18" t="s">
        <v>229</v>
      </c>
      <c r="F257" s="18" t="s">
        <v>67</v>
      </c>
      <c r="G257" s="26">
        <v>469</v>
      </c>
      <c r="H257" s="22">
        <v>2417</v>
      </c>
      <c r="I257" s="27">
        <f>IF(COUNTIFS('Taux'!$A$6:$A$20,A257,'Taux'!$B$6:$B$20,D257)=1,SUMIFS('Taux'!$D$6:$D$20,'Taux'!$A$6:$A$20,A257,'Taux'!$B$6:$B$20,D257),"n.d.")</f>
        <v>1</v>
      </c>
      <c r="J257" s="22">
        <f>IF(COUNT(H257,I257)=2,H257/I257,"n.d.")</f>
        <v>2417.0</v>
      </c>
    </row>
    <row r="258" spans="1:11" ht="19" customHeight="1">
      <c r="A258" s="18" t="s">
        <v>5</v>
      </c>
      <c r="B258" s="18" t="s">
        <v>173</v>
      </c>
      <c r="C258" s="18" t="s">
        <v>7</v>
      </c>
      <c r="D258" s="18" t="s">
        <v>174</v>
      </c>
      <c r="E258" s="18" t="s">
        <v>229</v>
      </c>
      <c r="F258" s="18" t="s">
        <v>68</v>
      </c>
      <c r="G258" s="26">
        <v>4270</v>
      </c>
      <c r="H258" s="22">
        <v>203009</v>
      </c>
      <c r="I258" s="27">
        <f>IF(COUNTIFS('Taux'!$A$6:$A$20,A258,'Taux'!$B$6:$B$20,D258)=1,SUMIFS('Taux'!$D$6:$D$20,'Taux'!$A$6:$A$20,A258,'Taux'!$B$6:$B$20,D258),"n.d.")</f>
        <v>1</v>
      </c>
      <c r="J258" s="22">
        <f>IF(COUNT(H258,I258)=2,H258/I258,"n.d.")</f>
        <v>203009.0</v>
      </c>
    </row>
    <row r="259" spans="1:11" ht="19" customHeight="1">
      <c r="A259" s="18" t="s">
        <v>5</v>
      </c>
      <c r="B259" s="18" t="s">
        <v>173</v>
      </c>
      <c r="C259" s="18" t="s">
        <v>7</v>
      </c>
      <c r="D259" s="18" t="s">
        <v>174</v>
      </c>
      <c r="E259" s="18" t="s">
        <v>229</v>
      </c>
      <c r="F259" s="18" t="s">
        <v>69</v>
      </c>
      <c r="G259" s="26">
        <v>2772</v>
      </c>
      <c r="H259" s="22">
        <v>686886</v>
      </c>
      <c r="I259" s="27">
        <f>IF(COUNTIFS('Taux'!$A$6:$A$20,A259,'Taux'!$B$6:$B$20,D259)=1,SUMIFS('Taux'!$D$6:$D$20,'Taux'!$A$6:$A$20,A259,'Taux'!$B$6:$B$20,D259),"n.d.")</f>
        <v>1</v>
      </c>
      <c r="J259" s="22">
        <f>IF(COUNT(H259,I259)=2,H259/I259,"n.d.")</f>
        <v>686886.0</v>
      </c>
    </row>
    <row r="260" spans="1:11" ht="19" customHeight="1">
      <c r="A260" s="18" t="s">
        <v>5</v>
      </c>
      <c r="B260" s="18" t="s">
        <v>173</v>
      </c>
      <c r="C260" s="18" t="s">
        <v>7</v>
      </c>
      <c r="D260" s="18" t="s">
        <v>174</v>
      </c>
      <c r="E260" s="18" t="s">
        <v>229</v>
      </c>
      <c r="F260" s="18" t="s">
        <v>70</v>
      </c>
      <c r="G260" s="26">
        <v>189</v>
      </c>
      <c r="H260" s="22">
        <v>591034</v>
      </c>
      <c r="I260" s="27">
        <f>IF(COUNTIFS('Taux'!$A$6:$A$20,A260,'Taux'!$B$6:$B$20,D260)=1,SUMIFS('Taux'!$D$6:$D$20,'Taux'!$A$6:$A$20,A260,'Taux'!$B$6:$B$20,D260),"n.d.")</f>
        <v>1</v>
      </c>
      <c r="J260" s="22">
        <f>IF(COUNT(H260,I260)=2,H260/I260,"n.d.")</f>
        <v>591034.0</v>
      </c>
    </row>
    <row r="261" spans="1:11" ht="19" customHeight="1">
      <c r="A261" s="18" t="s">
        <v>5</v>
      </c>
      <c r="B261" s="18" t="s">
        <v>173</v>
      </c>
      <c r="C261" s="18" t="s">
        <v>7</v>
      </c>
      <c r="D261" s="18" t="s">
        <v>174</v>
      </c>
      <c r="E261" s="18" t="s">
        <v>214</v>
      </c>
      <c r="F261" s="18" t="s">
        <v>73</v>
      </c>
      <c r="G261" s="23" t="s">
        <v>39</v>
      </c>
      <c r="H261" s="23" t="s">
        <v>39</v>
      </c>
      <c r="I261" s="27">
        <f>IF(COUNTIFS('Taux'!$A$6:$A$20,A261,'Taux'!$B$6:$B$20,D261)=1,SUMIFS('Taux'!$D$6:$D$20,'Taux'!$A$6:$A$20,A261,'Taux'!$B$6:$B$20,D261),"n.d.")</f>
        <v>1</v>
      </c>
      <c r="J261" s="22" t="str">
        <f>IF(COUNT(H261,I261)=2,H261/I261,"n.d.")</f>
        <v>n.d.</v>
      </c>
    </row>
    <row r="262" spans="1:11" ht="19" customHeight="1">
      <c r="A262" s="18" t="s">
        <v>5</v>
      </c>
      <c r="B262" s="18" t="s">
        <v>173</v>
      </c>
      <c r="C262" s="18" t="s">
        <v>7</v>
      </c>
      <c r="D262" s="18" t="s">
        <v>174</v>
      </c>
      <c r="E262" s="18" t="s">
        <v>214</v>
      </c>
      <c r="F262" s="18" t="s">
        <v>74</v>
      </c>
      <c r="G262" s="23" t="s">
        <v>39</v>
      </c>
      <c r="H262" s="23" t="s">
        <v>39</v>
      </c>
      <c r="I262" s="27">
        <f>IF(COUNTIFS('Taux'!$A$6:$A$20,A262,'Taux'!$B$6:$B$20,D262)=1,SUMIFS('Taux'!$D$6:$D$20,'Taux'!$A$6:$A$20,A262,'Taux'!$B$6:$B$20,D262),"n.d.")</f>
        <v>1</v>
      </c>
      <c r="J262" s="22" t="str">
        <f>IF(COUNT(H262,I262)=2,H262/I262,"n.d.")</f>
        <v>n.d.</v>
      </c>
    </row>
    <row r="263" spans="1:11" ht="19" customHeight="1">
      <c r="A263" s="18" t="s">
        <v>5</v>
      </c>
      <c r="B263" s="18" t="s">
        <v>173</v>
      </c>
      <c r="C263" s="18" t="s">
        <v>7</v>
      </c>
      <c r="D263" s="18" t="s">
        <v>174</v>
      </c>
      <c r="E263" s="18" t="s">
        <v>214</v>
      </c>
      <c r="F263" s="18" t="s">
        <v>75</v>
      </c>
      <c r="G263" s="23" t="s">
        <v>39</v>
      </c>
      <c r="H263" s="23" t="s">
        <v>39</v>
      </c>
      <c r="I263" s="27">
        <f>IF(COUNTIFS('Taux'!$A$6:$A$20,A263,'Taux'!$B$6:$B$20,D263)=1,SUMIFS('Taux'!$D$6:$D$20,'Taux'!$A$6:$A$20,A263,'Taux'!$B$6:$B$20,D263),"n.d.")</f>
        <v>1</v>
      </c>
      <c r="J263" s="22" t="str">
        <f>IF(COUNT(H263,I263)=2,H263/I263,"n.d.")</f>
        <v>n.d.</v>
      </c>
    </row>
    <row r="264" spans="1:11" ht="19" customHeight="1">
      <c r="A264" s="18" t="s">
        <v>5</v>
      </c>
      <c r="B264" s="18" t="s">
        <v>173</v>
      </c>
      <c r="C264" s="18" t="s">
        <v>7</v>
      </c>
      <c r="D264" s="18" t="s">
        <v>174</v>
      </c>
      <c r="E264" s="18" t="s">
        <v>214</v>
      </c>
      <c r="F264" s="18" t="s">
        <v>76</v>
      </c>
      <c r="G264" s="26">
        <v>1</v>
      </c>
      <c r="H264" s="22">
        <v>9</v>
      </c>
      <c r="I264" s="27">
        <f>IF(COUNTIFS('Taux'!$A$6:$A$20,A264,'Taux'!$B$6:$B$20,D264)=1,SUMIFS('Taux'!$D$6:$D$20,'Taux'!$A$6:$A$20,A264,'Taux'!$B$6:$B$20,D264),"n.d.")</f>
        <v>1</v>
      </c>
      <c r="J264" s="22">
        <f>IF(COUNT(H264,I264)=2,H264/I264,"n.d.")</f>
        <v>9.0</v>
      </c>
    </row>
    <row r="265" spans="1:11" ht="19" customHeight="1">
      <c r="A265" s="18" t="s">
        <v>5</v>
      </c>
      <c r="B265" s="18" t="s">
        <v>173</v>
      </c>
      <c r="C265" s="18" t="s">
        <v>7</v>
      </c>
      <c r="D265" s="18" t="s">
        <v>174</v>
      </c>
      <c r="E265" s="18" t="s">
        <v>214</v>
      </c>
      <c r="F265" s="18" t="s">
        <v>77</v>
      </c>
      <c r="G265" s="26">
        <v>3</v>
      </c>
      <c r="H265" s="22">
        <v>273</v>
      </c>
      <c r="I265" s="27">
        <f>IF(COUNTIFS('Taux'!$A$6:$A$20,A265,'Taux'!$B$6:$B$20,D265)=1,SUMIFS('Taux'!$D$6:$D$20,'Taux'!$A$6:$A$20,A265,'Taux'!$B$6:$B$20,D265),"n.d.")</f>
        <v>1</v>
      </c>
      <c r="J265" s="22">
        <f>IF(COUNT(H265,I265)=2,H265/I265,"n.d.")</f>
        <v>273.0</v>
      </c>
    </row>
    <row r="266" spans="1:11" ht="19" customHeight="1">
      <c r="A266" s="18" t="s">
        <v>5</v>
      </c>
      <c r="B266" s="18" t="s">
        <v>173</v>
      </c>
      <c r="C266" s="18" t="s">
        <v>7</v>
      </c>
      <c r="D266" s="18" t="s">
        <v>174</v>
      </c>
      <c r="E266" s="18" t="s">
        <v>214</v>
      </c>
      <c r="F266" s="18" t="s">
        <v>78</v>
      </c>
      <c r="G266" s="26">
        <v>4</v>
      </c>
      <c r="H266" s="22">
        <v>640</v>
      </c>
      <c r="I266" s="27">
        <f>IF(COUNTIFS('Taux'!$A$6:$A$20,A266,'Taux'!$B$6:$B$20,D266)=1,SUMIFS('Taux'!$D$6:$D$20,'Taux'!$A$6:$A$20,A266,'Taux'!$B$6:$B$20,D266),"n.d.")</f>
        <v>1</v>
      </c>
      <c r="J266" s="22">
        <f>IF(COUNT(H266,I266)=2,H266/I266,"n.d.")</f>
        <v>640.0</v>
      </c>
    </row>
    <row r="267" spans="1:11" ht="19" customHeight="1">
      <c r="A267" s="18" t="s">
        <v>5</v>
      </c>
      <c r="B267" s="18" t="s">
        <v>173</v>
      </c>
      <c r="C267" s="18" t="s">
        <v>7</v>
      </c>
      <c r="D267" s="18" t="s">
        <v>174</v>
      </c>
      <c r="E267" s="18" t="s">
        <v>214</v>
      </c>
      <c r="F267" s="18" t="s">
        <v>79</v>
      </c>
      <c r="G267" s="26">
        <v>7</v>
      </c>
      <c r="H267" s="22">
        <v>100</v>
      </c>
      <c r="I267" s="27">
        <f>IF(COUNTIFS('Taux'!$A$6:$A$20,A267,'Taux'!$B$6:$B$20,D267)=1,SUMIFS('Taux'!$D$6:$D$20,'Taux'!$A$6:$A$20,A267,'Taux'!$B$6:$B$20,D267),"n.d.")</f>
        <v>1</v>
      </c>
      <c r="J267" s="22">
        <f>IF(COUNT(H267,I267)=2,H267/I267,"n.d.")</f>
        <v>100.0</v>
      </c>
    </row>
    <row r="268" spans="1:11" ht="19" customHeight="1">
      <c r="A268" s="18" t="s">
        <v>5</v>
      </c>
      <c r="B268" s="18" t="s">
        <v>173</v>
      </c>
      <c r="C268" s="18" t="s">
        <v>7</v>
      </c>
      <c r="D268" s="18" t="s">
        <v>174</v>
      </c>
      <c r="E268" s="18" t="s">
        <v>214</v>
      </c>
      <c r="F268" s="18" t="s">
        <v>80</v>
      </c>
      <c r="G268" s="23" t="s">
        <v>39</v>
      </c>
      <c r="H268" s="23" t="s">
        <v>39</v>
      </c>
      <c r="I268" s="27">
        <f>IF(COUNTIFS('Taux'!$A$6:$A$20,A268,'Taux'!$B$6:$B$20,D268)=1,SUMIFS('Taux'!$D$6:$D$20,'Taux'!$A$6:$A$20,A268,'Taux'!$B$6:$B$20,D268),"n.d.")</f>
        <v>1</v>
      </c>
      <c r="J268" s="22" t="str">
        <f>IF(COUNT(H268,I268)=2,H268/I268,"n.d.")</f>
        <v>n.d.</v>
      </c>
    </row>
    <row r="269" spans="1:11" ht="19" customHeight="1">
      <c r="A269" s="18" t="s">
        <v>5</v>
      </c>
      <c r="B269" s="18" t="s">
        <v>173</v>
      </c>
      <c r="C269" s="18" t="s">
        <v>7</v>
      </c>
      <c r="D269" s="18" t="s">
        <v>174</v>
      </c>
      <c r="E269" s="18" t="s">
        <v>214</v>
      </c>
      <c r="F269" s="18" t="s">
        <v>50</v>
      </c>
      <c r="G269" s="26">
        <v>110</v>
      </c>
      <c r="H269" s="22">
        <v>15001</v>
      </c>
      <c r="I269" s="27">
        <f>IF(COUNTIFS('Taux'!$A$6:$A$20,A269,'Taux'!$B$6:$B$20,D269)=1,SUMIFS('Taux'!$D$6:$D$20,'Taux'!$A$6:$A$20,A269,'Taux'!$B$6:$B$20,D269),"n.d.")</f>
        <v>1</v>
      </c>
      <c r="J269" s="22">
        <f>IF(COUNT(H269,I269)=2,H269/I269,"n.d.")</f>
        <v>15001.0</v>
      </c>
    </row>
    <row r="270" spans="1:11" ht="19" customHeight="1">
      <c r="A270" s="18" t="s">
        <v>5</v>
      </c>
      <c r="B270" s="18" t="s">
        <v>173</v>
      </c>
      <c r="C270" s="18" t="s">
        <v>7</v>
      </c>
      <c r="D270" s="18" t="s">
        <v>174</v>
      </c>
      <c r="E270" s="18" t="s">
        <v>214</v>
      </c>
      <c r="F270" s="18" t="s">
        <v>51</v>
      </c>
      <c r="G270" s="26">
        <v>7758</v>
      </c>
      <c r="H270" s="22">
        <v>1467349</v>
      </c>
      <c r="I270" s="27">
        <f>IF(COUNTIFS('Taux'!$A$6:$A$20,A270,'Taux'!$B$6:$B$20,D270)=1,SUMIFS('Taux'!$D$6:$D$20,'Taux'!$A$6:$A$20,A270,'Taux'!$B$6:$B$20,D270),"n.d.")</f>
        <v>1</v>
      </c>
      <c r="J270" s="22">
        <f>IF(COUNT(H270,I270)=2,H270/I270,"n.d.")</f>
        <v>1467349.0</v>
      </c>
    </row>
    <row r="271" spans="1:11" ht="19" customHeight="1">
      <c r="A271" s="18" t="s">
        <v>5</v>
      </c>
      <c r="B271" s="18" t="s">
        <v>178</v>
      </c>
      <c r="C271" s="18" t="s">
        <v>10</v>
      </c>
      <c r="D271" s="18" t="s">
        <v>174</v>
      </c>
      <c r="E271" s="18" t="s">
        <v>229</v>
      </c>
      <c r="F271" s="18" t="s">
        <v>66</v>
      </c>
      <c r="G271" s="26">
        <v>18250</v>
      </c>
      <c r="H271" s="22">
        <v>7959</v>
      </c>
      <c r="I271" s="27">
        <f>IF(COUNTIFS('Taux'!$A$6:$A$20,A271,'Taux'!$B$6:$B$20,D271)=1,SUMIFS('Taux'!$D$6:$D$20,'Taux'!$A$6:$A$20,A271,'Taux'!$B$6:$B$20,D271),"n.d.")</f>
        <v>1</v>
      </c>
      <c r="J271" s="22">
        <f>IF(COUNT(H271,I271)=2,H271/I271,"n.d.")</f>
        <v>7959.0</v>
      </c>
    </row>
    <row r="272" spans="1:11" ht="19" customHeight="1">
      <c r="A272" s="18" t="s">
        <v>5</v>
      </c>
      <c r="B272" s="18" t="s">
        <v>178</v>
      </c>
      <c r="C272" s="18" t="s">
        <v>10</v>
      </c>
      <c r="D272" s="18" t="s">
        <v>174</v>
      </c>
      <c r="E272" s="18" t="s">
        <v>229</v>
      </c>
      <c r="F272" s="18" t="s">
        <v>67</v>
      </c>
      <c r="G272" s="26">
        <v>75932</v>
      </c>
      <c r="H272" s="22">
        <v>206829</v>
      </c>
      <c r="I272" s="27">
        <f>IF(COUNTIFS('Taux'!$A$6:$A$20,A272,'Taux'!$B$6:$B$20,D272)=1,SUMIFS('Taux'!$D$6:$D$20,'Taux'!$A$6:$A$20,A272,'Taux'!$B$6:$B$20,D272),"n.d.")</f>
        <v>1</v>
      </c>
      <c r="J272" s="22">
        <f>IF(COUNT(H272,I272)=2,H272/I272,"n.d.")</f>
        <v>206829.0</v>
      </c>
    </row>
    <row r="273" spans="1:11" ht="19" customHeight="1">
      <c r="A273" s="18" t="s">
        <v>5</v>
      </c>
      <c r="B273" s="18" t="s">
        <v>178</v>
      </c>
      <c r="C273" s="18" t="s">
        <v>10</v>
      </c>
      <c r="D273" s="18" t="s">
        <v>174</v>
      </c>
      <c r="E273" s="18" t="s">
        <v>229</v>
      </c>
      <c r="F273" s="18" t="s">
        <v>68</v>
      </c>
      <c r="G273" s="26">
        <v>8710</v>
      </c>
      <c r="H273" s="22">
        <v>316895</v>
      </c>
      <c r="I273" s="27">
        <f>IF(COUNTIFS('Taux'!$A$6:$A$20,A273,'Taux'!$B$6:$B$20,D273)=1,SUMIFS('Taux'!$D$6:$D$20,'Taux'!$A$6:$A$20,A273,'Taux'!$B$6:$B$20,D273),"n.d.")</f>
        <v>1</v>
      </c>
      <c r="J273" s="22">
        <f>IF(COUNT(H273,I273)=2,H273/I273,"n.d.")</f>
        <v>316895.0</v>
      </c>
    </row>
    <row r="274" spans="1:11" ht="19" customHeight="1">
      <c r="A274" s="18" t="s">
        <v>5</v>
      </c>
      <c r="B274" s="18" t="s">
        <v>178</v>
      </c>
      <c r="C274" s="18" t="s">
        <v>10</v>
      </c>
      <c r="D274" s="18" t="s">
        <v>174</v>
      </c>
      <c r="E274" s="18" t="s">
        <v>229</v>
      </c>
      <c r="F274" s="18" t="s">
        <v>69</v>
      </c>
      <c r="G274" s="26">
        <v>6783</v>
      </c>
      <c r="H274" s="22">
        <v>1951658</v>
      </c>
      <c r="I274" s="27">
        <f>IF(COUNTIFS('Taux'!$A$6:$A$20,A274,'Taux'!$B$6:$B$20,D274)=1,SUMIFS('Taux'!$D$6:$D$20,'Taux'!$A$6:$A$20,A274,'Taux'!$B$6:$B$20,D274),"n.d.")</f>
        <v>1</v>
      </c>
      <c r="J274" s="22">
        <f>IF(COUNT(H274,I274)=2,H274/I274,"n.d.")</f>
        <v>1951658.0</v>
      </c>
    </row>
    <row r="275" spans="1:11" ht="19" customHeight="1">
      <c r="A275" s="18" t="s">
        <v>5</v>
      </c>
      <c r="B275" s="18" t="s">
        <v>178</v>
      </c>
      <c r="C275" s="18" t="s">
        <v>10</v>
      </c>
      <c r="D275" s="18" t="s">
        <v>174</v>
      </c>
      <c r="E275" s="18" t="s">
        <v>229</v>
      </c>
      <c r="F275" s="18" t="s">
        <v>70</v>
      </c>
      <c r="G275" s="26">
        <v>381</v>
      </c>
      <c r="H275" s="22">
        <v>951062</v>
      </c>
      <c r="I275" s="27">
        <f>IF(COUNTIFS('Taux'!$A$6:$A$20,A275,'Taux'!$B$6:$B$20,D275)=1,SUMIFS('Taux'!$D$6:$D$20,'Taux'!$A$6:$A$20,A275,'Taux'!$B$6:$B$20,D275),"n.d.")</f>
        <v>1</v>
      </c>
      <c r="J275" s="22">
        <f>IF(COUNT(H275,I275)=2,H275/I275,"n.d.")</f>
        <v>951062.0</v>
      </c>
    </row>
    <row r="276" spans="1:11" ht="19" customHeight="1">
      <c r="A276" s="18" t="s">
        <v>5</v>
      </c>
      <c r="B276" s="18" t="s">
        <v>178</v>
      </c>
      <c r="C276" s="18" t="s">
        <v>10</v>
      </c>
      <c r="D276" s="18" t="s">
        <v>174</v>
      </c>
      <c r="E276" s="18" t="s">
        <v>214</v>
      </c>
      <c r="F276" s="18" t="s">
        <v>73</v>
      </c>
      <c r="G276" s="26">
        <v>8232</v>
      </c>
      <c r="H276" s="22">
        <v>527322</v>
      </c>
      <c r="I276" s="27">
        <f>IF(COUNTIFS('Taux'!$A$6:$A$20,A276,'Taux'!$B$6:$B$20,D276)=1,SUMIFS('Taux'!$D$6:$D$20,'Taux'!$A$6:$A$20,A276,'Taux'!$B$6:$B$20,D276),"n.d.")</f>
        <v>1</v>
      </c>
      <c r="J276" s="22">
        <f>IF(COUNT(H276,I276)=2,H276/I276,"n.d.")</f>
        <v>527322.0</v>
      </c>
    </row>
    <row r="277" spans="1:11" ht="19" customHeight="1">
      <c r="A277" s="18" t="s">
        <v>5</v>
      </c>
      <c r="B277" s="18" t="s">
        <v>178</v>
      </c>
      <c r="C277" s="18" t="s">
        <v>10</v>
      </c>
      <c r="D277" s="18" t="s">
        <v>174</v>
      </c>
      <c r="E277" s="18" t="s">
        <v>214</v>
      </c>
      <c r="F277" s="18" t="s">
        <v>74</v>
      </c>
      <c r="G277" s="26">
        <v>6189</v>
      </c>
      <c r="H277" s="22">
        <v>112535</v>
      </c>
      <c r="I277" s="27">
        <f>IF(COUNTIFS('Taux'!$A$6:$A$20,A277,'Taux'!$B$6:$B$20,D277)=1,SUMIFS('Taux'!$D$6:$D$20,'Taux'!$A$6:$A$20,A277,'Taux'!$B$6:$B$20,D277),"n.d.")</f>
        <v>1</v>
      </c>
      <c r="J277" s="22">
        <f>IF(COUNT(H277,I277)=2,H277/I277,"n.d.")</f>
        <v>112535.0</v>
      </c>
    </row>
    <row r="278" spans="1:11" ht="19" customHeight="1">
      <c r="A278" s="18" t="s">
        <v>5</v>
      </c>
      <c r="B278" s="18" t="s">
        <v>178</v>
      </c>
      <c r="C278" s="18" t="s">
        <v>10</v>
      </c>
      <c r="D278" s="18" t="s">
        <v>174</v>
      </c>
      <c r="E278" s="18" t="s">
        <v>214</v>
      </c>
      <c r="F278" s="18" t="s">
        <v>75</v>
      </c>
      <c r="G278" s="26">
        <v>15718</v>
      </c>
      <c r="H278" s="22">
        <v>169399</v>
      </c>
      <c r="I278" s="27">
        <f>IF(COUNTIFS('Taux'!$A$6:$A$20,A278,'Taux'!$B$6:$B$20,D278)=1,SUMIFS('Taux'!$D$6:$D$20,'Taux'!$A$6:$A$20,A278,'Taux'!$B$6:$B$20,D278),"n.d.")</f>
        <v>1</v>
      </c>
      <c r="J278" s="22">
        <f>IF(COUNT(H278,I278)=2,H278/I278,"n.d.")</f>
        <v>169399.0</v>
      </c>
    </row>
    <row r="279" spans="1:11" ht="19" customHeight="1">
      <c r="A279" s="18" t="s">
        <v>5</v>
      </c>
      <c r="B279" s="18" t="s">
        <v>178</v>
      </c>
      <c r="C279" s="18" t="s">
        <v>10</v>
      </c>
      <c r="D279" s="18" t="s">
        <v>174</v>
      </c>
      <c r="E279" s="18" t="s">
        <v>214</v>
      </c>
      <c r="F279" s="18" t="s">
        <v>76</v>
      </c>
      <c r="G279" s="26">
        <v>15750</v>
      </c>
      <c r="H279" s="22">
        <v>197087</v>
      </c>
      <c r="I279" s="27">
        <f>IF(COUNTIFS('Taux'!$A$6:$A$20,A279,'Taux'!$B$6:$B$20,D279)=1,SUMIFS('Taux'!$D$6:$D$20,'Taux'!$A$6:$A$20,A279,'Taux'!$B$6:$B$20,D279),"n.d.")</f>
        <v>1</v>
      </c>
      <c r="J279" s="22">
        <f>IF(COUNT(H279,I279)=2,H279/I279,"n.d.")</f>
        <v>197087.0</v>
      </c>
    </row>
    <row r="280" spans="1:11" ht="19" customHeight="1">
      <c r="A280" s="18" t="s">
        <v>5</v>
      </c>
      <c r="B280" s="18" t="s">
        <v>178</v>
      </c>
      <c r="C280" s="18" t="s">
        <v>10</v>
      </c>
      <c r="D280" s="18" t="s">
        <v>174</v>
      </c>
      <c r="E280" s="18" t="s">
        <v>214</v>
      </c>
      <c r="F280" s="18" t="s">
        <v>77</v>
      </c>
      <c r="G280" s="26">
        <v>12911</v>
      </c>
      <c r="H280" s="22">
        <v>151747</v>
      </c>
      <c r="I280" s="27">
        <f>IF(COUNTIFS('Taux'!$A$6:$A$20,A280,'Taux'!$B$6:$B$20,D280)=1,SUMIFS('Taux'!$D$6:$D$20,'Taux'!$A$6:$A$20,A280,'Taux'!$B$6:$B$20,D280),"n.d.")</f>
        <v>1</v>
      </c>
      <c r="J280" s="22">
        <f>IF(COUNT(H280,I280)=2,H280/I280,"n.d.")</f>
        <v>151747.0</v>
      </c>
    </row>
    <row r="281" spans="1:11" ht="19" customHeight="1">
      <c r="A281" s="18" t="s">
        <v>5</v>
      </c>
      <c r="B281" s="18" t="s">
        <v>178</v>
      </c>
      <c r="C281" s="18" t="s">
        <v>10</v>
      </c>
      <c r="D281" s="18" t="s">
        <v>174</v>
      </c>
      <c r="E281" s="18" t="s">
        <v>214</v>
      </c>
      <c r="F281" s="18" t="s">
        <v>78</v>
      </c>
      <c r="G281" s="26">
        <v>10802</v>
      </c>
      <c r="H281" s="22">
        <v>137964</v>
      </c>
      <c r="I281" s="27">
        <f>IF(COUNTIFS('Taux'!$A$6:$A$20,A281,'Taux'!$B$6:$B$20,D281)=1,SUMIFS('Taux'!$D$6:$D$20,'Taux'!$A$6:$A$20,A281,'Taux'!$B$6:$B$20,D281),"n.d.")</f>
        <v>1</v>
      </c>
      <c r="J281" s="22">
        <f>IF(COUNT(H281,I281)=2,H281/I281,"n.d.")</f>
        <v>137964.0</v>
      </c>
    </row>
    <row r="282" spans="1:11" ht="19" customHeight="1">
      <c r="A282" s="18" t="s">
        <v>5</v>
      </c>
      <c r="B282" s="18" t="s">
        <v>178</v>
      </c>
      <c r="C282" s="18" t="s">
        <v>10</v>
      </c>
      <c r="D282" s="18" t="s">
        <v>174</v>
      </c>
      <c r="E282" s="18" t="s">
        <v>214</v>
      </c>
      <c r="F282" s="18" t="s">
        <v>79</v>
      </c>
      <c r="G282" s="26">
        <v>11891</v>
      </c>
      <c r="H282" s="22">
        <v>169085</v>
      </c>
      <c r="I282" s="27">
        <f>IF(COUNTIFS('Taux'!$A$6:$A$20,A282,'Taux'!$B$6:$B$20,D282)=1,SUMIFS('Taux'!$D$6:$D$20,'Taux'!$A$6:$A$20,A282,'Taux'!$B$6:$B$20,D282),"n.d.")</f>
        <v>1</v>
      </c>
      <c r="J282" s="22">
        <f>IF(COUNT(H282,I282)=2,H282/I282,"n.d.")</f>
        <v>169085.0</v>
      </c>
    </row>
    <row r="283" spans="1:11" ht="19" customHeight="1">
      <c r="A283" s="18" t="s">
        <v>5</v>
      </c>
      <c r="B283" s="18" t="s">
        <v>178</v>
      </c>
      <c r="C283" s="18" t="s">
        <v>10</v>
      </c>
      <c r="D283" s="18" t="s">
        <v>174</v>
      </c>
      <c r="E283" s="18" t="s">
        <v>214</v>
      </c>
      <c r="F283" s="18" t="s">
        <v>80</v>
      </c>
      <c r="G283" s="26">
        <v>12689</v>
      </c>
      <c r="H283" s="22">
        <v>296076</v>
      </c>
      <c r="I283" s="27">
        <f>IF(COUNTIFS('Taux'!$A$6:$A$20,A283,'Taux'!$B$6:$B$20,D283)=1,SUMIFS('Taux'!$D$6:$D$20,'Taux'!$A$6:$A$20,A283,'Taux'!$B$6:$B$20,D283),"n.d.")</f>
        <v>1</v>
      </c>
      <c r="J283" s="22">
        <f>IF(COUNT(H283,I283)=2,H283/I283,"n.d.")</f>
        <v>296076.0</v>
      </c>
    </row>
    <row r="284" spans="1:11" ht="19" customHeight="1">
      <c r="A284" s="18" t="s">
        <v>5</v>
      </c>
      <c r="B284" s="18" t="s">
        <v>178</v>
      </c>
      <c r="C284" s="18" t="s">
        <v>10</v>
      </c>
      <c r="D284" s="18" t="s">
        <v>174</v>
      </c>
      <c r="E284" s="18" t="s">
        <v>214</v>
      </c>
      <c r="F284" s="18" t="s">
        <v>50</v>
      </c>
      <c r="G284" s="26">
        <v>7968</v>
      </c>
      <c r="H284" s="22">
        <v>339318</v>
      </c>
      <c r="I284" s="27">
        <f>IF(COUNTIFS('Taux'!$A$6:$A$20,A284,'Taux'!$B$6:$B$20,D284)=1,SUMIFS('Taux'!$D$6:$D$20,'Taux'!$A$6:$A$20,A284,'Taux'!$B$6:$B$20,D284),"n.d.")</f>
        <v>1</v>
      </c>
      <c r="J284" s="22">
        <f>IF(COUNT(H284,I284)=2,H284/I284,"n.d.")</f>
        <v>339318.0</v>
      </c>
    </row>
    <row r="285" spans="1:11" ht="19" customHeight="1">
      <c r="A285" s="18" t="s">
        <v>5</v>
      </c>
      <c r="B285" s="18" t="s">
        <v>178</v>
      </c>
      <c r="C285" s="18" t="s">
        <v>10</v>
      </c>
      <c r="D285" s="18" t="s">
        <v>174</v>
      </c>
      <c r="E285" s="18" t="s">
        <v>214</v>
      </c>
      <c r="F285" s="18" t="s">
        <v>51</v>
      </c>
      <c r="G285" s="26">
        <v>7906</v>
      </c>
      <c r="H285" s="22">
        <v>1333869</v>
      </c>
      <c r="I285" s="27">
        <f>IF(COUNTIFS('Taux'!$A$6:$A$20,A285,'Taux'!$B$6:$B$20,D285)=1,SUMIFS('Taux'!$D$6:$D$20,'Taux'!$A$6:$A$20,A285,'Taux'!$B$6:$B$20,D285),"n.d.")</f>
        <v>1</v>
      </c>
      <c r="J285" s="22">
        <f>IF(COUNT(H285,I285)=2,H285/I285,"n.d.")</f>
        <v>1333869.0</v>
      </c>
    </row>
    <row r="286" spans="1:11" ht="19" customHeight="1">
      <c r="A286" s="18" t="s">
        <v>5</v>
      </c>
      <c r="B286" s="18" t="s">
        <v>179</v>
      </c>
      <c r="C286" s="18" t="s">
        <v>11</v>
      </c>
      <c r="D286" s="18" t="s">
        <v>174</v>
      </c>
      <c r="E286" s="18" t="s">
        <v>229</v>
      </c>
      <c r="F286" s="18" t="s">
        <v>66</v>
      </c>
      <c r="G286" s="26">
        <v>3811</v>
      </c>
      <c r="H286" s="22">
        <v>1102</v>
      </c>
      <c r="I286" s="27">
        <f>IF(COUNTIFS('Taux'!$A$6:$A$20,A286,'Taux'!$B$6:$B$20,D286)=1,SUMIFS('Taux'!$D$6:$D$20,'Taux'!$A$6:$A$20,A286,'Taux'!$B$6:$B$20,D286),"n.d.")</f>
        <v>1</v>
      </c>
      <c r="J286" s="22">
        <f>IF(COUNT(H286,I286)=2,H286/I286,"n.d.")</f>
        <v>1102.0</v>
      </c>
    </row>
    <row r="287" spans="1:11" ht="19" customHeight="1">
      <c r="A287" s="18" t="s">
        <v>5</v>
      </c>
      <c r="B287" s="18" t="s">
        <v>179</v>
      </c>
      <c r="C287" s="18" t="s">
        <v>11</v>
      </c>
      <c r="D287" s="18" t="s">
        <v>174</v>
      </c>
      <c r="E287" s="18" t="s">
        <v>229</v>
      </c>
      <c r="F287" s="18" t="s">
        <v>67</v>
      </c>
      <c r="G287" s="26">
        <v>2952</v>
      </c>
      <c r="H287" s="22">
        <v>11915</v>
      </c>
      <c r="I287" s="27">
        <f>IF(COUNTIFS('Taux'!$A$6:$A$20,A287,'Taux'!$B$6:$B$20,D287)=1,SUMIFS('Taux'!$D$6:$D$20,'Taux'!$A$6:$A$20,A287,'Taux'!$B$6:$B$20,D287),"n.d.")</f>
        <v>1</v>
      </c>
      <c r="J287" s="22">
        <f>IF(COUNT(H287,I287)=2,H287/I287,"n.d.")</f>
        <v>11915.0</v>
      </c>
    </row>
    <row r="288" spans="1:11" ht="19" customHeight="1">
      <c r="A288" s="18" t="s">
        <v>5</v>
      </c>
      <c r="B288" s="18" t="s">
        <v>179</v>
      </c>
      <c r="C288" s="18" t="s">
        <v>11</v>
      </c>
      <c r="D288" s="18" t="s">
        <v>174</v>
      </c>
      <c r="E288" s="18" t="s">
        <v>229</v>
      </c>
      <c r="F288" s="18" t="s">
        <v>68</v>
      </c>
      <c r="G288" s="26">
        <v>4828</v>
      </c>
      <c r="H288" s="22">
        <v>175661</v>
      </c>
      <c r="I288" s="27">
        <f>IF(COUNTIFS('Taux'!$A$6:$A$20,A288,'Taux'!$B$6:$B$20,D288)=1,SUMIFS('Taux'!$D$6:$D$20,'Taux'!$A$6:$A$20,A288,'Taux'!$B$6:$B$20,D288),"n.d.")</f>
        <v>1</v>
      </c>
      <c r="J288" s="22">
        <f>IF(COUNT(H288,I288)=2,H288/I288,"n.d.")</f>
        <v>175661.0</v>
      </c>
    </row>
    <row r="289" spans="1:11" ht="19" customHeight="1">
      <c r="A289" s="18" t="s">
        <v>5</v>
      </c>
      <c r="B289" s="18" t="s">
        <v>179</v>
      </c>
      <c r="C289" s="18" t="s">
        <v>11</v>
      </c>
      <c r="D289" s="18" t="s">
        <v>174</v>
      </c>
      <c r="E289" s="18" t="s">
        <v>229</v>
      </c>
      <c r="F289" s="18" t="s">
        <v>69</v>
      </c>
      <c r="G289" s="26">
        <v>1069</v>
      </c>
      <c r="H289" s="22">
        <v>236826</v>
      </c>
      <c r="I289" s="27">
        <f>IF(COUNTIFS('Taux'!$A$6:$A$20,A289,'Taux'!$B$6:$B$20,D289)=1,SUMIFS('Taux'!$D$6:$D$20,'Taux'!$A$6:$A$20,A289,'Taux'!$B$6:$B$20,D289),"n.d.")</f>
        <v>1</v>
      </c>
      <c r="J289" s="22">
        <f>IF(COUNT(H289,I289)=2,H289/I289,"n.d.")</f>
        <v>236826.0</v>
      </c>
    </row>
    <row r="290" spans="1:11" ht="19" customHeight="1">
      <c r="A290" s="18" t="s">
        <v>5</v>
      </c>
      <c r="B290" s="18" t="s">
        <v>179</v>
      </c>
      <c r="C290" s="18" t="s">
        <v>11</v>
      </c>
      <c r="D290" s="18" t="s">
        <v>174</v>
      </c>
      <c r="E290" s="18" t="s">
        <v>229</v>
      </c>
      <c r="F290" s="18" t="s">
        <v>70</v>
      </c>
      <c r="G290" s="26">
        <v>49</v>
      </c>
      <c r="H290" s="22">
        <v>133031</v>
      </c>
      <c r="I290" s="27">
        <f>IF(COUNTIFS('Taux'!$A$6:$A$20,A290,'Taux'!$B$6:$B$20,D290)=1,SUMIFS('Taux'!$D$6:$D$20,'Taux'!$A$6:$A$20,A290,'Taux'!$B$6:$B$20,D290),"n.d.")</f>
        <v>1</v>
      </c>
      <c r="J290" s="22">
        <f>IF(COUNT(H290,I290)=2,H290/I290,"n.d.")</f>
        <v>133031.0</v>
      </c>
    </row>
    <row r="291" spans="1:11" ht="19" customHeight="1">
      <c r="A291" s="18" t="s">
        <v>5</v>
      </c>
      <c r="B291" s="18" t="s">
        <v>179</v>
      </c>
      <c r="C291" s="18" t="s">
        <v>11</v>
      </c>
      <c r="D291" s="18" t="s">
        <v>174</v>
      </c>
      <c r="E291" s="18" t="s">
        <v>214</v>
      </c>
      <c r="F291" s="18" t="s">
        <v>80</v>
      </c>
      <c r="G291" s="26">
        <v>113</v>
      </c>
      <c r="H291" s="22">
        <v>7029</v>
      </c>
      <c r="I291" s="27">
        <f>IF(COUNTIFS('Taux'!$A$6:$A$20,A291,'Taux'!$B$6:$B$20,D291)=1,SUMIFS('Taux'!$D$6:$D$20,'Taux'!$A$6:$A$20,A291,'Taux'!$B$6:$B$20,D291),"n.d.")</f>
        <v>1</v>
      </c>
      <c r="J291" s="22">
        <f>IF(COUNT(H291,I291)=2,H291/I291,"n.d.")</f>
        <v>7029.0</v>
      </c>
    </row>
    <row r="292" spans="1:11" ht="19" customHeight="1">
      <c r="A292" s="18" t="s">
        <v>5</v>
      </c>
      <c r="B292" s="18" t="s">
        <v>179</v>
      </c>
      <c r="C292" s="18" t="s">
        <v>11</v>
      </c>
      <c r="D292" s="18" t="s">
        <v>174</v>
      </c>
      <c r="E292" s="18" t="s">
        <v>214</v>
      </c>
      <c r="F292" s="18" t="s">
        <v>50</v>
      </c>
      <c r="G292" s="26">
        <v>808</v>
      </c>
      <c r="H292" s="22">
        <v>47517</v>
      </c>
      <c r="I292" s="27">
        <f>IF(COUNTIFS('Taux'!$A$6:$A$20,A292,'Taux'!$B$6:$B$20,D292)=1,SUMIFS('Taux'!$D$6:$D$20,'Taux'!$A$6:$A$20,A292,'Taux'!$B$6:$B$20,D292),"n.d.")</f>
        <v>1</v>
      </c>
      <c r="J292" s="22">
        <f>IF(COUNT(H292,I292)=2,H292/I292,"n.d.")</f>
        <v>47517.0</v>
      </c>
    </row>
    <row r="293" spans="1:11" ht="19" customHeight="1">
      <c r="A293" s="18" t="s">
        <v>5</v>
      </c>
      <c r="B293" s="18" t="s">
        <v>179</v>
      </c>
      <c r="C293" s="18" t="s">
        <v>11</v>
      </c>
      <c r="D293" s="18" t="s">
        <v>174</v>
      </c>
      <c r="E293" s="18" t="s">
        <v>214</v>
      </c>
      <c r="F293" s="18" t="s">
        <v>51</v>
      </c>
      <c r="G293" s="26">
        <v>11788</v>
      </c>
      <c r="H293" s="22">
        <v>503988</v>
      </c>
      <c r="I293" s="27">
        <f>IF(COUNTIFS('Taux'!$A$6:$A$20,A293,'Taux'!$B$6:$B$20,D293)=1,SUMIFS('Taux'!$D$6:$D$20,'Taux'!$A$6:$A$20,A293,'Taux'!$B$6:$B$20,D293),"n.d.")</f>
        <v>1</v>
      </c>
      <c r="J293" s="22">
        <f>IF(COUNT(H293,I293)=2,H293/I293,"n.d.")</f>
        <v>503988.0</v>
      </c>
    </row>
    <row r="294" spans="1:11" ht="19" customHeight="1">
      <c r="A294" s="18" t="s">
        <v>5</v>
      </c>
      <c r="B294" s="18" t="s">
        <v>13</v>
      </c>
      <c r="C294" s="18" t="s">
        <v>13</v>
      </c>
      <c r="D294" s="18" t="s">
        <v>181</v>
      </c>
      <c r="E294" s="18" t="s">
        <v>229</v>
      </c>
      <c r="F294" s="18" t="s">
        <v>66</v>
      </c>
      <c r="G294" s="26">
        <v>962009</v>
      </c>
      <c r="H294" s="22">
        <v>-193166</v>
      </c>
      <c r="I294" s="27">
        <f>IF(COUNTIFS('Taux'!$A$6:$A$20,A294,'Taux'!$B$6:$B$20,D294)=1,SUMIFS('Taux'!$D$6:$D$20,'Taux'!$A$6:$A$20,A294,'Taux'!$B$6:$B$20,D294),"n.d.")</f>
        <v>0.85443381</v>
      </c>
      <c r="J294" s="22">
        <f>IF(COUNT(H294,I294)=2,H294/I294,"n.d.")</f>
        <v>-226074.85534777705</v>
      </c>
    </row>
    <row r="295" spans="1:11" ht="19" customHeight="1">
      <c r="A295" s="18" t="s">
        <v>5</v>
      </c>
      <c r="B295" s="18" t="s">
        <v>13</v>
      </c>
      <c r="C295" s="18" t="s">
        <v>13</v>
      </c>
      <c r="D295" s="18" t="s">
        <v>181</v>
      </c>
      <c r="E295" s="18" t="s">
        <v>229</v>
      </c>
      <c r="F295" s="18" t="s">
        <v>67</v>
      </c>
      <c r="G295" s="26">
        <v>14899</v>
      </c>
      <c r="H295" s="22">
        <v>69483</v>
      </c>
      <c r="I295" s="27">
        <f>IF(COUNTIFS('Taux'!$A$6:$A$20,A295,'Taux'!$B$6:$B$20,D295)=1,SUMIFS('Taux'!$D$6:$D$20,'Taux'!$A$6:$A$20,A295,'Taux'!$B$6:$B$20,D295),"n.d.")</f>
        <v>0.85443381</v>
      </c>
      <c r="J295" s="22">
        <f>IF(COUNT(H295,I295)=2,H295/I295,"n.d.")</f>
        <v>81320.51796967164</v>
      </c>
    </row>
    <row r="296" spans="1:11" ht="19" customHeight="1">
      <c r="A296" s="18" t="s">
        <v>5</v>
      </c>
      <c r="B296" s="18" t="s">
        <v>13</v>
      </c>
      <c r="C296" s="18" t="s">
        <v>13</v>
      </c>
      <c r="D296" s="18" t="s">
        <v>181</v>
      </c>
      <c r="E296" s="18" t="s">
        <v>229</v>
      </c>
      <c r="F296" s="18" t="s">
        <v>68</v>
      </c>
      <c r="G296" s="26">
        <v>16228</v>
      </c>
      <c r="H296" s="22">
        <v>571089</v>
      </c>
      <c r="I296" s="27">
        <f>IF(COUNTIFS('Taux'!$A$6:$A$20,A296,'Taux'!$B$6:$B$20,D296)=1,SUMIFS('Taux'!$D$6:$D$20,'Taux'!$A$6:$A$20,A296,'Taux'!$B$6:$B$20,D296),"n.d.")</f>
        <v>0.85443381</v>
      </c>
      <c r="J296" s="22">
        <f>IF(COUNT(H296,I296)=2,H296/I296,"n.d.")</f>
        <v>668382.96110965</v>
      </c>
    </row>
    <row r="297" spans="1:11" ht="19" customHeight="1">
      <c r="A297" s="18" t="s">
        <v>5</v>
      </c>
      <c r="B297" s="18" t="s">
        <v>13</v>
      </c>
      <c r="C297" s="18" t="s">
        <v>13</v>
      </c>
      <c r="D297" s="18" t="s">
        <v>181</v>
      </c>
      <c r="E297" s="18" t="s">
        <v>229</v>
      </c>
      <c r="F297" s="18" t="s">
        <v>69</v>
      </c>
      <c r="G297" s="26">
        <v>3273</v>
      </c>
      <c r="H297" s="22">
        <v>906305</v>
      </c>
      <c r="I297" s="27">
        <f>IF(COUNTIFS('Taux'!$A$6:$A$20,A297,'Taux'!$B$6:$B$20,D297)=1,SUMIFS('Taux'!$D$6:$D$20,'Taux'!$A$6:$A$20,A297,'Taux'!$B$6:$B$20,D297),"n.d.")</f>
        <v>0.85443381</v>
      </c>
      <c r="J297" s="22">
        <f>IF(COUNT(H297,I297)=2,H297/I297,"n.d.")</f>
        <v>1060708.2601284236</v>
      </c>
    </row>
    <row r="298" spans="1:11" ht="19" customHeight="1">
      <c r="A298" s="18" t="s">
        <v>5</v>
      </c>
      <c r="B298" s="18" t="s">
        <v>13</v>
      </c>
      <c r="C298" s="18" t="s">
        <v>13</v>
      </c>
      <c r="D298" s="18" t="s">
        <v>181</v>
      </c>
      <c r="E298" s="18" t="s">
        <v>229</v>
      </c>
      <c r="F298" s="18" t="s">
        <v>70</v>
      </c>
      <c r="G298" s="26">
        <v>458</v>
      </c>
      <c r="H298" s="22">
        <v>1623063</v>
      </c>
      <c r="I298" s="27">
        <f>IF(COUNTIFS('Taux'!$A$6:$A$20,A298,'Taux'!$B$6:$B$20,D298)=1,SUMIFS('Taux'!$D$6:$D$20,'Taux'!$A$6:$A$20,A298,'Taux'!$B$6:$B$20,D298),"n.d.")</f>
        <v>0.85443381</v>
      </c>
      <c r="J298" s="22">
        <f>IF(COUNT(H298,I298)=2,H298/I298,"n.d.")</f>
        <v>1899577.2182751056</v>
      </c>
    </row>
    <row r="299" spans="1:11" ht="19" customHeight="1">
      <c r="A299" s="18" t="s">
        <v>5</v>
      </c>
      <c r="B299" s="18" t="s">
        <v>13</v>
      </c>
      <c r="C299" s="18" t="s">
        <v>13</v>
      </c>
      <c r="D299" s="18" t="s">
        <v>181</v>
      </c>
      <c r="E299" s="18" t="s">
        <v>214</v>
      </c>
      <c r="F299" s="18" t="s">
        <v>73</v>
      </c>
      <c r="G299" s="26">
        <v>1321</v>
      </c>
      <c r="H299" s="22">
        <v>68632</v>
      </c>
      <c r="I299" s="27">
        <f>IF(COUNTIFS('Taux'!$A$6:$A$20,A299,'Taux'!$B$6:$B$20,D299)=1,SUMIFS('Taux'!$D$6:$D$20,'Taux'!$A$6:$A$20,A299,'Taux'!$B$6:$B$20,D299),"n.d.")</f>
        <v>0.85443381</v>
      </c>
      <c r="J299" s="22">
        <f>IF(COUNT(H299,I299)=2,H299/I299,"n.d.")</f>
        <v>80324.53678301892</v>
      </c>
    </row>
    <row r="300" spans="1:11" ht="19" customHeight="1">
      <c r="A300" s="18" t="s">
        <v>5</v>
      </c>
      <c r="B300" s="18" t="s">
        <v>13</v>
      </c>
      <c r="C300" s="18" t="s">
        <v>13</v>
      </c>
      <c r="D300" s="18" t="s">
        <v>181</v>
      </c>
      <c r="E300" s="18" t="s">
        <v>214</v>
      </c>
      <c r="F300" s="18" t="s">
        <v>74</v>
      </c>
      <c r="G300" s="26">
        <v>817</v>
      </c>
      <c r="H300" s="22">
        <v>84026</v>
      </c>
      <c r="I300" s="27">
        <f>IF(COUNTIFS('Taux'!$A$6:$A$20,A300,'Taux'!$B$6:$B$20,D300)=1,SUMIFS('Taux'!$D$6:$D$20,'Taux'!$A$6:$A$20,A300,'Taux'!$B$6:$B$20,D300),"n.d.")</f>
        <v>0.85443381</v>
      </c>
      <c r="J300" s="22">
        <f>IF(COUNT(H300,I300)=2,H300/I300,"n.d.")</f>
        <v>98341.1459338202</v>
      </c>
    </row>
    <row r="301" spans="1:11" ht="19" customHeight="1">
      <c r="A301" s="18" t="s">
        <v>5</v>
      </c>
      <c r="B301" s="18" t="s">
        <v>13</v>
      </c>
      <c r="C301" s="18" t="s">
        <v>13</v>
      </c>
      <c r="D301" s="18" t="s">
        <v>181</v>
      </c>
      <c r="E301" s="18" t="s">
        <v>214</v>
      </c>
      <c r="F301" s="18" t="s">
        <v>75</v>
      </c>
      <c r="G301" s="26">
        <v>953</v>
      </c>
      <c r="H301" s="22">
        <v>100521</v>
      </c>
      <c r="I301" s="27">
        <f>IF(COUNTIFS('Taux'!$A$6:$A$20,A301,'Taux'!$B$6:$B$20,D301)=1,SUMIFS('Taux'!$D$6:$D$20,'Taux'!$A$6:$A$20,A301,'Taux'!$B$6:$B$20,D301),"n.d.")</f>
        <v>0.85443381</v>
      </c>
      <c r="J301" s="22">
        <f>IF(COUNT(H301,I301)=2,H301/I301,"n.d.")</f>
        <v>117646.32768920978</v>
      </c>
    </row>
    <row r="302" spans="1:11" ht="19" customHeight="1">
      <c r="A302" s="18" t="s">
        <v>5</v>
      </c>
      <c r="B302" s="18" t="s">
        <v>13</v>
      </c>
      <c r="C302" s="18" t="s">
        <v>13</v>
      </c>
      <c r="D302" s="18" t="s">
        <v>181</v>
      </c>
      <c r="E302" s="18" t="s">
        <v>214</v>
      </c>
      <c r="F302" s="18" t="s">
        <v>76</v>
      </c>
      <c r="G302" s="26">
        <v>752</v>
      </c>
      <c r="H302" s="22">
        <v>75096</v>
      </c>
      <c r="I302" s="27">
        <f>IF(COUNTIFS('Taux'!$A$6:$A$20,A302,'Taux'!$B$6:$B$20,D302)=1,SUMIFS('Taux'!$D$6:$D$20,'Taux'!$A$6:$A$20,A302,'Taux'!$B$6:$B$20,D302),"n.d.")</f>
        <v>0.85443381</v>
      </c>
      <c r="J302" s="22">
        <f>IF(COUNT(H302,I302)=2,H302/I302,"n.d.")</f>
        <v>87889.78048516129</v>
      </c>
    </row>
    <row r="303" spans="1:11" ht="19" customHeight="1">
      <c r="A303" s="18" t="s">
        <v>5</v>
      </c>
      <c r="B303" s="18" t="s">
        <v>13</v>
      </c>
      <c r="C303" s="18" t="s">
        <v>13</v>
      </c>
      <c r="D303" s="18" t="s">
        <v>181</v>
      </c>
      <c r="E303" s="18" t="s">
        <v>214</v>
      </c>
      <c r="F303" s="18" t="s">
        <v>77</v>
      </c>
      <c r="G303" s="26">
        <v>727</v>
      </c>
      <c r="H303" s="22">
        <v>86007</v>
      </c>
      <c r="I303" s="27">
        <f>IF(COUNTIFS('Taux'!$A$6:$A$20,A303,'Taux'!$B$6:$B$20,D303)=1,SUMIFS('Taux'!$D$6:$D$20,'Taux'!$A$6:$A$20,A303,'Taux'!$B$6:$B$20,D303),"n.d.")</f>
        <v>0.85443381</v>
      </c>
      <c r="J303" s="22">
        <f>IF(COUNT(H303,I303)=2,H303/I303,"n.d.")</f>
        <v>100659.64032954174</v>
      </c>
    </row>
    <row r="304" spans="1:11" ht="19" customHeight="1">
      <c r="A304" s="18" t="s">
        <v>5</v>
      </c>
      <c r="B304" s="18" t="s">
        <v>13</v>
      </c>
      <c r="C304" s="18" t="s">
        <v>13</v>
      </c>
      <c r="D304" s="18" t="s">
        <v>181</v>
      </c>
      <c r="E304" s="18" t="s">
        <v>214</v>
      </c>
      <c r="F304" s="18" t="s">
        <v>78</v>
      </c>
      <c r="G304" s="26">
        <v>1294</v>
      </c>
      <c r="H304" s="22">
        <v>114129</v>
      </c>
      <c r="I304" s="27">
        <f>IF(COUNTIFS('Taux'!$A$6:$A$20,A304,'Taux'!$B$6:$B$20,D304)=1,SUMIFS('Taux'!$D$6:$D$20,'Taux'!$A$6:$A$20,A304,'Taux'!$B$6:$B$20,D304),"n.d.")</f>
        <v>0.85443381</v>
      </c>
      <c r="J304" s="22">
        <f>IF(COUNT(H304,I304)=2,H304/I304,"n.d.")</f>
        <v>133572.66375027926</v>
      </c>
    </row>
    <row r="305" spans="1:11" ht="19" customHeight="1">
      <c r="A305" s="18" t="s">
        <v>5</v>
      </c>
      <c r="B305" s="18" t="s">
        <v>13</v>
      </c>
      <c r="C305" s="18" t="s">
        <v>13</v>
      </c>
      <c r="D305" s="18" t="s">
        <v>181</v>
      </c>
      <c r="E305" s="18" t="s">
        <v>214</v>
      </c>
      <c r="F305" s="18" t="s">
        <v>79</v>
      </c>
      <c r="G305" s="26">
        <v>3922</v>
      </c>
      <c r="H305" s="22">
        <v>206890</v>
      </c>
      <c r="I305" s="27">
        <f>IF(COUNTIFS('Taux'!$A$6:$A$20,A305,'Taux'!$B$6:$B$20,D305)=1,SUMIFS('Taux'!$D$6:$D$20,'Taux'!$A$6:$A$20,A305,'Taux'!$B$6:$B$20,D305),"n.d.")</f>
        <v>0.85443381</v>
      </c>
      <c r="J305" s="22">
        <f>IF(COUNT(H305,I305)=2,H305/I305,"n.d.")</f>
        <v>242136.95382676864</v>
      </c>
    </row>
    <row r="306" spans="1:11" ht="19" customHeight="1">
      <c r="A306" s="18" t="s">
        <v>5</v>
      </c>
      <c r="B306" s="18" t="s">
        <v>13</v>
      </c>
      <c r="C306" s="18" t="s">
        <v>13</v>
      </c>
      <c r="D306" s="18" t="s">
        <v>181</v>
      </c>
      <c r="E306" s="18" t="s">
        <v>214</v>
      </c>
      <c r="F306" s="18" t="s">
        <v>80</v>
      </c>
      <c r="G306" s="26">
        <v>10013</v>
      </c>
      <c r="H306" s="22">
        <v>760202</v>
      </c>
      <c r="I306" s="27">
        <f>IF(COUNTIFS('Taux'!$A$6:$A$20,A306,'Taux'!$B$6:$B$20,D306)=1,SUMIFS('Taux'!$D$6:$D$20,'Taux'!$A$6:$A$20,A306,'Taux'!$B$6:$B$20,D306),"n.d.")</f>
        <v>0.85443381</v>
      </c>
      <c r="J306" s="22">
        <f>IF(COUNT(H306,I306)=2,H306/I306,"n.d.")</f>
        <v>889714.3243898554</v>
      </c>
    </row>
    <row r="307" spans="1:11" ht="19" customHeight="1">
      <c r="A307" s="18" t="s">
        <v>5</v>
      </c>
      <c r="B307" s="18" t="s">
        <v>13</v>
      </c>
      <c r="C307" s="18" t="s">
        <v>13</v>
      </c>
      <c r="D307" s="18" t="s">
        <v>181</v>
      </c>
      <c r="E307" s="18" t="s">
        <v>214</v>
      </c>
      <c r="F307" s="18" t="s">
        <v>50</v>
      </c>
      <c r="G307" s="26">
        <v>16652</v>
      </c>
      <c r="H307" s="22">
        <v>626503</v>
      </c>
      <c r="I307" s="27">
        <f>IF(COUNTIFS('Taux'!$A$6:$A$20,A307,'Taux'!$B$6:$B$20,D307)=1,SUMIFS('Taux'!$D$6:$D$20,'Taux'!$A$6:$A$20,A307,'Taux'!$B$6:$B$20,D307),"n.d.")</f>
        <v>0.85443381</v>
      </c>
      <c r="J307" s="22">
        <f>IF(COUNT(H307,I307)=2,H307/I307,"n.d.")</f>
        <v>733237.6044435789</v>
      </c>
    </row>
    <row r="308" spans="1:11" ht="19" customHeight="1">
      <c r="A308" s="18" t="s">
        <v>5</v>
      </c>
      <c r="B308" s="18" t="s">
        <v>13</v>
      </c>
      <c r="C308" s="18" t="s">
        <v>13</v>
      </c>
      <c r="D308" s="18" t="s">
        <v>181</v>
      </c>
      <c r="E308" s="18" t="s">
        <v>214</v>
      </c>
      <c r="F308" s="18" t="s">
        <v>51</v>
      </c>
      <c r="G308" s="26">
        <v>17246</v>
      </c>
      <c r="H308" s="22">
        <v>854768</v>
      </c>
      <c r="I308" s="27">
        <f>IF(COUNTIFS('Taux'!$A$6:$A$20,A308,'Taux'!$B$6:$B$20,D308)=1,SUMIFS('Taux'!$D$6:$D$20,'Taux'!$A$6:$A$20,A308,'Taux'!$B$6:$B$20,D308),"n.d.")</f>
        <v>0.85443381</v>
      </c>
      <c r="J308" s="22">
        <f>IF(COUNT(H308,I308)=2,H308/I308,"n.d.")</f>
        <v>1000391.1245038396</v>
      </c>
    </row>
    <row r="309" spans="1:11" ht="19" customHeight="1">
      <c r="A309" s="18" t="s">
        <v>5</v>
      </c>
      <c r="B309" s="18" t="s">
        <v>187</v>
      </c>
      <c r="C309" s="18" t="s">
        <v>17</v>
      </c>
      <c r="D309" s="18" t="s">
        <v>188</v>
      </c>
      <c r="E309" s="18" t="s">
        <v>229</v>
      </c>
      <c r="F309" s="18" t="s">
        <v>120</v>
      </c>
      <c r="G309" s="26">
        <v>33</v>
      </c>
      <c r="H309" s="22">
        <v>85.11000000000001</v>
      </c>
      <c r="I309" s="27">
        <f>IF(COUNTIFS('Taux'!$A$6:$A$20,A309,'Taux'!$B$6:$B$20,D309)=1,SUMIFS('Taux'!$D$6:$D$20,'Taux'!$A$6:$A$20,A309,'Taux'!$B$6:$B$20,D309),"n.d.")</f>
        <v>7.47595715</v>
      </c>
      <c r="J309" s="22">
        <f>IF(COUNT(H309,I309)=2,H309/I309,"n.d.")</f>
        <v>11.384495428789345</v>
      </c>
    </row>
    <row r="310" spans="1:11" ht="19" customHeight="1">
      <c r="A310" s="18" t="s">
        <v>5</v>
      </c>
      <c r="B310" s="18" t="s">
        <v>187</v>
      </c>
      <c r="C310" s="18" t="s">
        <v>17</v>
      </c>
      <c r="D310" s="18" t="s">
        <v>188</v>
      </c>
      <c r="E310" s="18" t="s">
        <v>229</v>
      </c>
      <c r="F310" s="18" t="s">
        <v>121</v>
      </c>
      <c r="G310" s="26">
        <v>46</v>
      </c>
      <c r="H310" s="22">
        <v>1732.46</v>
      </c>
      <c r="I310" s="27">
        <f>IF(COUNTIFS('Taux'!$A$6:$A$20,A310,'Taux'!$B$6:$B$20,D310)=1,SUMIFS('Taux'!$D$6:$D$20,'Taux'!$A$6:$A$20,A310,'Taux'!$B$6:$B$20,D310),"n.d.")</f>
        <v>7.47595715</v>
      </c>
      <c r="J310" s="22">
        <f>IF(COUNT(H310,I310)=2,H310/I310,"n.d.")</f>
        <v>231.73755082317456</v>
      </c>
    </row>
    <row r="311" spans="1:11" ht="19" customHeight="1">
      <c r="A311" s="18" t="s">
        <v>5</v>
      </c>
      <c r="B311" s="18" t="s">
        <v>187</v>
      </c>
      <c r="C311" s="18" t="s">
        <v>17</v>
      </c>
      <c r="D311" s="18" t="s">
        <v>188</v>
      </c>
      <c r="E311" s="18" t="s">
        <v>229</v>
      </c>
      <c r="F311" s="18" t="s">
        <v>122</v>
      </c>
      <c r="G311" s="26">
        <v>45</v>
      </c>
      <c r="H311" s="22">
        <v>10677.66</v>
      </c>
      <c r="I311" s="27">
        <f>IF(COUNTIFS('Taux'!$A$6:$A$20,A311,'Taux'!$B$6:$B$20,D311)=1,SUMIFS('Taux'!$D$6:$D$20,'Taux'!$A$6:$A$20,A311,'Taux'!$B$6:$B$20,D311),"n.d.")</f>
        <v>7.47595715</v>
      </c>
      <c r="J311" s="22">
        <f>IF(COUNT(H311,I311)=2,H311/I311,"n.d.")</f>
        <v>1428.2666133258933</v>
      </c>
    </row>
    <row r="312" spans="1:11" ht="19" customHeight="1">
      <c r="A312" s="18" t="s">
        <v>5</v>
      </c>
      <c r="B312" s="18" t="s">
        <v>187</v>
      </c>
      <c r="C312" s="18" t="s">
        <v>17</v>
      </c>
      <c r="D312" s="18" t="s">
        <v>188</v>
      </c>
      <c r="E312" s="18" t="s">
        <v>229</v>
      </c>
      <c r="F312" s="18" t="s">
        <v>123</v>
      </c>
      <c r="G312" s="26">
        <v>4</v>
      </c>
      <c r="H312" s="22">
        <v>3671.48</v>
      </c>
      <c r="I312" s="27">
        <f>IF(COUNTIFS('Taux'!$A$6:$A$20,A312,'Taux'!$B$6:$B$20,D312)=1,SUMIFS('Taux'!$D$6:$D$20,'Taux'!$A$6:$A$20,A312,'Taux'!$B$6:$B$20,D312),"n.d.")</f>
        <v>7.47595715</v>
      </c>
      <c r="J312" s="22">
        <f>IF(COUNT(H312,I312)=2,H312/I312,"n.d.")</f>
        <v>491.1050085406121</v>
      </c>
    </row>
    <row r="313" spans="1:11" ht="19" customHeight="1">
      <c r="A313" s="18" t="s">
        <v>5</v>
      </c>
      <c r="B313" s="18" t="s">
        <v>187</v>
      </c>
      <c r="C313" s="18" t="s">
        <v>17</v>
      </c>
      <c r="D313" s="18" t="s">
        <v>188</v>
      </c>
      <c r="E313" s="18" t="s">
        <v>229</v>
      </c>
      <c r="F313" s="18" t="s">
        <v>124</v>
      </c>
      <c r="G313" s="26">
        <v>0</v>
      </c>
      <c r="H313" s="22">
        <v>0</v>
      </c>
      <c r="I313" s="27">
        <f>IF(COUNTIFS('Taux'!$A$6:$A$20,A313,'Taux'!$B$6:$B$20,D313)=1,SUMIFS('Taux'!$D$6:$D$20,'Taux'!$A$6:$A$20,A313,'Taux'!$B$6:$B$20,D313),"n.d.")</f>
        <v>7.47595715</v>
      </c>
      <c r="J313" s="22">
        <f>IF(COUNT(H313,I313)=2,H313/I313,"n.d.")</f>
        <v>0.0</v>
      </c>
    </row>
    <row r="314" spans="1:11" ht="19" customHeight="1">
      <c r="A314" s="18" t="s">
        <v>5</v>
      </c>
      <c r="B314" s="18" t="s">
        <v>187</v>
      </c>
      <c r="C314" s="18" t="s">
        <v>17</v>
      </c>
      <c r="D314" s="18" t="s">
        <v>188</v>
      </c>
      <c r="E314" s="18" t="s">
        <v>214</v>
      </c>
      <c r="F314" s="18" t="s">
        <v>73</v>
      </c>
      <c r="G314" s="26">
        <v>0</v>
      </c>
      <c r="H314" s="22">
        <v>0</v>
      </c>
      <c r="I314" s="27">
        <f>IF(COUNTIFS('Taux'!$A$6:$A$20,A314,'Taux'!$B$6:$B$20,D314)=1,SUMIFS('Taux'!$D$6:$D$20,'Taux'!$A$6:$A$20,A314,'Taux'!$B$6:$B$20,D314),"n.d.")</f>
        <v>7.47595715</v>
      </c>
      <c r="J314" s="22">
        <f>IF(COUNT(H314,I314)=2,H314/I314,"n.d.")</f>
        <v>0.0</v>
      </c>
    </row>
    <row r="315" spans="1:11" ht="19" customHeight="1">
      <c r="A315" s="18" t="s">
        <v>5</v>
      </c>
      <c r="B315" s="18" t="s">
        <v>187</v>
      </c>
      <c r="C315" s="18" t="s">
        <v>17</v>
      </c>
      <c r="D315" s="18" t="s">
        <v>188</v>
      </c>
      <c r="E315" s="18" t="s">
        <v>214</v>
      </c>
      <c r="F315" s="18" t="s">
        <v>74</v>
      </c>
      <c r="G315" s="26">
        <v>0</v>
      </c>
      <c r="H315" s="22">
        <v>0</v>
      </c>
      <c r="I315" s="27">
        <f>IF(COUNTIFS('Taux'!$A$6:$A$20,A315,'Taux'!$B$6:$B$20,D315)=1,SUMIFS('Taux'!$D$6:$D$20,'Taux'!$A$6:$A$20,A315,'Taux'!$B$6:$B$20,D315),"n.d.")</f>
        <v>7.47595715</v>
      </c>
      <c r="J315" s="22">
        <f>IF(COUNT(H315,I315)=2,H315/I315,"n.d.")</f>
        <v>0.0</v>
      </c>
    </row>
    <row r="316" spans="1:11" ht="19" customHeight="1">
      <c r="A316" s="18" t="s">
        <v>5</v>
      </c>
      <c r="B316" s="18" t="s">
        <v>187</v>
      </c>
      <c r="C316" s="18" t="s">
        <v>17</v>
      </c>
      <c r="D316" s="18" t="s">
        <v>188</v>
      </c>
      <c r="E316" s="18" t="s">
        <v>214</v>
      </c>
      <c r="F316" s="18" t="s">
        <v>75</v>
      </c>
      <c r="G316" s="26">
        <v>0</v>
      </c>
      <c r="H316" s="22">
        <v>0</v>
      </c>
      <c r="I316" s="27">
        <f>IF(COUNTIFS('Taux'!$A$6:$A$20,A316,'Taux'!$B$6:$B$20,D316)=1,SUMIFS('Taux'!$D$6:$D$20,'Taux'!$A$6:$A$20,A316,'Taux'!$B$6:$B$20,D316),"n.d.")</f>
        <v>7.47595715</v>
      </c>
      <c r="J316" s="22">
        <f>IF(COUNT(H316,I316)=2,H316/I316,"n.d.")</f>
        <v>0.0</v>
      </c>
    </row>
    <row r="317" spans="1:11" ht="19" customHeight="1">
      <c r="A317" s="18" t="s">
        <v>5</v>
      </c>
      <c r="B317" s="18" t="s">
        <v>187</v>
      </c>
      <c r="C317" s="18" t="s">
        <v>17</v>
      </c>
      <c r="D317" s="18" t="s">
        <v>188</v>
      </c>
      <c r="E317" s="18" t="s">
        <v>214</v>
      </c>
      <c r="F317" s="18" t="s">
        <v>76</v>
      </c>
      <c r="G317" s="26">
        <v>0</v>
      </c>
      <c r="H317" s="22">
        <v>0</v>
      </c>
      <c r="I317" s="27">
        <f>IF(COUNTIFS('Taux'!$A$6:$A$20,A317,'Taux'!$B$6:$B$20,D317)=1,SUMIFS('Taux'!$D$6:$D$20,'Taux'!$A$6:$A$20,A317,'Taux'!$B$6:$B$20,D317),"n.d.")</f>
        <v>7.47595715</v>
      </c>
      <c r="J317" s="22">
        <f>IF(COUNT(H317,I317)=2,H317/I317,"n.d.")</f>
        <v>0.0</v>
      </c>
    </row>
    <row r="318" spans="1:11" ht="19" customHeight="1">
      <c r="A318" s="18" t="s">
        <v>5</v>
      </c>
      <c r="B318" s="18" t="s">
        <v>187</v>
      </c>
      <c r="C318" s="18" t="s">
        <v>17</v>
      </c>
      <c r="D318" s="18" t="s">
        <v>188</v>
      </c>
      <c r="E318" s="18" t="s">
        <v>214</v>
      </c>
      <c r="F318" s="18" t="s">
        <v>77</v>
      </c>
      <c r="G318" s="26">
        <v>0</v>
      </c>
      <c r="H318" s="22">
        <v>0</v>
      </c>
      <c r="I318" s="27">
        <f>IF(COUNTIFS('Taux'!$A$6:$A$20,A318,'Taux'!$B$6:$B$20,D318)=1,SUMIFS('Taux'!$D$6:$D$20,'Taux'!$A$6:$A$20,A318,'Taux'!$B$6:$B$20,D318),"n.d.")</f>
        <v>7.47595715</v>
      </c>
      <c r="J318" s="22">
        <f>IF(COUNT(H318,I318)=2,H318/I318,"n.d.")</f>
        <v>0.0</v>
      </c>
    </row>
    <row r="319" spans="1:11" ht="19" customHeight="1">
      <c r="A319" s="18" t="s">
        <v>5</v>
      </c>
      <c r="B319" s="18" t="s">
        <v>187</v>
      </c>
      <c r="C319" s="18" t="s">
        <v>17</v>
      </c>
      <c r="D319" s="18" t="s">
        <v>188</v>
      </c>
      <c r="E319" s="18" t="s">
        <v>214</v>
      </c>
      <c r="F319" s="18" t="s">
        <v>78</v>
      </c>
      <c r="G319" s="26">
        <v>0</v>
      </c>
      <c r="H319" s="22">
        <v>0</v>
      </c>
      <c r="I319" s="27">
        <f>IF(COUNTIFS('Taux'!$A$6:$A$20,A319,'Taux'!$B$6:$B$20,D319)=1,SUMIFS('Taux'!$D$6:$D$20,'Taux'!$A$6:$A$20,A319,'Taux'!$B$6:$B$20,D319),"n.d.")</f>
        <v>7.47595715</v>
      </c>
      <c r="J319" s="22">
        <f>IF(COUNT(H319,I319)=2,H319/I319,"n.d.")</f>
        <v>0.0</v>
      </c>
    </row>
    <row r="320" spans="1:11" ht="19" customHeight="1">
      <c r="A320" s="18" t="s">
        <v>5</v>
      </c>
      <c r="B320" s="18" t="s">
        <v>187</v>
      </c>
      <c r="C320" s="18" t="s">
        <v>17</v>
      </c>
      <c r="D320" s="18" t="s">
        <v>188</v>
      </c>
      <c r="E320" s="18" t="s">
        <v>214</v>
      </c>
      <c r="F320" s="18" t="s">
        <v>79</v>
      </c>
      <c r="G320" s="26">
        <v>0</v>
      </c>
      <c r="H320" s="22">
        <v>0</v>
      </c>
      <c r="I320" s="27">
        <f>IF(COUNTIFS('Taux'!$A$6:$A$20,A320,'Taux'!$B$6:$B$20,D320)=1,SUMIFS('Taux'!$D$6:$D$20,'Taux'!$A$6:$A$20,A320,'Taux'!$B$6:$B$20,D320),"n.d.")</f>
        <v>7.47595715</v>
      </c>
      <c r="J320" s="22">
        <f>IF(COUNT(H320,I320)=2,H320/I320,"n.d.")</f>
        <v>0.0</v>
      </c>
    </row>
    <row r="321" spans="1:11" ht="19" customHeight="1">
      <c r="A321" s="18" t="s">
        <v>5</v>
      </c>
      <c r="B321" s="18" t="s">
        <v>187</v>
      </c>
      <c r="C321" s="18" t="s">
        <v>17</v>
      </c>
      <c r="D321" s="18" t="s">
        <v>188</v>
      </c>
      <c r="E321" s="18" t="s">
        <v>214</v>
      </c>
      <c r="F321" s="18" t="s">
        <v>80</v>
      </c>
      <c r="G321" s="26">
        <v>0</v>
      </c>
      <c r="H321" s="22">
        <v>0</v>
      </c>
      <c r="I321" s="27">
        <f>IF(COUNTIFS('Taux'!$A$6:$A$20,A321,'Taux'!$B$6:$B$20,D321)=1,SUMIFS('Taux'!$D$6:$D$20,'Taux'!$A$6:$A$20,A321,'Taux'!$B$6:$B$20,D321),"n.d.")</f>
        <v>7.47595715</v>
      </c>
      <c r="J321" s="22">
        <f>IF(COUNT(H321,I321)=2,H321/I321,"n.d.")</f>
        <v>0.0</v>
      </c>
    </row>
    <row r="322" spans="1:11" ht="19" customHeight="1">
      <c r="A322" s="18" t="s">
        <v>5</v>
      </c>
      <c r="B322" s="18" t="s">
        <v>187</v>
      </c>
      <c r="C322" s="18" t="s">
        <v>17</v>
      </c>
      <c r="D322" s="18" t="s">
        <v>188</v>
      </c>
      <c r="E322" s="18" t="s">
        <v>214</v>
      </c>
      <c r="F322" s="18" t="s">
        <v>50</v>
      </c>
      <c r="G322" s="26">
        <v>0</v>
      </c>
      <c r="H322" s="22">
        <v>0</v>
      </c>
      <c r="I322" s="27">
        <f>IF(COUNTIFS('Taux'!$A$6:$A$20,A322,'Taux'!$B$6:$B$20,D322)=1,SUMIFS('Taux'!$D$6:$D$20,'Taux'!$A$6:$A$20,A322,'Taux'!$B$6:$B$20,D322),"n.d.")</f>
        <v>7.47595715</v>
      </c>
      <c r="J322" s="22">
        <f>IF(COUNT(H322,I322)=2,H322/I322,"n.d.")</f>
        <v>0.0</v>
      </c>
    </row>
    <row r="323" spans="1:11" ht="19" customHeight="1">
      <c r="A323" s="18" t="s">
        <v>5</v>
      </c>
      <c r="B323" s="18" t="s">
        <v>187</v>
      </c>
      <c r="C323" s="18" t="s">
        <v>17</v>
      </c>
      <c r="D323" s="18" t="s">
        <v>188</v>
      </c>
      <c r="E323" s="18" t="s">
        <v>214</v>
      </c>
      <c r="F323" s="18" t="s">
        <v>51</v>
      </c>
      <c r="G323" s="26">
        <v>128</v>
      </c>
      <c r="H323" s="22">
        <v>16166.71</v>
      </c>
      <c r="I323" s="27">
        <f>IF(COUNTIFS('Taux'!$A$6:$A$20,A323,'Taux'!$B$6:$B$20,D323)=1,SUMIFS('Taux'!$D$6:$D$20,'Taux'!$A$6:$A$20,A323,'Taux'!$B$6:$B$20,D323),"n.d.")</f>
        <v>7.47595715</v>
      </c>
      <c r="J323" s="22">
        <f>IF(COUNT(H323,I323)=2,H323/I323,"n.d.")</f>
        <v>2162.493668118469</v>
      </c>
    </row>
    <row r="324" spans="1:11" ht="19" customHeight="1">
      <c r="A324" s="18" t="s">
        <v>5</v>
      </c>
      <c r="B324" s="18" t="s">
        <v>189</v>
      </c>
      <c r="C324" s="18" t="s">
        <v>18</v>
      </c>
      <c r="D324" s="18" t="s">
        <v>190</v>
      </c>
      <c r="E324" s="18" t="s">
        <v>229</v>
      </c>
      <c r="F324" s="18" t="s">
        <v>129</v>
      </c>
      <c r="G324" s="26">
        <v>61</v>
      </c>
      <c r="H324" s="22">
        <v>276.7200000000001</v>
      </c>
      <c r="I324" s="27">
        <f>IF(COUNTIFS('Taux'!$A$6:$A$20,A324,'Taux'!$B$6:$B$20,D324)=1,SUMIFS('Taux'!$D$6:$D$20,'Taux'!$A$6:$A$20,A324,'Taux'!$B$6:$B$20,D324),"n.d.")</f>
        <v>10.90384939</v>
      </c>
      <c r="J324" s="22">
        <f>IF(COUNT(H324,I324)=2,H324/I324,"n.d.")</f>
        <v>25.378193526203884</v>
      </c>
    </row>
    <row r="325" spans="1:11" ht="19" customHeight="1">
      <c r="A325" s="18" t="s">
        <v>5</v>
      </c>
      <c r="B325" s="18" t="s">
        <v>189</v>
      </c>
      <c r="C325" s="18" t="s">
        <v>18</v>
      </c>
      <c r="D325" s="18" t="s">
        <v>190</v>
      </c>
      <c r="E325" s="18" t="s">
        <v>229</v>
      </c>
      <c r="F325" s="18" t="s">
        <v>130</v>
      </c>
      <c r="G325" s="26">
        <v>33</v>
      </c>
      <c r="H325" s="22">
        <v>1069.52</v>
      </c>
      <c r="I325" s="27">
        <f>IF(COUNTIFS('Taux'!$A$6:$A$20,A325,'Taux'!$B$6:$B$20,D325)=1,SUMIFS('Taux'!$D$6:$D$20,'Taux'!$A$6:$A$20,A325,'Taux'!$B$6:$B$20,D325),"n.d.")</f>
        <v>10.90384939</v>
      </c>
      <c r="J325" s="22">
        <f>IF(COUNT(H325,I325)=2,H325/I325,"n.d.")</f>
        <v>98.08646118873074</v>
      </c>
    </row>
    <row r="326" spans="1:11" ht="19" customHeight="1">
      <c r="A326" s="18" t="s">
        <v>5</v>
      </c>
      <c r="B326" s="18" t="s">
        <v>189</v>
      </c>
      <c r="C326" s="18" t="s">
        <v>18</v>
      </c>
      <c r="D326" s="18" t="s">
        <v>190</v>
      </c>
      <c r="E326" s="18" t="s">
        <v>229</v>
      </c>
      <c r="F326" s="18" t="s">
        <v>131</v>
      </c>
      <c r="G326" s="26">
        <v>16</v>
      </c>
      <c r="H326" s="22">
        <v>6367.809999999999</v>
      </c>
      <c r="I326" s="27">
        <f>IF(COUNTIFS('Taux'!$A$6:$A$20,A326,'Taux'!$B$6:$B$20,D326)=1,SUMIFS('Taux'!$D$6:$D$20,'Taux'!$A$6:$A$20,A326,'Taux'!$B$6:$B$20,D326),"n.d.")</f>
        <v>10.90384939</v>
      </c>
      <c r="J326" s="22">
        <f>IF(COUNT(H326,I326)=2,H326/I326,"n.d.")</f>
        <v>583.9965109789543</v>
      </c>
    </row>
    <row r="327" spans="1:11" ht="19" customHeight="1">
      <c r="A327" s="18" t="s">
        <v>5</v>
      </c>
      <c r="B327" s="18" t="s">
        <v>189</v>
      </c>
      <c r="C327" s="18" t="s">
        <v>18</v>
      </c>
      <c r="D327" s="18" t="s">
        <v>190</v>
      </c>
      <c r="E327" s="18" t="s">
        <v>229</v>
      </c>
      <c r="F327" s="18" t="s">
        <v>132</v>
      </c>
      <c r="G327" s="26">
        <v>6</v>
      </c>
      <c r="H327" s="22">
        <v>14370.04</v>
      </c>
      <c r="I327" s="27">
        <f>IF(COUNTIFS('Taux'!$A$6:$A$20,A327,'Taux'!$B$6:$B$20,D327)=1,SUMIFS('Taux'!$D$6:$D$20,'Taux'!$A$6:$A$20,A327,'Taux'!$B$6:$B$20,D327),"n.d.")</f>
        <v>10.90384939</v>
      </c>
      <c r="J327" s="22">
        <f>IF(COUNT(H327,I327)=2,H327/I327,"n.d.")</f>
        <v>1317.8868751781247</v>
      </c>
    </row>
    <row r="328" spans="1:11" ht="19" customHeight="1">
      <c r="A328" s="18" t="s">
        <v>5</v>
      </c>
      <c r="B328" s="18" t="s">
        <v>189</v>
      </c>
      <c r="C328" s="18" t="s">
        <v>18</v>
      </c>
      <c r="D328" s="18" t="s">
        <v>190</v>
      </c>
      <c r="E328" s="18" t="s">
        <v>229</v>
      </c>
      <c r="F328" s="18" t="s">
        <v>133</v>
      </c>
      <c r="G328" s="26">
        <v>0</v>
      </c>
      <c r="H328" s="22">
        <v>0</v>
      </c>
      <c r="I328" s="27">
        <f>IF(COUNTIFS('Taux'!$A$6:$A$20,A328,'Taux'!$B$6:$B$20,D328)=1,SUMIFS('Taux'!$D$6:$D$20,'Taux'!$A$6:$A$20,A328,'Taux'!$B$6:$B$20,D328),"n.d.")</f>
        <v>10.90384939</v>
      </c>
      <c r="J328" s="22">
        <f>IF(COUNT(H328,I328)=2,H328/I328,"n.d.")</f>
        <v>0.0</v>
      </c>
    </row>
    <row r="329" spans="1:11" ht="19" customHeight="1">
      <c r="A329" s="18" t="s">
        <v>5</v>
      </c>
      <c r="B329" s="18" t="s">
        <v>189</v>
      </c>
      <c r="C329" s="18" t="s">
        <v>18</v>
      </c>
      <c r="D329" s="18" t="s">
        <v>190</v>
      </c>
      <c r="E329" s="18" t="s">
        <v>214</v>
      </c>
      <c r="F329" s="18" t="s">
        <v>73</v>
      </c>
      <c r="G329" s="26">
        <v>0</v>
      </c>
      <c r="H329" s="22">
        <v>0</v>
      </c>
      <c r="I329" s="27">
        <f>IF(COUNTIFS('Taux'!$A$6:$A$20,A329,'Taux'!$B$6:$B$20,D329)=1,SUMIFS('Taux'!$D$6:$D$20,'Taux'!$A$6:$A$20,A329,'Taux'!$B$6:$B$20,D329),"n.d.")</f>
        <v>10.90384939</v>
      </c>
      <c r="J329" s="22">
        <f>IF(COUNT(H329,I329)=2,H329/I329,"n.d.")</f>
        <v>0.0</v>
      </c>
    </row>
    <row r="330" spans="1:11" ht="19" customHeight="1">
      <c r="A330" s="18" t="s">
        <v>5</v>
      </c>
      <c r="B330" s="18" t="s">
        <v>189</v>
      </c>
      <c r="C330" s="18" t="s">
        <v>18</v>
      </c>
      <c r="D330" s="18" t="s">
        <v>190</v>
      </c>
      <c r="E330" s="18" t="s">
        <v>214</v>
      </c>
      <c r="F330" s="18" t="s">
        <v>74</v>
      </c>
      <c r="G330" s="26">
        <v>0</v>
      </c>
      <c r="H330" s="22">
        <v>0</v>
      </c>
      <c r="I330" s="27">
        <f>IF(COUNTIFS('Taux'!$A$6:$A$20,A330,'Taux'!$B$6:$B$20,D330)=1,SUMIFS('Taux'!$D$6:$D$20,'Taux'!$A$6:$A$20,A330,'Taux'!$B$6:$B$20,D330),"n.d.")</f>
        <v>10.90384939</v>
      </c>
      <c r="J330" s="22">
        <f>IF(COUNT(H330,I330)=2,H330/I330,"n.d.")</f>
        <v>0.0</v>
      </c>
    </row>
    <row r="331" spans="1:11" ht="19" customHeight="1">
      <c r="A331" s="18" t="s">
        <v>5</v>
      </c>
      <c r="B331" s="18" t="s">
        <v>189</v>
      </c>
      <c r="C331" s="18" t="s">
        <v>18</v>
      </c>
      <c r="D331" s="18" t="s">
        <v>190</v>
      </c>
      <c r="E331" s="18" t="s">
        <v>214</v>
      </c>
      <c r="F331" s="18" t="s">
        <v>75</v>
      </c>
      <c r="G331" s="26">
        <v>0</v>
      </c>
      <c r="H331" s="22">
        <v>0</v>
      </c>
      <c r="I331" s="27">
        <f>IF(COUNTIFS('Taux'!$A$6:$A$20,A331,'Taux'!$B$6:$B$20,D331)=1,SUMIFS('Taux'!$D$6:$D$20,'Taux'!$A$6:$A$20,A331,'Taux'!$B$6:$B$20,D331),"n.d.")</f>
        <v>10.90384939</v>
      </c>
      <c r="J331" s="22">
        <f>IF(COUNT(H331,I331)=2,H331/I331,"n.d.")</f>
        <v>0.0</v>
      </c>
    </row>
    <row r="332" spans="1:11" ht="19" customHeight="1">
      <c r="A332" s="18" t="s">
        <v>5</v>
      </c>
      <c r="B332" s="18" t="s">
        <v>189</v>
      </c>
      <c r="C332" s="18" t="s">
        <v>18</v>
      </c>
      <c r="D332" s="18" t="s">
        <v>190</v>
      </c>
      <c r="E332" s="18" t="s">
        <v>214</v>
      </c>
      <c r="F332" s="18" t="s">
        <v>76</v>
      </c>
      <c r="G332" s="26">
        <v>0</v>
      </c>
      <c r="H332" s="22">
        <v>0</v>
      </c>
      <c r="I332" s="27">
        <f>IF(COUNTIFS('Taux'!$A$6:$A$20,A332,'Taux'!$B$6:$B$20,D332)=1,SUMIFS('Taux'!$D$6:$D$20,'Taux'!$A$6:$A$20,A332,'Taux'!$B$6:$B$20,D332),"n.d.")</f>
        <v>10.90384939</v>
      </c>
      <c r="J332" s="22">
        <f>IF(COUNT(H332,I332)=2,H332/I332,"n.d.")</f>
        <v>0.0</v>
      </c>
    </row>
    <row r="333" spans="1:11" ht="19" customHeight="1">
      <c r="A333" s="18" t="s">
        <v>5</v>
      </c>
      <c r="B333" s="18" t="s">
        <v>189</v>
      </c>
      <c r="C333" s="18" t="s">
        <v>18</v>
      </c>
      <c r="D333" s="18" t="s">
        <v>190</v>
      </c>
      <c r="E333" s="18" t="s">
        <v>214</v>
      </c>
      <c r="F333" s="18" t="s">
        <v>77</v>
      </c>
      <c r="G333" s="26">
        <v>0</v>
      </c>
      <c r="H333" s="22">
        <v>0</v>
      </c>
      <c r="I333" s="27">
        <f>IF(COUNTIFS('Taux'!$A$6:$A$20,A333,'Taux'!$B$6:$B$20,D333)=1,SUMIFS('Taux'!$D$6:$D$20,'Taux'!$A$6:$A$20,A333,'Taux'!$B$6:$B$20,D333),"n.d.")</f>
        <v>10.90384939</v>
      </c>
      <c r="J333" s="22">
        <f>IF(COUNT(H333,I333)=2,H333/I333,"n.d.")</f>
        <v>0.0</v>
      </c>
    </row>
    <row r="334" spans="1:11" ht="19" customHeight="1">
      <c r="A334" s="18" t="s">
        <v>5</v>
      </c>
      <c r="B334" s="18" t="s">
        <v>189</v>
      </c>
      <c r="C334" s="18" t="s">
        <v>18</v>
      </c>
      <c r="D334" s="18" t="s">
        <v>190</v>
      </c>
      <c r="E334" s="18" t="s">
        <v>214</v>
      </c>
      <c r="F334" s="18" t="s">
        <v>78</v>
      </c>
      <c r="G334" s="26">
        <v>0</v>
      </c>
      <c r="H334" s="22">
        <v>0</v>
      </c>
      <c r="I334" s="27">
        <f>IF(COUNTIFS('Taux'!$A$6:$A$20,A334,'Taux'!$B$6:$B$20,D334)=1,SUMIFS('Taux'!$D$6:$D$20,'Taux'!$A$6:$A$20,A334,'Taux'!$B$6:$B$20,D334),"n.d.")</f>
        <v>10.90384939</v>
      </c>
      <c r="J334" s="22">
        <f>IF(COUNT(H334,I334)=2,H334/I334,"n.d.")</f>
        <v>0.0</v>
      </c>
    </row>
    <row r="335" spans="1:11" ht="19" customHeight="1">
      <c r="A335" s="18" t="s">
        <v>5</v>
      </c>
      <c r="B335" s="18" t="s">
        <v>189</v>
      </c>
      <c r="C335" s="18" t="s">
        <v>18</v>
      </c>
      <c r="D335" s="18" t="s">
        <v>190</v>
      </c>
      <c r="E335" s="18" t="s">
        <v>214</v>
      </c>
      <c r="F335" s="18" t="s">
        <v>79</v>
      </c>
      <c r="G335" s="26">
        <v>0</v>
      </c>
      <c r="H335" s="22">
        <v>0</v>
      </c>
      <c r="I335" s="27">
        <f>IF(COUNTIFS('Taux'!$A$6:$A$20,A335,'Taux'!$B$6:$B$20,D335)=1,SUMIFS('Taux'!$D$6:$D$20,'Taux'!$A$6:$A$20,A335,'Taux'!$B$6:$B$20,D335),"n.d.")</f>
        <v>10.90384939</v>
      </c>
      <c r="J335" s="22">
        <f>IF(COUNT(H335,I335)=2,H335/I335,"n.d.")</f>
        <v>0.0</v>
      </c>
    </row>
    <row r="336" spans="1:11" ht="19" customHeight="1">
      <c r="A336" s="18" t="s">
        <v>5</v>
      </c>
      <c r="B336" s="18" t="s">
        <v>189</v>
      </c>
      <c r="C336" s="18" t="s">
        <v>18</v>
      </c>
      <c r="D336" s="18" t="s">
        <v>190</v>
      </c>
      <c r="E336" s="18" t="s">
        <v>214</v>
      </c>
      <c r="F336" s="18" t="s">
        <v>80</v>
      </c>
      <c r="G336" s="26">
        <v>0</v>
      </c>
      <c r="H336" s="22">
        <v>0</v>
      </c>
      <c r="I336" s="27">
        <f>IF(COUNTIFS('Taux'!$A$6:$A$20,A336,'Taux'!$B$6:$B$20,D336)=1,SUMIFS('Taux'!$D$6:$D$20,'Taux'!$A$6:$A$20,A336,'Taux'!$B$6:$B$20,D336),"n.d.")</f>
        <v>10.90384939</v>
      </c>
      <c r="J336" s="22">
        <f>IF(COUNT(H336,I336)=2,H336/I336,"n.d.")</f>
        <v>0.0</v>
      </c>
    </row>
    <row r="337" spans="1:11" ht="19" customHeight="1">
      <c r="A337" s="18" t="s">
        <v>5</v>
      </c>
      <c r="B337" s="18" t="s">
        <v>189</v>
      </c>
      <c r="C337" s="18" t="s">
        <v>18</v>
      </c>
      <c r="D337" s="18" t="s">
        <v>190</v>
      </c>
      <c r="E337" s="18" t="s">
        <v>214</v>
      </c>
      <c r="F337" s="18" t="s">
        <v>50</v>
      </c>
      <c r="G337" s="26">
        <v>0</v>
      </c>
      <c r="H337" s="22">
        <v>0</v>
      </c>
      <c r="I337" s="27">
        <f>IF(COUNTIFS('Taux'!$A$6:$A$20,A337,'Taux'!$B$6:$B$20,D337)=1,SUMIFS('Taux'!$D$6:$D$20,'Taux'!$A$6:$A$20,A337,'Taux'!$B$6:$B$20,D337),"n.d.")</f>
        <v>10.90384939</v>
      </c>
      <c r="J337" s="22">
        <f>IF(COUNT(H337,I337)=2,H337/I337,"n.d.")</f>
        <v>0.0</v>
      </c>
    </row>
    <row r="338" spans="1:11" ht="19" customHeight="1">
      <c r="A338" s="18" t="s">
        <v>5</v>
      </c>
      <c r="B338" s="18" t="s">
        <v>189</v>
      </c>
      <c r="C338" s="18" t="s">
        <v>18</v>
      </c>
      <c r="D338" s="18" t="s">
        <v>190</v>
      </c>
      <c r="E338" s="18" t="s">
        <v>214</v>
      </c>
      <c r="F338" s="18" t="s">
        <v>51</v>
      </c>
      <c r="G338" s="26">
        <v>116</v>
      </c>
      <c r="H338" s="22">
        <v>22084.09000000001</v>
      </c>
      <c r="I338" s="27">
        <f>IF(COUNTIFS('Taux'!$A$6:$A$20,A338,'Taux'!$B$6:$B$20,D338)=1,SUMIFS('Taux'!$D$6:$D$20,'Taux'!$A$6:$A$20,A338,'Taux'!$B$6:$B$20,D338),"n.d.")</f>
        <v>10.90384939</v>
      </c>
      <c r="J338" s="22">
        <f>IF(COUNT(H338,I338)=2,H338/I338,"n.d.")</f>
        <v>2025.3480408720143</v>
      </c>
    </row>
    <row r="339" spans="1:11" ht="19" customHeight="1">
      <c r="A339" s="18" t="s">
        <v>5</v>
      </c>
      <c r="B339" s="18" t="s">
        <v>191</v>
      </c>
      <c r="C339" s="18" t="s">
        <v>19</v>
      </c>
      <c r="D339" s="18" t="s">
        <v>192</v>
      </c>
      <c r="E339" s="18" t="s">
        <v>229</v>
      </c>
      <c r="F339" s="18" t="s">
        <v>137</v>
      </c>
      <c r="G339" s="26">
        <v>102</v>
      </c>
      <c r="H339" s="22">
        <v>199.05</v>
      </c>
      <c r="I339" s="27">
        <f>IF(COUNTIFS('Taux'!$A$6:$A$20,A339,'Taux'!$B$6:$B$20,D339)=1,SUMIFS('Taux'!$D$6:$D$20,'Taux'!$A$6:$A$20,A339,'Taux'!$B$6:$B$20,D339),"n.d.")</f>
        <v>11.34339828</v>
      </c>
      <c r="J339" s="22">
        <f>IF(COUNT(H339,I339)=2,H339/I339,"n.d.")</f>
        <v>17.547651513828356</v>
      </c>
    </row>
    <row r="340" spans="1:11" ht="19" customHeight="1">
      <c r="A340" s="18" t="s">
        <v>5</v>
      </c>
      <c r="B340" s="18" t="s">
        <v>191</v>
      </c>
      <c r="C340" s="18" t="s">
        <v>19</v>
      </c>
      <c r="D340" s="18" t="s">
        <v>192</v>
      </c>
      <c r="E340" s="18" t="s">
        <v>229</v>
      </c>
      <c r="F340" s="18" t="s">
        <v>138</v>
      </c>
      <c r="G340" s="26">
        <v>94</v>
      </c>
      <c r="H340" s="22">
        <v>5458.84</v>
      </c>
      <c r="I340" s="27">
        <f>IF(COUNTIFS('Taux'!$A$6:$A$20,A340,'Taux'!$B$6:$B$20,D340)=1,SUMIFS('Taux'!$D$6:$D$20,'Taux'!$A$6:$A$20,A340,'Taux'!$B$6:$B$20,D340),"n.d.")</f>
        <v>11.34339828</v>
      </c>
      <c r="J340" s="22">
        <f>IF(COUNT(H340,I340)=2,H340/I340,"n.d.")</f>
        <v>481.2349760851384</v>
      </c>
    </row>
    <row r="341" spans="1:11" ht="19" customHeight="1">
      <c r="A341" s="18" t="s">
        <v>5</v>
      </c>
      <c r="B341" s="18" t="s">
        <v>191</v>
      </c>
      <c r="C341" s="18" t="s">
        <v>19</v>
      </c>
      <c r="D341" s="18" t="s">
        <v>192</v>
      </c>
      <c r="E341" s="18" t="s">
        <v>229</v>
      </c>
      <c r="F341" s="18" t="s">
        <v>139</v>
      </c>
      <c r="G341" s="26">
        <v>142</v>
      </c>
      <c r="H341" s="22">
        <v>57058.09000000001</v>
      </c>
      <c r="I341" s="27">
        <f>IF(COUNTIFS('Taux'!$A$6:$A$20,A341,'Taux'!$B$6:$B$20,D341)=1,SUMIFS('Taux'!$D$6:$D$20,'Taux'!$A$6:$A$20,A341,'Taux'!$B$6:$B$20,D341),"n.d.")</f>
        <v>11.34339828</v>
      </c>
      <c r="J341" s="22">
        <f>IF(COUNT(H341,I341)=2,H341/I341,"n.d.")</f>
        <v>5030.0702304177585</v>
      </c>
    </row>
    <row r="342" spans="1:11" ht="19" customHeight="1">
      <c r="A342" s="18" t="s">
        <v>5</v>
      </c>
      <c r="B342" s="18" t="s">
        <v>191</v>
      </c>
      <c r="C342" s="18" t="s">
        <v>19</v>
      </c>
      <c r="D342" s="18" t="s">
        <v>192</v>
      </c>
      <c r="E342" s="18" t="s">
        <v>229</v>
      </c>
      <c r="F342" s="18" t="s">
        <v>140</v>
      </c>
      <c r="G342" s="26">
        <v>36</v>
      </c>
      <c r="H342" s="22">
        <v>109910.64</v>
      </c>
      <c r="I342" s="27">
        <f>IF(COUNTIFS('Taux'!$A$6:$A$20,A342,'Taux'!$B$6:$B$20,D342)=1,SUMIFS('Taux'!$D$6:$D$20,'Taux'!$A$6:$A$20,A342,'Taux'!$B$6:$B$20,D342),"n.d.")</f>
        <v>11.34339828</v>
      </c>
      <c r="J342" s="22">
        <f>IF(COUNT(H342,I342)=2,H342/I342,"n.d.")</f>
        <v>9689.392657030112</v>
      </c>
    </row>
    <row r="343" spans="1:11" ht="19" customHeight="1">
      <c r="A343" s="18" t="s">
        <v>5</v>
      </c>
      <c r="B343" s="18" t="s">
        <v>191</v>
      </c>
      <c r="C343" s="18" t="s">
        <v>19</v>
      </c>
      <c r="D343" s="18" t="s">
        <v>192</v>
      </c>
      <c r="E343" s="18" t="s">
        <v>229</v>
      </c>
      <c r="F343" s="18" t="s">
        <v>141</v>
      </c>
      <c r="G343" s="26">
        <v>0</v>
      </c>
      <c r="H343" s="22">
        <v>0</v>
      </c>
      <c r="I343" s="27">
        <f>IF(COUNTIFS('Taux'!$A$6:$A$20,A343,'Taux'!$B$6:$B$20,D343)=1,SUMIFS('Taux'!$D$6:$D$20,'Taux'!$A$6:$A$20,A343,'Taux'!$B$6:$B$20,D343),"n.d.")</f>
        <v>11.34339828</v>
      </c>
      <c r="J343" s="22">
        <f>IF(COUNT(H343,I343)=2,H343/I343,"n.d.")</f>
        <v>0.0</v>
      </c>
    </row>
    <row r="344" spans="1:11" ht="19" customHeight="1">
      <c r="A344" s="18" t="s">
        <v>5</v>
      </c>
      <c r="B344" s="18" t="s">
        <v>191</v>
      </c>
      <c r="C344" s="18" t="s">
        <v>19</v>
      </c>
      <c r="D344" s="18" t="s">
        <v>192</v>
      </c>
      <c r="E344" s="18" t="s">
        <v>214</v>
      </c>
      <c r="F344" s="18" t="s">
        <v>73</v>
      </c>
      <c r="G344" s="26">
        <v>0</v>
      </c>
      <c r="H344" s="22">
        <v>0</v>
      </c>
      <c r="I344" s="27">
        <f>IF(COUNTIFS('Taux'!$A$6:$A$20,A344,'Taux'!$B$6:$B$20,D344)=1,SUMIFS('Taux'!$D$6:$D$20,'Taux'!$A$6:$A$20,A344,'Taux'!$B$6:$B$20,D344),"n.d.")</f>
        <v>11.34339828</v>
      </c>
      <c r="J344" s="22">
        <f>IF(COUNT(H344,I344)=2,H344/I344,"n.d.")</f>
        <v>0.0</v>
      </c>
    </row>
    <row r="345" spans="1:11" ht="19" customHeight="1">
      <c r="A345" s="18" t="s">
        <v>5</v>
      </c>
      <c r="B345" s="18" t="s">
        <v>191</v>
      </c>
      <c r="C345" s="18" t="s">
        <v>19</v>
      </c>
      <c r="D345" s="18" t="s">
        <v>192</v>
      </c>
      <c r="E345" s="18" t="s">
        <v>214</v>
      </c>
      <c r="F345" s="18" t="s">
        <v>74</v>
      </c>
      <c r="G345" s="26">
        <v>0</v>
      </c>
      <c r="H345" s="22">
        <v>0</v>
      </c>
      <c r="I345" s="27">
        <f>IF(COUNTIFS('Taux'!$A$6:$A$20,A345,'Taux'!$B$6:$B$20,D345)=1,SUMIFS('Taux'!$D$6:$D$20,'Taux'!$A$6:$A$20,A345,'Taux'!$B$6:$B$20,D345),"n.d.")</f>
        <v>11.34339828</v>
      </c>
      <c r="J345" s="22">
        <f>IF(COUNT(H345,I345)=2,H345/I345,"n.d.")</f>
        <v>0.0</v>
      </c>
    </row>
    <row r="346" spans="1:11" ht="19" customHeight="1">
      <c r="A346" s="18" t="s">
        <v>5</v>
      </c>
      <c r="B346" s="18" t="s">
        <v>191</v>
      </c>
      <c r="C346" s="18" t="s">
        <v>19</v>
      </c>
      <c r="D346" s="18" t="s">
        <v>192</v>
      </c>
      <c r="E346" s="18" t="s">
        <v>214</v>
      </c>
      <c r="F346" s="18" t="s">
        <v>75</v>
      </c>
      <c r="G346" s="26">
        <v>0</v>
      </c>
      <c r="H346" s="22">
        <v>0</v>
      </c>
      <c r="I346" s="27">
        <f>IF(COUNTIFS('Taux'!$A$6:$A$20,A346,'Taux'!$B$6:$B$20,D346)=1,SUMIFS('Taux'!$D$6:$D$20,'Taux'!$A$6:$A$20,A346,'Taux'!$B$6:$B$20,D346),"n.d.")</f>
        <v>11.34339828</v>
      </c>
      <c r="J346" s="22">
        <f>IF(COUNT(H346,I346)=2,H346/I346,"n.d.")</f>
        <v>0.0</v>
      </c>
    </row>
    <row r="347" spans="1:11" ht="19" customHeight="1">
      <c r="A347" s="18" t="s">
        <v>5</v>
      </c>
      <c r="B347" s="18" t="s">
        <v>191</v>
      </c>
      <c r="C347" s="18" t="s">
        <v>19</v>
      </c>
      <c r="D347" s="18" t="s">
        <v>192</v>
      </c>
      <c r="E347" s="18" t="s">
        <v>214</v>
      </c>
      <c r="F347" s="18" t="s">
        <v>76</v>
      </c>
      <c r="G347" s="26">
        <v>0</v>
      </c>
      <c r="H347" s="22">
        <v>0</v>
      </c>
      <c r="I347" s="27">
        <f>IF(COUNTIFS('Taux'!$A$6:$A$20,A347,'Taux'!$B$6:$B$20,D347)=1,SUMIFS('Taux'!$D$6:$D$20,'Taux'!$A$6:$A$20,A347,'Taux'!$B$6:$B$20,D347),"n.d.")</f>
        <v>11.34339828</v>
      </c>
      <c r="J347" s="22">
        <f>IF(COUNT(H347,I347)=2,H347/I347,"n.d.")</f>
        <v>0.0</v>
      </c>
    </row>
    <row r="348" spans="1:11" ht="19" customHeight="1">
      <c r="A348" s="18" t="s">
        <v>5</v>
      </c>
      <c r="B348" s="18" t="s">
        <v>191</v>
      </c>
      <c r="C348" s="18" t="s">
        <v>19</v>
      </c>
      <c r="D348" s="18" t="s">
        <v>192</v>
      </c>
      <c r="E348" s="18" t="s">
        <v>214</v>
      </c>
      <c r="F348" s="18" t="s">
        <v>77</v>
      </c>
      <c r="G348" s="26">
        <v>0</v>
      </c>
      <c r="H348" s="22">
        <v>0</v>
      </c>
      <c r="I348" s="27">
        <f>IF(COUNTIFS('Taux'!$A$6:$A$20,A348,'Taux'!$B$6:$B$20,D348)=1,SUMIFS('Taux'!$D$6:$D$20,'Taux'!$A$6:$A$20,A348,'Taux'!$B$6:$B$20,D348),"n.d.")</f>
        <v>11.34339828</v>
      </c>
      <c r="J348" s="22">
        <f>IF(COUNT(H348,I348)=2,H348/I348,"n.d.")</f>
        <v>0.0</v>
      </c>
    </row>
    <row r="349" spans="1:11" ht="19" customHeight="1">
      <c r="A349" s="18" t="s">
        <v>5</v>
      </c>
      <c r="B349" s="18" t="s">
        <v>191</v>
      </c>
      <c r="C349" s="18" t="s">
        <v>19</v>
      </c>
      <c r="D349" s="18" t="s">
        <v>192</v>
      </c>
      <c r="E349" s="18" t="s">
        <v>214</v>
      </c>
      <c r="F349" s="18" t="s">
        <v>78</v>
      </c>
      <c r="G349" s="26">
        <v>0</v>
      </c>
      <c r="H349" s="22">
        <v>0</v>
      </c>
      <c r="I349" s="27">
        <f>IF(COUNTIFS('Taux'!$A$6:$A$20,A349,'Taux'!$B$6:$B$20,D349)=1,SUMIFS('Taux'!$D$6:$D$20,'Taux'!$A$6:$A$20,A349,'Taux'!$B$6:$B$20,D349),"n.d.")</f>
        <v>11.34339828</v>
      </c>
      <c r="J349" s="22">
        <f>IF(COUNT(H349,I349)=2,H349/I349,"n.d.")</f>
        <v>0.0</v>
      </c>
    </row>
    <row r="350" spans="1:11" ht="19" customHeight="1">
      <c r="A350" s="18" t="s">
        <v>5</v>
      </c>
      <c r="B350" s="18" t="s">
        <v>191</v>
      </c>
      <c r="C350" s="18" t="s">
        <v>19</v>
      </c>
      <c r="D350" s="18" t="s">
        <v>192</v>
      </c>
      <c r="E350" s="18" t="s">
        <v>214</v>
      </c>
      <c r="F350" s="18" t="s">
        <v>79</v>
      </c>
      <c r="G350" s="26">
        <v>0</v>
      </c>
      <c r="H350" s="22">
        <v>0</v>
      </c>
      <c r="I350" s="27">
        <f>IF(COUNTIFS('Taux'!$A$6:$A$20,A350,'Taux'!$B$6:$B$20,D350)=1,SUMIFS('Taux'!$D$6:$D$20,'Taux'!$A$6:$A$20,A350,'Taux'!$B$6:$B$20,D350),"n.d.")</f>
        <v>11.34339828</v>
      </c>
      <c r="J350" s="22">
        <f>IF(COUNT(H350,I350)=2,H350/I350,"n.d.")</f>
        <v>0.0</v>
      </c>
    </row>
    <row r="351" spans="1:11" ht="19" customHeight="1">
      <c r="A351" s="18" t="s">
        <v>5</v>
      </c>
      <c r="B351" s="18" t="s">
        <v>191</v>
      </c>
      <c r="C351" s="18" t="s">
        <v>19</v>
      </c>
      <c r="D351" s="18" t="s">
        <v>192</v>
      </c>
      <c r="E351" s="18" t="s">
        <v>214</v>
      </c>
      <c r="F351" s="18" t="s">
        <v>80</v>
      </c>
      <c r="G351" s="26">
        <v>0</v>
      </c>
      <c r="H351" s="22">
        <v>0</v>
      </c>
      <c r="I351" s="27">
        <f>IF(COUNTIFS('Taux'!$A$6:$A$20,A351,'Taux'!$B$6:$B$20,D351)=1,SUMIFS('Taux'!$D$6:$D$20,'Taux'!$A$6:$A$20,A351,'Taux'!$B$6:$B$20,D351),"n.d.")</f>
        <v>11.34339828</v>
      </c>
      <c r="J351" s="22">
        <f>IF(COUNT(H351,I351)=2,H351/I351,"n.d.")</f>
        <v>0.0</v>
      </c>
    </row>
    <row r="352" spans="1:11" ht="19" customHeight="1">
      <c r="A352" s="18" t="s">
        <v>5</v>
      </c>
      <c r="B352" s="18" t="s">
        <v>191</v>
      </c>
      <c r="C352" s="18" t="s">
        <v>19</v>
      </c>
      <c r="D352" s="18" t="s">
        <v>192</v>
      </c>
      <c r="E352" s="18" t="s">
        <v>214</v>
      </c>
      <c r="F352" s="18" t="s">
        <v>50</v>
      </c>
      <c r="G352" s="26">
        <v>0</v>
      </c>
      <c r="H352" s="22">
        <v>0</v>
      </c>
      <c r="I352" s="27">
        <f>IF(COUNTIFS('Taux'!$A$6:$A$20,A352,'Taux'!$B$6:$B$20,D352)=1,SUMIFS('Taux'!$D$6:$D$20,'Taux'!$A$6:$A$20,A352,'Taux'!$B$6:$B$20,D352),"n.d.")</f>
        <v>11.34339828</v>
      </c>
      <c r="J352" s="22">
        <f>IF(COUNT(H352,I352)=2,H352/I352,"n.d.")</f>
        <v>0.0</v>
      </c>
    </row>
    <row r="353" spans="1:11" ht="19" customHeight="1">
      <c r="A353" s="18" t="s">
        <v>5</v>
      </c>
      <c r="B353" s="18" t="s">
        <v>191</v>
      </c>
      <c r="C353" s="18" t="s">
        <v>19</v>
      </c>
      <c r="D353" s="18" t="s">
        <v>192</v>
      </c>
      <c r="E353" s="18" t="s">
        <v>214</v>
      </c>
      <c r="F353" s="18" t="s">
        <v>51</v>
      </c>
      <c r="G353" s="26">
        <v>374</v>
      </c>
      <c r="H353" s="22">
        <v>172626.6199999999</v>
      </c>
      <c r="I353" s="27">
        <f>IF(COUNTIFS('Taux'!$A$6:$A$20,A353,'Taux'!$B$6:$B$20,D353)=1,SUMIFS('Taux'!$D$6:$D$20,'Taux'!$A$6:$A$20,A353,'Taux'!$B$6:$B$20,D353),"n.d.")</f>
        <v>11.34339828</v>
      </c>
      <c r="J353" s="22">
        <f>IF(COUNT(H353,I353)=2,H353/I353,"n.d.")</f>
        <v>15218.24551504683</v>
      </c>
    </row>
    <row r="354" spans="1:11" ht="19" customHeight="1">
      <c r="A354" s="18" t="s">
        <v>5</v>
      </c>
      <c r="B354" s="18" t="s">
        <v>182</v>
      </c>
      <c r="C354" s="18" t="s">
        <v>14</v>
      </c>
      <c r="D354" s="18" t="s">
        <v>183</v>
      </c>
      <c r="E354" s="18" t="s">
        <v>229</v>
      </c>
      <c r="F354" s="18" t="s">
        <v>66</v>
      </c>
      <c r="G354" s="26">
        <v>72025</v>
      </c>
      <c r="H354" s="22">
        <v>33591674.99</v>
      </c>
      <c r="I354" s="27">
        <f>IF(COUNTIFS('Taux'!$A$6:$A$20,A354,'Taux'!$B$6:$B$20,D354)=1,SUMIFS('Taux'!$D$6:$D$20,'Taux'!$A$6:$A$20,A354,'Taux'!$B$6:$B$20,D354),"n.d.")</f>
        <v>18.58943911</v>
      </c>
      <c r="J354" s="22">
        <f>IF(COUNT(H354,I354)=2,H354/I354,"n.d.")</f>
        <v>1807030.0449210273</v>
      </c>
    </row>
    <row r="355" spans="1:11" ht="19" customHeight="1">
      <c r="A355" s="18" t="s">
        <v>5</v>
      </c>
      <c r="B355" s="18" t="s">
        <v>182</v>
      </c>
      <c r="C355" s="18" t="s">
        <v>14</v>
      </c>
      <c r="D355" s="18" t="s">
        <v>183</v>
      </c>
      <c r="E355" s="18" t="s">
        <v>229</v>
      </c>
      <c r="F355" s="18" t="s">
        <v>67</v>
      </c>
      <c r="G355" s="26">
        <v>0</v>
      </c>
      <c r="H355" s="22">
        <v>0</v>
      </c>
      <c r="I355" s="27">
        <f>IF(COUNTIFS('Taux'!$A$6:$A$20,A355,'Taux'!$B$6:$B$20,D355)=1,SUMIFS('Taux'!$D$6:$D$20,'Taux'!$A$6:$A$20,A355,'Taux'!$B$6:$B$20,D355),"n.d.")</f>
        <v>18.58943911</v>
      </c>
      <c r="J355" s="22">
        <f>IF(COUNT(H355,I355)=2,H355/I355,"n.d.")</f>
        <v>0.0</v>
      </c>
    </row>
    <row r="356" spans="1:11" ht="19" customHeight="1">
      <c r="A356" s="18" t="s">
        <v>5</v>
      </c>
      <c r="B356" s="18" t="s">
        <v>182</v>
      </c>
      <c r="C356" s="18" t="s">
        <v>14</v>
      </c>
      <c r="D356" s="18" t="s">
        <v>183</v>
      </c>
      <c r="E356" s="18" t="s">
        <v>229</v>
      </c>
      <c r="F356" s="18" t="s">
        <v>68</v>
      </c>
      <c r="G356" s="26">
        <v>0</v>
      </c>
      <c r="H356" s="22">
        <v>0</v>
      </c>
      <c r="I356" s="27">
        <f>IF(COUNTIFS('Taux'!$A$6:$A$20,A356,'Taux'!$B$6:$B$20,D356)=1,SUMIFS('Taux'!$D$6:$D$20,'Taux'!$A$6:$A$20,A356,'Taux'!$B$6:$B$20,D356),"n.d.")</f>
        <v>18.58943911</v>
      </c>
      <c r="J356" s="22">
        <f>IF(COUNT(H356,I356)=2,H356/I356,"n.d.")</f>
        <v>0.0</v>
      </c>
    </row>
    <row r="357" spans="1:11" ht="19" customHeight="1">
      <c r="A357" s="18" t="s">
        <v>5</v>
      </c>
      <c r="B357" s="18" t="s">
        <v>182</v>
      </c>
      <c r="C357" s="18" t="s">
        <v>14</v>
      </c>
      <c r="D357" s="18" t="s">
        <v>183</v>
      </c>
      <c r="E357" s="18" t="s">
        <v>229</v>
      </c>
      <c r="F357" s="18" t="s">
        <v>69</v>
      </c>
      <c r="G357" s="26">
        <v>0</v>
      </c>
      <c r="H357" s="22">
        <v>0</v>
      </c>
      <c r="I357" s="27">
        <f>IF(COUNTIFS('Taux'!$A$6:$A$20,A357,'Taux'!$B$6:$B$20,D357)=1,SUMIFS('Taux'!$D$6:$D$20,'Taux'!$A$6:$A$20,A357,'Taux'!$B$6:$B$20,D357),"n.d.")</f>
        <v>18.58943911</v>
      </c>
      <c r="J357" s="22">
        <f>IF(COUNT(H357,I357)=2,H357/I357,"n.d.")</f>
        <v>0.0</v>
      </c>
    </row>
    <row r="358" spans="1:11" ht="19" customHeight="1">
      <c r="A358" s="18" t="s">
        <v>5</v>
      </c>
      <c r="B358" s="18" t="s">
        <v>182</v>
      </c>
      <c r="C358" s="18" t="s">
        <v>14</v>
      </c>
      <c r="D358" s="18" t="s">
        <v>183</v>
      </c>
      <c r="E358" s="18" t="s">
        <v>229</v>
      </c>
      <c r="F358" s="18" t="s">
        <v>70</v>
      </c>
      <c r="G358" s="26">
        <v>0</v>
      </c>
      <c r="H358" s="22">
        <v>0</v>
      </c>
      <c r="I358" s="27">
        <f>IF(COUNTIFS('Taux'!$A$6:$A$20,A358,'Taux'!$B$6:$B$20,D358)=1,SUMIFS('Taux'!$D$6:$D$20,'Taux'!$A$6:$A$20,A358,'Taux'!$B$6:$B$20,D358),"n.d.")</f>
        <v>18.58943911</v>
      </c>
      <c r="J358" s="22">
        <f>IF(COUNT(H358,I358)=2,H358/I358,"n.d.")</f>
        <v>0.0</v>
      </c>
    </row>
    <row r="359" spans="1:11" ht="19" customHeight="1">
      <c r="A359" s="18" t="s">
        <v>5</v>
      </c>
      <c r="B359" s="18" t="s">
        <v>182</v>
      </c>
      <c r="C359" s="18" t="s">
        <v>14</v>
      </c>
      <c r="D359" s="18" t="s">
        <v>183</v>
      </c>
      <c r="E359" s="18" t="s">
        <v>214</v>
      </c>
      <c r="F359" s="18" t="s">
        <v>101</v>
      </c>
      <c r="G359" s="26">
        <v>191</v>
      </c>
      <c r="H359" s="22">
        <v>688714.21</v>
      </c>
      <c r="I359" s="27">
        <f>IF(COUNTIFS('Taux'!$A$6:$A$20,A359,'Taux'!$B$6:$B$20,D359)=1,SUMIFS('Taux'!$D$6:$D$20,'Taux'!$A$6:$A$20,A359,'Taux'!$B$6:$B$20,D359),"n.d.")</f>
        <v>18.58943911</v>
      </c>
      <c r="J359" s="22">
        <f>IF(COUNT(H359,I359)=2,H359/I359,"n.d.")</f>
        <v>37048.68156186128</v>
      </c>
    </row>
    <row r="360" spans="1:11" ht="19" customHeight="1">
      <c r="A360" s="18" t="s">
        <v>5</v>
      </c>
      <c r="B360" s="18" t="s">
        <v>182</v>
      </c>
      <c r="C360" s="18" t="s">
        <v>14</v>
      </c>
      <c r="D360" s="18" t="s">
        <v>183</v>
      </c>
      <c r="E360" s="18" t="s">
        <v>214</v>
      </c>
      <c r="F360" s="18" t="s">
        <v>75</v>
      </c>
      <c r="G360" s="26">
        <v>76</v>
      </c>
      <c r="H360" s="22">
        <v>217714.23</v>
      </c>
      <c r="I360" s="27">
        <f>IF(COUNTIFS('Taux'!$A$6:$A$20,A360,'Taux'!$B$6:$B$20,D360)=1,SUMIFS('Taux'!$D$6:$D$20,'Taux'!$A$6:$A$20,A360,'Taux'!$B$6:$B$20,D360),"n.d.")</f>
        <v>18.58943911</v>
      </c>
      <c r="J360" s="22">
        <f>IF(COUNT(H360,I360)=2,H360/I360,"n.d.")</f>
        <v>11711.71592169679</v>
      </c>
    </row>
    <row r="361" spans="1:11" ht="19" customHeight="1">
      <c r="A361" s="18" t="s">
        <v>5</v>
      </c>
      <c r="B361" s="18" t="s">
        <v>182</v>
      </c>
      <c r="C361" s="18" t="s">
        <v>14</v>
      </c>
      <c r="D361" s="18" t="s">
        <v>183</v>
      </c>
      <c r="E361" s="18" t="s">
        <v>214</v>
      </c>
      <c r="F361" s="18" t="s">
        <v>76</v>
      </c>
      <c r="G361" s="26">
        <v>536</v>
      </c>
      <c r="H361" s="22">
        <v>1009033.569999999</v>
      </c>
      <c r="I361" s="27">
        <f>IF(COUNTIFS('Taux'!$A$6:$A$20,A361,'Taux'!$B$6:$B$20,D361)=1,SUMIFS('Taux'!$D$6:$D$20,'Taux'!$A$6:$A$20,A361,'Taux'!$B$6:$B$20,D361),"n.d.")</f>
        <v>18.58943911</v>
      </c>
      <c r="J361" s="22">
        <f>IF(COUNT(H361,I361)=2,H361/I361,"n.d.")</f>
        <v>54279.93626000259</v>
      </c>
    </row>
    <row r="362" spans="1:11" ht="19" customHeight="1">
      <c r="A362" s="18" t="s">
        <v>5</v>
      </c>
      <c r="B362" s="18" t="s">
        <v>182</v>
      </c>
      <c r="C362" s="18" t="s">
        <v>14</v>
      </c>
      <c r="D362" s="18" t="s">
        <v>183</v>
      </c>
      <c r="E362" s="18" t="s">
        <v>214</v>
      </c>
      <c r="F362" s="18" t="s">
        <v>77</v>
      </c>
      <c r="G362" s="26">
        <v>3378</v>
      </c>
      <c r="H362" s="22">
        <v>1988576.570000006</v>
      </c>
      <c r="I362" s="27">
        <f>IF(COUNTIFS('Taux'!$A$6:$A$20,A362,'Taux'!$B$6:$B$20,D362)=1,SUMIFS('Taux'!$D$6:$D$20,'Taux'!$A$6:$A$20,A362,'Taux'!$B$6:$B$20,D362),"n.d.")</f>
        <v>18.58943911</v>
      </c>
      <c r="J362" s="22">
        <f>IF(COUNT(H362,I362)=2,H362/I362,"n.d.")</f>
        <v>106973.45725349351</v>
      </c>
    </row>
    <row r="363" spans="1:11" ht="19" customHeight="1">
      <c r="A363" s="18" t="s">
        <v>5</v>
      </c>
      <c r="B363" s="18" t="s">
        <v>182</v>
      </c>
      <c r="C363" s="18" t="s">
        <v>14</v>
      </c>
      <c r="D363" s="18" t="s">
        <v>183</v>
      </c>
      <c r="E363" s="18" t="s">
        <v>214</v>
      </c>
      <c r="F363" s="18" t="s">
        <v>78</v>
      </c>
      <c r="G363" s="26">
        <v>2953</v>
      </c>
      <c r="H363" s="22">
        <v>1765334.320000004</v>
      </c>
      <c r="I363" s="27">
        <f>IF(COUNTIFS('Taux'!$A$6:$A$20,A363,'Taux'!$B$6:$B$20,D363)=1,SUMIFS('Taux'!$D$6:$D$20,'Taux'!$A$6:$A$20,A363,'Taux'!$B$6:$B$20,D363),"n.d.")</f>
        <v>18.58943911</v>
      </c>
      <c r="J363" s="22">
        <f>IF(COUNT(H363,I363)=2,H363/I363,"n.d.")</f>
        <v>94964.36710940677</v>
      </c>
    </row>
    <row r="364" spans="1:11" ht="19" customHeight="1">
      <c r="A364" s="18" t="s">
        <v>5</v>
      </c>
      <c r="B364" s="18" t="s">
        <v>182</v>
      </c>
      <c r="C364" s="18" t="s">
        <v>14</v>
      </c>
      <c r="D364" s="18" t="s">
        <v>183</v>
      </c>
      <c r="E364" s="18" t="s">
        <v>214</v>
      </c>
      <c r="F364" s="18" t="s">
        <v>79</v>
      </c>
      <c r="G364" s="26">
        <v>3919</v>
      </c>
      <c r="H364" s="22">
        <v>2536581.889999996</v>
      </c>
      <c r="I364" s="27">
        <f>IF(COUNTIFS('Taux'!$A$6:$A$20,A364,'Taux'!$B$6:$B$20,D364)=1,SUMIFS('Taux'!$D$6:$D$20,'Taux'!$A$6:$A$20,A364,'Taux'!$B$6:$B$20,D364),"n.d.")</f>
        <v>18.58943911</v>
      </c>
      <c r="J364" s="22">
        <f>IF(COUNT(H364,I364)=2,H364/I364,"n.d.")</f>
        <v>136452.8469627396</v>
      </c>
    </row>
    <row r="365" spans="1:11" ht="19" customHeight="1">
      <c r="A365" s="18" t="s">
        <v>5</v>
      </c>
      <c r="B365" s="18" t="s">
        <v>182</v>
      </c>
      <c r="C365" s="18" t="s">
        <v>14</v>
      </c>
      <c r="D365" s="18" t="s">
        <v>183</v>
      </c>
      <c r="E365" s="18" t="s">
        <v>214</v>
      </c>
      <c r="F365" s="18" t="s">
        <v>80</v>
      </c>
      <c r="G365" s="26">
        <v>5286</v>
      </c>
      <c r="H365" s="22">
        <v>3180139.190000006</v>
      </c>
      <c r="I365" s="27">
        <f>IF(COUNTIFS('Taux'!$A$6:$A$20,A365,'Taux'!$B$6:$B$20,D365)=1,SUMIFS('Taux'!$D$6:$D$20,'Taux'!$A$6:$A$20,A365,'Taux'!$B$6:$B$20,D365),"n.d.")</f>
        <v>18.58943911</v>
      </c>
      <c r="J365" s="22">
        <f>IF(COUNT(H365,I365)=2,H365/I365,"n.d.")</f>
        <v>171072.35840640732</v>
      </c>
    </row>
    <row r="366" spans="1:11" ht="19" customHeight="1">
      <c r="A366" s="18" t="s">
        <v>5</v>
      </c>
      <c r="B366" s="18" t="s">
        <v>182</v>
      </c>
      <c r="C366" s="18" t="s">
        <v>14</v>
      </c>
      <c r="D366" s="18" t="s">
        <v>183</v>
      </c>
      <c r="E366" s="18" t="s">
        <v>214</v>
      </c>
      <c r="F366" s="18" t="s">
        <v>50</v>
      </c>
      <c r="G366" s="26">
        <v>10227</v>
      </c>
      <c r="H366" s="22">
        <v>6167078.229999923</v>
      </c>
      <c r="I366" s="27">
        <f>IF(COUNTIFS('Taux'!$A$6:$A$20,A366,'Taux'!$B$6:$B$20,D366)=1,SUMIFS('Taux'!$D$6:$D$20,'Taux'!$A$6:$A$20,A366,'Taux'!$B$6:$B$20,D366),"n.d.")</f>
        <v>18.58943911</v>
      </c>
      <c r="J366" s="22">
        <f>IF(COUNT(H366,I366)=2,H366/I366,"n.d.")</f>
        <v>331751.7109315259</v>
      </c>
    </row>
    <row r="367" spans="1:11" ht="19" customHeight="1">
      <c r="A367" s="18" t="s">
        <v>5</v>
      </c>
      <c r="B367" s="18" t="s">
        <v>182</v>
      </c>
      <c r="C367" s="18" t="s">
        <v>14</v>
      </c>
      <c r="D367" s="18" t="s">
        <v>183</v>
      </c>
      <c r="E367" s="18" t="s">
        <v>214</v>
      </c>
      <c r="F367" s="18" t="s">
        <v>51</v>
      </c>
      <c r="G367" s="26">
        <v>45459</v>
      </c>
      <c r="H367" s="22">
        <v>16038502.78000003</v>
      </c>
      <c r="I367" s="27">
        <f>IF(COUNTIFS('Taux'!$A$6:$A$20,A367,'Taux'!$B$6:$B$20,D367)=1,SUMIFS('Taux'!$D$6:$D$20,'Taux'!$A$6:$A$20,A367,'Taux'!$B$6:$B$20,D367),"n.d.")</f>
        <v>18.58943911</v>
      </c>
      <c r="J367" s="22">
        <f>IF(COUNT(H367,I367)=2,H367/I367,"n.d.")</f>
        <v>862774.9705138912</v>
      </c>
    </row>
    <row r="368" spans="1:11" ht="19" customHeight="1">
      <c r="A368" s="18" t="s">
        <v>5</v>
      </c>
      <c r="B368" s="18" t="s">
        <v>185</v>
      </c>
      <c r="C368" s="18" t="s">
        <v>16</v>
      </c>
      <c r="D368" s="18" t="s">
        <v>186</v>
      </c>
      <c r="E368" s="18" t="s">
        <v>214</v>
      </c>
      <c r="F368" s="18" t="s">
        <v>73</v>
      </c>
      <c r="G368" s="26">
        <v>200151</v>
      </c>
      <c r="H368" s="22">
        <v>10286587.01999989</v>
      </c>
      <c r="I368" s="27">
        <f>IF(COUNTIFS('Taux'!$A$6:$A$20,A368,'Taux'!$B$6:$B$20,D368)=1,SUMIFS('Taux'!$D$6:$D$20,'Taux'!$A$6:$A$20,A368,'Taux'!$B$6:$B$20,D368),"n.d.")</f>
        <v>5.855892595</v>
      </c>
      <c r="J368" s="22">
        <f>IF(COUNT(H368,I368)=2,H368/I368,"n.d.")</f>
        <v>1756621.5317512823</v>
      </c>
    </row>
    <row r="369" spans="1:11" ht="19" customHeight="1">
      <c r="A369" s="18" t="s">
        <v>5</v>
      </c>
      <c r="B369" s="18" t="s">
        <v>185</v>
      </c>
      <c r="C369" s="18" t="s">
        <v>16</v>
      </c>
      <c r="D369" s="18" t="s">
        <v>186</v>
      </c>
      <c r="E369" s="18" t="s">
        <v>214</v>
      </c>
      <c r="F369" s="18" t="s">
        <v>74</v>
      </c>
      <c r="G369" s="26">
        <v>7776</v>
      </c>
      <c r="H369" s="22">
        <v>1205925.600000004</v>
      </c>
      <c r="I369" s="27">
        <f>IF(COUNTIFS('Taux'!$A$6:$A$20,A369,'Taux'!$B$6:$B$20,D369)=1,SUMIFS('Taux'!$D$6:$D$20,'Taux'!$A$6:$A$20,A369,'Taux'!$B$6:$B$20,D369),"n.d.")</f>
        <v>5.855892595</v>
      </c>
      <c r="J369" s="22">
        <f>IF(COUNT(H369,I369)=2,H369/I369,"n.d.")</f>
        <v>205933.69506634612</v>
      </c>
    </row>
    <row r="370" spans="1:11" ht="19" customHeight="1">
      <c r="A370" s="18" t="s">
        <v>5</v>
      </c>
      <c r="B370" s="18" t="s">
        <v>185</v>
      </c>
      <c r="C370" s="18" t="s">
        <v>16</v>
      </c>
      <c r="D370" s="18" t="s">
        <v>186</v>
      </c>
      <c r="E370" s="18" t="s">
        <v>214</v>
      </c>
      <c r="F370" s="18" t="s">
        <v>75</v>
      </c>
      <c r="G370" s="26">
        <v>5035</v>
      </c>
      <c r="H370" s="22">
        <v>1171305.16000001</v>
      </c>
      <c r="I370" s="27">
        <f>IF(COUNTIFS('Taux'!$A$6:$A$20,A370,'Taux'!$B$6:$B$20,D370)=1,SUMIFS('Taux'!$D$6:$D$20,'Taux'!$A$6:$A$20,A370,'Taux'!$B$6:$B$20,D370),"n.d.")</f>
        <v>5.855892595</v>
      </c>
      <c r="J370" s="22">
        <f>IF(COUNT(H370,I370)=2,H370/I370,"n.d.")</f>
        <v>200021.6262504743</v>
      </c>
    </row>
    <row r="371" spans="1:11" ht="19" customHeight="1">
      <c r="A371" s="18" t="s">
        <v>5</v>
      </c>
      <c r="B371" s="18" t="s">
        <v>185</v>
      </c>
      <c r="C371" s="18" t="s">
        <v>16</v>
      </c>
      <c r="D371" s="18" t="s">
        <v>186</v>
      </c>
      <c r="E371" s="18" t="s">
        <v>214</v>
      </c>
      <c r="F371" s="18" t="s">
        <v>76</v>
      </c>
      <c r="G371" s="26">
        <v>47428</v>
      </c>
      <c r="H371" s="22">
        <v>1814453.939999312</v>
      </c>
      <c r="I371" s="27">
        <f>IF(COUNTIFS('Taux'!$A$6:$A$20,A371,'Taux'!$B$6:$B$20,D371)=1,SUMIFS('Taux'!$D$6:$D$20,'Taux'!$A$6:$A$20,A371,'Taux'!$B$6:$B$20,D371),"n.d.")</f>
        <v>5.855892595</v>
      </c>
      <c r="J371" s="22">
        <f>IF(COUNT(H371,I371)=2,H371/I371,"n.d.")</f>
        <v>309850.95962117997</v>
      </c>
    </row>
    <row r="372" spans="1:11" ht="19" customHeight="1">
      <c r="A372" s="18" t="s">
        <v>5</v>
      </c>
      <c r="B372" s="18" t="s">
        <v>185</v>
      </c>
      <c r="C372" s="18" t="s">
        <v>16</v>
      </c>
      <c r="D372" s="18" t="s">
        <v>186</v>
      </c>
      <c r="E372" s="18" t="s">
        <v>214</v>
      </c>
      <c r="F372" s="18" t="s">
        <v>77</v>
      </c>
      <c r="G372" s="26">
        <v>21231</v>
      </c>
      <c r="H372" s="22">
        <v>2252780.370000178</v>
      </c>
      <c r="I372" s="27">
        <f>IF(COUNTIFS('Taux'!$A$6:$A$20,A372,'Taux'!$B$6:$B$20,D372)=1,SUMIFS('Taux'!$D$6:$D$20,'Taux'!$A$6:$A$20,A372,'Taux'!$B$6:$B$20,D372),"n.d.")</f>
        <v>5.855892595</v>
      </c>
      <c r="J372" s="22">
        <f>IF(COUNT(H372,I372)=2,H372/I372,"n.d.")</f>
        <v>384703.15728189657</v>
      </c>
    </row>
    <row r="373" spans="1:11" ht="19" customHeight="1">
      <c r="A373" s="18" t="s">
        <v>5</v>
      </c>
      <c r="B373" s="18" t="s">
        <v>185</v>
      </c>
      <c r="C373" s="18" t="s">
        <v>16</v>
      </c>
      <c r="D373" s="18" t="s">
        <v>186</v>
      </c>
      <c r="E373" s="18" t="s">
        <v>214</v>
      </c>
      <c r="F373" s="18" t="s">
        <v>78</v>
      </c>
      <c r="G373" s="26">
        <v>5370</v>
      </c>
      <c r="H373" s="22">
        <v>1014366.430000069</v>
      </c>
      <c r="I373" s="27">
        <f>IF(COUNTIFS('Taux'!$A$6:$A$20,A373,'Taux'!$B$6:$B$20,D373)=1,SUMIFS('Taux'!$D$6:$D$20,'Taux'!$A$6:$A$20,A373,'Taux'!$B$6:$B$20,D373),"n.d.")</f>
        <v>5.855892595</v>
      </c>
      <c r="J373" s="22">
        <f>IF(COUNT(H373,I373)=2,H373/I373,"n.d.")</f>
        <v>173221.48819228273</v>
      </c>
    </row>
    <row r="374" spans="1:11" ht="19" customHeight="1">
      <c r="A374" s="18" t="s">
        <v>5</v>
      </c>
      <c r="B374" s="18" t="s">
        <v>185</v>
      </c>
      <c r="C374" s="18" t="s">
        <v>16</v>
      </c>
      <c r="D374" s="18" t="s">
        <v>186</v>
      </c>
      <c r="E374" s="18" t="s">
        <v>214</v>
      </c>
      <c r="F374" s="18" t="s">
        <v>79</v>
      </c>
      <c r="G374" s="26">
        <v>23478</v>
      </c>
      <c r="H374" s="22">
        <v>1548755.750001905</v>
      </c>
      <c r="I374" s="27">
        <f>IF(COUNTIFS('Taux'!$A$6:$A$20,A374,'Taux'!$B$6:$B$20,D374)=1,SUMIFS('Taux'!$D$6:$D$20,'Taux'!$A$6:$A$20,A374,'Taux'!$B$6:$B$20,D374),"n.d.")</f>
        <v>5.855892595</v>
      </c>
      <c r="J374" s="22">
        <f>IF(COUNT(H374,I374)=2,H374/I374,"n.d.")</f>
        <v>264478.1687635965</v>
      </c>
    </row>
    <row r="375" spans="1:11" ht="19" customHeight="1">
      <c r="A375" s="18" t="s">
        <v>5</v>
      </c>
      <c r="B375" s="18" t="s">
        <v>185</v>
      </c>
      <c r="C375" s="18" t="s">
        <v>16</v>
      </c>
      <c r="D375" s="18" t="s">
        <v>186</v>
      </c>
      <c r="E375" s="18" t="s">
        <v>214</v>
      </c>
      <c r="F375" s="18" t="s">
        <v>80</v>
      </c>
      <c r="G375" s="26">
        <v>10987</v>
      </c>
      <c r="H375" s="22">
        <v>2051330.700000692</v>
      </c>
      <c r="I375" s="27">
        <f>IF(COUNTIFS('Taux'!$A$6:$A$20,A375,'Taux'!$B$6:$B$20,D375)=1,SUMIFS('Taux'!$D$6:$D$20,'Taux'!$A$6:$A$20,A375,'Taux'!$B$6:$B$20,D375),"n.d.")</f>
        <v>5.855892595</v>
      </c>
      <c r="J375" s="22">
        <f>IF(COUNT(H375,I375)=2,H375/I375,"n.d.")</f>
        <v>350301.96792752005</v>
      </c>
    </row>
    <row r="376" spans="1:11" ht="19" customHeight="1">
      <c r="A376" s="18" t="s">
        <v>5</v>
      </c>
      <c r="B376" s="18" t="s">
        <v>185</v>
      </c>
      <c r="C376" s="18" t="s">
        <v>16</v>
      </c>
      <c r="D376" s="18" t="s">
        <v>186</v>
      </c>
      <c r="E376" s="18" t="s">
        <v>214</v>
      </c>
      <c r="F376" s="18" t="s">
        <v>50</v>
      </c>
      <c r="G376" s="26">
        <v>8100</v>
      </c>
      <c r="H376" s="22">
        <v>656996.040000002</v>
      </c>
      <c r="I376" s="27">
        <f>IF(COUNTIFS('Taux'!$A$6:$A$20,A376,'Taux'!$B$6:$B$20,D376)=1,SUMIFS('Taux'!$D$6:$D$20,'Taux'!$A$6:$A$20,A376,'Taux'!$B$6:$B$20,D376),"n.d.")</f>
        <v>5.855892595</v>
      </c>
      <c r="J376" s="22">
        <f>IF(COUNT(H376,I376)=2,H376/I376,"n.d.")</f>
        <v>112194.00447354038</v>
      </c>
    </row>
    <row r="377" spans="1:11" ht="19" customHeight="1">
      <c r="A377" s="18" t="s">
        <v>5</v>
      </c>
      <c r="B377" s="18" t="s">
        <v>185</v>
      </c>
      <c r="C377" s="18" t="s">
        <v>16</v>
      </c>
      <c r="D377" s="18" t="s">
        <v>186</v>
      </c>
      <c r="E377" s="18" t="s">
        <v>214</v>
      </c>
      <c r="F377" s="18" t="s">
        <v>51</v>
      </c>
      <c r="G377" s="26">
        <v>960</v>
      </c>
      <c r="H377" s="22">
        <v>104486.6699999993</v>
      </c>
      <c r="I377" s="27">
        <f>IF(COUNTIFS('Taux'!$A$6:$A$20,A377,'Taux'!$B$6:$B$20,D377)=1,SUMIFS('Taux'!$D$6:$D$20,'Taux'!$A$6:$A$20,A377,'Taux'!$B$6:$B$20,D377),"n.d.")</f>
        <v>5.855892595</v>
      </c>
      <c r="J377" s="22">
        <f>IF(COUNT(H377,I377)=2,H377/I377,"n.d.")</f>
        <v>17842.996316089244</v>
      </c>
    </row>
    <row r="378" spans="1:11" ht="19" customHeight="1">
      <c r="A378" s="18" t="s">
        <v>5</v>
      </c>
      <c r="B378" s="18" t="s">
        <v>176</v>
      </c>
      <c r="C378" s="18" t="s">
        <v>87</v>
      </c>
      <c r="D378" s="18" t="s">
        <v>174</v>
      </c>
      <c r="E378" s="18" t="s">
        <v>229</v>
      </c>
      <c r="F378" s="18" t="s">
        <v>66</v>
      </c>
      <c r="G378" s="26">
        <v>8</v>
      </c>
      <c r="H378" s="22">
        <v>3</v>
      </c>
      <c r="I378" s="27">
        <f>IF(COUNTIFS('Taux'!$A$6:$A$20,A378,'Taux'!$B$6:$B$20,D378)=1,SUMIFS('Taux'!$D$6:$D$20,'Taux'!$A$6:$A$20,A378,'Taux'!$B$6:$B$20,D378),"n.d.")</f>
        <v>1</v>
      </c>
      <c r="J378" s="22">
        <f>IF(COUNT(H378,I378)=2,H378/I378,"n.d.")</f>
        <v>3.0</v>
      </c>
    </row>
    <row r="379" spans="1:11" ht="19" customHeight="1">
      <c r="A379" s="18" t="s">
        <v>5</v>
      </c>
      <c r="B379" s="18" t="s">
        <v>176</v>
      </c>
      <c r="C379" s="18" t="s">
        <v>87</v>
      </c>
      <c r="D379" s="18" t="s">
        <v>174</v>
      </c>
      <c r="E379" s="18" t="s">
        <v>229</v>
      </c>
      <c r="F379" s="18" t="s">
        <v>67</v>
      </c>
      <c r="G379" s="26">
        <v>14</v>
      </c>
      <c r="H379" s="22">
        <v>82</v>
      </c>
      <c r="I379" s="27">
        <f>IF(COUNTIFS('Taux'!$A$6:$A$20,A379,'Taux'!$B$6:$B$20,D379)=1,SUMIFS('Taux'!$D$6:$D$20,'Taux'!$A$6:$A$20,A379,'Taux'!$B$6:$B$20,D379),"n.d.")</f>
        <v>1</v>
      </c>
      <c r="J379" s="22">
        <f>IF(COUNT(H379,I379)=2,H379/I379,"n.d.")</f>
        <v>82.0</v>
      </c>
    </row>
    <row r="380" spans="1:11" ht="19" customHeight="1">
      <c r="A380" s="18" t="s">
        <v>5</v>
      </c>
      <c r="B380" s="18" t="s">
        <v>176</v>
      </c>
      <c r="C380" s="18" t="s">
        <v>87</v>
      </c>
      <c r="D380" s="18" t="s">
        <v>174</v>
      </c>
      <c r="E380" s="18" t="s">
        <v>229</v>
      </c>
      <c r="F380" s="18" t="s">
        <v>68</v>
      </c>
      <c r="G380" s="26">
        <v>34</v>
      </c>
      <c r="H380" s="22">
        <v>1617</v>
      </c>
      <c r="I380" s="27">
        <f>IF(COUNTIFS('Taux'!$A$6:$A$20,A380,'Taux'!$B$6:$B$20,D380)=1,SUMIFS('Taux'!$D$6:$D$20,'Taux'!$A$6:$A$20,A380,'Taux'!$B$6:$B$20,D380),"n.d.")</f>
        <v>1</v>
      </c>
      <c r="J380" s="22">
        <f>IF(COUNT(H380,I380)=2,H380/I380,"n.d.")</f>
        <v>1617.0</v>
      </c>
    </row>
    <row r="381" spans="1:11" ht="19" customHeight="1">
      <c r="A381" s="18" t="s">
        <v>5</v>
      </c>
      <c r="B381" s="18" t="s">
        <v>176</v>
      </c>
      <c r="C381" s="18" t="s">
        <v>87</v>
      </c>
      <c r="D381" s="18" t="s">
        <v>174</v>
      </c>
      <c r="E381" s="18" t="s">
        <v>229</v>
      </c>
      <c r="F381" s="18" t="s">
        <v>69</v>
      </c>
      <c r="G381" s="26">
        <v>14</v>
      </c>
      <c r="H381" s="22">
        <v>2676</v>
      </c>
      <c r="I381" s="27">
        <f>IF(COUNTIFS('Taux'!$A$6:$A$20,A381,'Taux'!$B$6:$B$20,D381)=1,SUMIFS('Taux'!$D$6:$D$20,'Taux'!$A$6:$A$20,A381,'Taux'!$B$6:$B$20,D381),"n.d.")</f>
        <v>1</v>
      </c>
      <c r="J381" s="22">
        <f>IF(COUNT(H381,I381)=2,H381/I381,"n.d.")</f>
        <v>2676.0</v>
      </c>
    </row>
    <row r="382" spans="1:11" ht="19" customHeight="1">
      <c r="A382" s="18" t="s">
        <v>5</v>
      </c>
      <c r="B382" s="18" t="s">
        <v>176</v>
      </c>
      <c r="C382" s="18" t="s">
        <v>87</v>
      </c>
      <c r="D382" s="18" t="s">
        <v>174</v>
      </c>
      <c r="E382" s="18" t="s">
        <v>229</v>
      </c>
      <c r="F382" s="18" t="s">
        <v>70</v>
      </c>
      <c r="G382" s="26">
        <v>4</v>
      </c>
      <c r="H382" s="22">
        <v>9732</v>
      </c>
      <c r="I382" s="27">
        <f>IF(COUNTIFS('Taux'!$A$6:$A$20,A382,'Taux'!$B$6:$B$20,D382)=1,SUMIFS('Taux'!$D$6:$D$20,'Taux'!$A$6:$A$20,A382,'Taux'!$B$6:$B$20,D382),"n.d.")</f>
        <v>1</v>
      </c>
      <c r="J382" s="22">
        <f>IF(COUNT(H382,I382)=2,H382/I382,"n.d.")</f>
        <v>9732.0</v>
      </c>
    </row>
    <row r="383" spans="1:11" ht="19" customHeight="1">
      <c r="A383" s="18" t="s">
        <v>5</v>
      </c>
      <c r="B383" s="18" t="s">
        <v>176</v>
      </c>
      <c r="C383" s="18" t="s">
        <v>87</v>
      </c>
      <c r="D383" s="18" t="s">
        <v>174</v>
      </c>
      <c r="E383" s="18" t="s">
        <v>214</v>
      </c>
      <c r="F383" s="18" t="s">
        <v>73</v>
      </c>
      <c r="G383" s="23" t="s">
        <v>39</v>
      </c>
      <c r="H383" s="23" t="s">
        <v>39</v>
      </c>
      <c r="I383" s="27">
        <f>IF(COUNTIFS('Taux'!$A$6:$A$20,A383,'Taux'!$B$6:$B$20,D383)=1,SUMIFS('Taux'!$D$6:$D$20,'Taux'!$A$6:$A$20,A383,'Taux'!$B$6:$B$20,D383),"n.d.")</f>
        <v>1</v>
      </c>
      <c r="J383" s="22" t="str">
        <f>IF(COUNT(H383,I383)=2,H383/I383,"n.d.")</f>
        <v>n.d.</v>
      </c>
    </row>
    <row r="384" spans="1:11" ht="19" customHeight="1">
      <c r="A384" s="18" t="s">
        <v>5</v>
      </c>
      <c r="B384" s="18" t="s">
        <v>176</v>
      </c>
      <c r="C384" s="18" t="s">
        <v>87</v>
      </c>
      <c r="D384" s="18" t="s">
        <v>174</v>
      </c>
      <c r="E384" s="18" t="s">
        <v>214</v>
      </c>
      <c r="F384" s="18" t="s">
        <v>74</v>
      </c>
      <c r="G384" s="23" t="s">
        <v>39</v>
      </c>
      <c r="H384" s="23" t="s">
        <v>39</v>
      </c>
      <c r="I384" s="27">
        <f>IF(COUNTIFS('Taux'!$A$6:$A$20,A384,'Taux'!$B$6:$B$20,D384)=1,SUMIFS('Taux'!$D$6:$D$20,'Taux'!$A$6:$A$20,A384,'Taux'!$B$6:$B$20,D384),"n.d.")</f>
        <v>1</v>
      </c>
      <c r="J384" s="22" t="str">
        <f>IF(COUNT(H384,I384)=2,H384/I384,"n.d.")</f>
        <v>n.d.</v>
      </c>
    </row>
    <row r="385" spans="1:11" ht="19" customHeight="1">
      <c r="A385" s="18" t="s">
        <v>5</v>
      </c>
      <c r="B385" s="18" t="s">
        <v>176</v>
      </c>
      <c r="C385" s="18" t="s">
        <v>87</v>
      </c>
      <c r="D385" s="18" t="s">
        <v>174</v>
      </c>
      <c r="E385" s="18" t="s">
        <v>214</v>
      </c>
      <c r="F385" s="18" t="s">
        <v>75</v>
      </c>
      <c r="G385" s="26">
        <v>1</v>
      </c>
      <c r="H385" s="22">
        <v>2315</v>
      </c>
      <c r="I385" s="27">
        <f>IF(COUNTIFS('Taux'!$A$6:$A$20,A385,'Taux'!$B$6:$B$20,D385)=1,SUMIFS('Taux'!$D$6:$D$20,'Taux'!$A$6:$A$20,A385,'Taux'!$B$6:$B$20,D385),"n.d.")</f>
        <v>1</v>
      </c>
      <c r="J385" s="22">
        <f>IF(COUNT(H385,I385)=2,H385/I385,"n.d.")</f>
        <v>2315.0</v>
      </c>
    </row>
    <row r="386" spans="1:11" ht="19" customHeight="1">
      <c r="A386" s="18" t="s">
        <v>5</v>
      </c>
      <c r="B386" s="18" t="s">
        <v>176</v>
      </c>
      <c r="C386" s="18" t="s">
        <v>87</v>
      </c>
      <c r="D386" s="18" t="s">
        <v>174</v>
      </c>
      <c r="E386" s="18" t="s">
        <v>214</v>
      </c>
      <c r="F386" s="18" t="s">
        <v>76</v>
      </c>
      <c r="G386" s="23" t="s">
        <v>39</v>
      </c>
      <c r="H386" s="23" t="s">
        <v>39</v>
      </c>
      <c r="I386" s="27">
        <f>IF(COUNTIFS('Taux'!$A$6:$A$20,A386,'Taux'!$B$6:$B$20,D386)=1,SUMIFS('Taux'!$D$6:$D$20,'Taux'!$A$6:$A$20,A386,'Taux'!$B$6:$B$20,D386),"n.d.")</f>
        <v>1</v>
      </c>
      <c r="J386" s="22" t="str">
        <f>IF(COUNT(H386,I386)=2,H386/I386,"n.d.")</f>
        <v>n.d.</v>
      </c>
    </row>
    <row r="387" spans="1:11" ht="19" customHeight="1">
      <c r="A387" s="18" t="s">
        <v>5</v>
      </c>
      <c r="B387" s="18" t="s">
        <v>176</v>
      </c>
      <c r="C387" s="18" t="s">
        <v>87</v>
      </c>
      <c r="D387" s="18" t="s">
        <v>174</v>
      </c>
      <c r="E387" s="18" t="s">
        <v>214</v>
      </c>
      <c r="F387" s="18" t="s">
        <v>77</v>
      </c>
      <c r="G387" s="26">
        <v>1</v>
      </c>
      <c r="H387" s="22">
        <v>81</v>
      </c>
      <c r="I387" s="27">
        <f>IF(COUNTIFS('Taux'!$A$6:$A$20,A387,'Taux'!$B$6:$B$20,D387)=1,SUMIFS('Taux'!$D$6:$D$20,'Taux'!$A$6:$A$20,A387,'Taux'!$B$6:$B$20,D387),"n.d.")</f>
        <v>1</v>
      </c>
      <c r="J387" s="22">
        <f>IF(COUNT(H387,I387)=2,H387/I387,"n.d.")</f>
        <v>81.0</v>
      </c>
    </row>
    <row r="388" spans="1:11" ht="19" customHeight="1">
      <c r="A388" s="18" t="s">
        <v>5</v>
      </c>
      <c r="B388" s="18" t="s">
        <v>176</v>
      </c>
      <c r="C388" s="18" t="s">
        <v>87</v>
      </c>
      <c r="D388" s="18" t="s">
        <v>174</v>
      </c>
      <c r="E388" s="18" t="s">
        <v>214</v>
      </c>
      <c r="F388" s="18" t="s">
        <v>78</v>
      </c>
      <c r="G388" s="23" t="s">
        <v>39</v>
      </c>
      <c r="H388" s="23" t="s">
        <v>39</v>
      </c>
      <c r="I388" s="27">
        <f>IF(COUNTIFS('Taux'!$A$6:$A$20,A388,'Taux'!$B$6:$B$20,D388)=1,SUMIFS('Taux'!$D$6:$D$20,'Taux'!$A$6:$A$20,A388,'Taux'!$B$6:$B$20,D388),"n.d.")</f>
        <v>1</v>
      </c>
      <c r="J388" s="22" t="str">
        <f>IF(COUNT(H388,I388)=2,H388/I388,"n.d.")</f>
        <v>n.d.</v>
      </c>
    </row>
    <row r="389" spans="1:11" ht="19" customHeight="1">
      <c r="A389" s="18" t="s">
        <v>5</v>
      </c>
      <c r="B389" s="18" t="s">
        <v>176</v>
      </c>
      <c r="C389" s="18" t="s">
        <v>87</v>
      </c>
      <c r="D389" s="18" t="s">
        <v>174</v>
      </c>
      <c r="E389" s="18" t="s">
        <v>214</v>
      </c>
      <c r="F389" s="18" t="s">
        <v>79</v>
      </c>
      <c r="G389" s="26">
        <v>1</v>
      </c>
      <c r="H389" s="22">
        <v>47</v>
      </c>
      <c r="I389" s="27">
        <f>IF(COUNTIFS('Taux'!$A$6:$A$20,A389,'Taux'!$B$6:$B$20,D389)=1,SUMIFS('Taux'!$D$6:$D$20,'Taux'!$A$6:$A$20,A389,'Taux'!$B$6:$B$20,D389),"n.d.")</f>
        <v>1</v>
      </c>
      <c r="J389" s="22">
        <f>IF(COUNT(H389,I389)=2,H389/I389,"n.d.")</f>
        <v>47.0</v>
      </c>
    </row>
    <row r="390" spans="1:11" ht="19" customHeight="1">
      <c r="A390" s="18" t="s">
        <v>5</v>
      </c>
      <c r="B390" s="18" t="s">
        <v>176</v>
      </c>
      <c r="C390" s="18" t="s">
        <v>87</v>
      </c>
      <c r="D390" s="18" t="s">
        <v>174</v>
      </c>
      <c r="E390" s="18" t="s">
        <v>214</v>
      </c>
      <c r="F390" s="18" t="s">
        <v>80</v>
      </c>
      <c r="G390" s="26">
        <v>3</v>
      </c>
      <c r="H390" s="22">
        <v>3734</v>
      </c>
      <c r="I390" s="27">
        <f>IF(COUNTIFS('Taux'!$A$6:$A$20,A390,'Taux'!$B$6:$B$20,D390)=1,SUMIFS('Taux'!$D$6:$D$20,'Taux'!$A$6:$A$20,A390,'Taux'!$B$6:$B$20,D390),"n.d.")</f>
        <v>1</v>
      </c>
      <c r="J390" s="22">
        <f>IF(COUNT(H390,I390)=2,H390/I390,"n.d.")</f>
        <v>3734.0</v>
      </c>
    </row>
    <row r="391" spans="1:11" ht="19" customHeight="1">
      <c r="A391" s="18" t="s">
        <v>5</v>
      </c>
      <c r="B391" s="18" t="s">
        <v>176</v>
      </c>
      <c r="C391" s="18" t="s">
        <v>87</v>
      </c>
      <c r="D391" s="18" t="s">
        <v>174</v>
      </c>
      <c r="E391" s="18" t="s">
        <v>214</v>
      </c>
      <c r="F391" s="18" t="s">
        <v>50</v>
      </c>
      <c r="G391" s="26">
        <v>9</v>
      </c>
      <c r="H391" s="22">
        <v>1125</v>
      </c>
      <c r="I391" s="27">
        <f>IF(COUNTIFS('Taux'!$A$6:$A$20,A391,'Taux'!$B$6:$B$20,D391)=1,SUMIFS('Taux'!$D$6:$D$20,'Taux'!$A$6:$A$20,A391,'Taux'!$B$6:$B$20,D391),"n.d.")</f>
        <v>1</v>
      </c>
      <c r="J391" s="22">
        <f>IF(COUNT(H391,I391)=2,H391/I391,"n.d.")</f>
        <v>1125.0</v>
      </c>
    </row>
    <row r="392" spans="1:11" ht="19" customHeight="1">
      <c r="A392" s="18" t="s">
        <v>5</v>
      </c>
      <c r="B392" s="18" t="s">
        <v>176</v>
      </c>
      <c r="C392" s="18" t="s">
        <v>87</v>
      </c>
      <c r="D392" s="18" t="s">
        <v>174</v>
      </c>
      <c r="E392" s="18" t="s">
        <v>214</v>
      </c>
      <c r="F392" s="18" t="s">
        <v>51</v>
      </c>
      <c r="G392" s="26">
        <v>59</v>
      </c>
      <c r="H392" s="22">
        <v>6808</v>
      </c>
      <c r="I392" s="27">
        <f>IF(COUNTIFS('Taux'!$A$6:$A$20,A392,'Taux'!$B$6:$B$20,D392)=1,SUMIFS('Taux'!$D$6:$D$20,'Taux'!$A$6:$A$20,A392,'Taux'!$B$6:$B$20,D392),"n.d.")</f>
        <v>1</v>
      </c>
      <c r="J392" s="22">
        <f>IF(COUNT(H392,I392)=2,H392/I392,"n.d.")</f>
        <v>6808.0</v>
      </c>
    </row>
    <row r="393" spans="1:11" ht="19" customHeight="1">
      <c r="A393" s="18" t="s">
        <v>5</v>
      </c>
      <c r="B393" s="18" t="s">
        <v>175</v>
      </c>
      <c r="C393" s="18" t="s">
        <v>83</v>
      </c>
      <c r="D393" s="18" t="s">
        <v>174</v>
      </c>
      <c r="E393" s="18" t="s">
        <v>229</v>
      </c>
      <c r="F393" s="18" t="s">
        <v>66</v>
      </c>
      <c r="G393" s="26">
        <v>2403</v>
      </c>
      <c r="H393" s="22">
        <v>953</v>
      </c>
      <c r="I393" s="27">
        <f>IF(COUNTIFS('Taux'!$A$6:$A$20,A393,'Taux'!$B$6:$B$20,D393)=1,SUMIFS('Taux'!$D$6:$D$20,'Taux'!$A$6:$A$20,A393,'Taux'!$B$6:$B$20,D393),"n.d.")</f>
        <v>1</v>
      </c>
      <c r="J393" s="22">
        <f>IF(COUNT(H393,I393)=2,H393/I393,"n.d.")</f>
        <v>953.0</v>
      </c>
    </row>
    <row r="394" spans="1:11" ht="19" customHeight="1">
      <c r="A394" s="18" t="s">
        <v>5</v>
      </c>
      <c r="B394" s="18" t="s">
        <v>175</v>
      </c>
      <c r="C394" s="18" t="s">
        <v>83</v>
      </c>
      <c r="D394" s="18" t="s">
        <v>174</v>
      </c>
      <c r="E394" s="18" t="s">
        <v>229</v>
      </c>
      <c r="F394" s="18" t="s">
        <v>67</v>
      </c>
      <c r="G394" s="26">
        <v>4235</v>
      </c>
      <c r="H394" s="22">
        <v>22237</v>
      </c>
      <c r="I394" s="27">
        <f>IF(COUNTIFS('Taux'!$A$6:$A$20,A394,'Taux'!$B$6:$B$20,D394)=1,SUMIFS('Taux'!$D$6:$D$20,'Taux'!$A$6:$A$20,A394,'Taux'!$B$6:$B$20,D394),"n.d.")</f>
        <v>1</v>
      </c>
      <c r="J394" s="22">
        <f>IF(COUNT(H394,I394)=2,H394/I394,"n.d.")</f>
        <v>22237.0</v>
      </c>
    </row>
    <row r="395" spans="1:11" ht="19" customHeight="1">
      <c r="A395" s="18" t="s">
        <v>5</v>
      </c>
      <c r="B395" s="18" t="s">
        <v>175</v>
      </c>
      <c r="C395" s="18" t="s">
        <v>83</v>
      </c>
      <c r="D395" s="18" t="s">
        <v>174</v>
      </c>
      <c r="E395" s="18" t="s">
        <v>229</v>
      </c>
      <c r="F395" s="18" t="s">
        <v>68</v>
      </c>
      <c r="G395" s="26">
        <v>12403</v>
      </c>
      <c r="H395" s="22">
        <v>494708</v>
      </c>
      <c r="I395" s="27">
        <f>IF(COUNTIFS('Taux'!$A$6:$A$20,A395,'Taux'!$B$6:$B$20,D395)=1,SUMIFS('Taux'!$D$6:$D$20,'Taux'!$A$6:$A$20,A395,'Taux'!$B$6:$B$20,D395),"n.d.")</f>
        <v>1</v>
      </c>
      <c r="J395" s="22">
        <f>IF(COUNT(H395,I395)=2,H395/I395,"n.d.")</f>
        <v>494708.0</v>
      </c>
    </row>
    <row r="396" spans="1:11" ht="19" customHeight="1">
      <c r="A396" s="18" t="s">
        <v>5</v>
      </c>
      <c r="B396" s="18" t="s">
        <v>175</v>
      </c>
      <c r="C396" s="18" t="s">
        <v>83</v>
      </c>
      <c r="D396" s="18" t="s">
        <v>174</v>
      </c>
      <c r="E396" s="18" t="s">
        <v>229</v>
      </c>
      <c r="F396" s="18" t="s">
        <v>84</v>
      </c>
      <c r="G396" s="26">
        <v>3657</v>
      </c>
      <c r="H396" s="22">
        <v>773945</v>
      </c>
      <c r="I396" s="27">
        <f>IF(COUNTIFS('Taux'!$A$6:$A$20,A396,'Taux'!$B$6:$B$20,D396)=1,SUMIFS('Taux'!$D$6:$D$20,'Taux'!$A$6:$A$20,A396,'Taux'!$B$6:$B$20,D396),"n.d.")</f>
        <v>1</v>
      </c>
      <c r="J396" s="22">
        <f>IF(COUNT(H396,I396)=2,H396/I396,"n.d.")</f>
        <v>773945.0</v>
      </c>
    </row>
    <row r="397" spans="1:11" ht="19" customHeight="1">
      <c r="A397" s="18" t="s">
        <v>5</v>
      </c>
      <c r="B397" s="18" t="s">
        <v>175</v>
      </c>
      <c r="C397" s="18" t="s">
        <v>83</v>
      </c>
      <c r="D397" s="18" t="s">
        <v>174</v>
      </c>
      <c r="E397" s="18" t="s">
        <v>229</v>
      </c>
      <c r="F397" s="18" t="s">
        <v>85</v>
      </c>
      <c r="G397" s="26">
        <v>384</v>
      </c>
      <c r="H397" s="22">
        <v>268082</v>
      </c>
      <c r="I397" s="27">
        <f>IF(COUNTIFS('Taux'!$A$6:$A$20,A397,'Taux'!$B$6:$B$20,D397)=1,SUMIFS('Taux'!$D$6:$D$20,'Taux'!$A$6:$A$20,A397,'Taux'!$B$6:$B$20,D397),"n.d.")</f>
        <v>1</v>
      </c>
      <c r="J397" s="22">
        <f>IF(COUNT(H397,I397)=2,H397/I397,"n.d.")</f>
        <v>268082.0</v>
      </c>
    </row>
    <row r="398" spans="1:11" ht="19" customHeight="1">
      <c r="A398" s="18" t="s">
        <v>5</v>
      </c>
      <c r="B398" s="18" t="s">
        <v>175</v>
      </c>
      <c r="C398" s="18" t="s">
        <v>83</v>
      </c>
      <c r="D398" s="18" t="s">
        <v>174</v>
      </c>
      <c r="E398" s="18" t="s">
        <v>229</v>
      </c>
      <c r="F398" s="18" t="s">
        <v>70</v>
      </c>
      <c r="G398" s="26">
        <v>666</v>
      </c>
      <c r="H398" s="22">
        <v>1189327</v>
      </c>
      <c r="I398" s="27">
        <f>IF(COUNTIFS('Taux'!$A$6:$A$20,A398,'Taux'!$B$6:$B$20,D398)=1,SUMIFS('Taux'!$D$6:$D$20,'Taux'!$A$6:$A$20,A398,'Taux'!$B$6:$B$20,D398),"n.d.")</f>
        <v>1</v>
      </c>
      <c r="J398" s="22">
        <f>IF(COUNT(H398,I398)=2,H398/I398,"n.d.")</f>
        <v>1189327.0</v>
      </c>
    </row>
    <row r="399" spans="1:11" ht="19" customHeight="1">
      <c r="A399" s="18" t="s">
        <v>5</v>
      </c>
      <c r="B399" s="18" t="s">
        <v>175</v>
      </c>
      <c r="C399" s="18" t="s">
        <v>83</v>
      </c>
      <c r="D399" s="18" t="s">
        <v>174</v>
      </c>
      <c r="E399" s="18" t="s">
        <v>214</v>
      </c>
      <c r="F399" s="18" t="s">
        <v>73</v>
      </c>
      <c r="G399" s="26">
        <v>2355</v>
      </c>
      <c r="H399" s="22">
        <v>97381</v>
      </c>
      <c r="I399" s="27">
        <f>IF(COUNTIFS('Taux'!$A$6:$A$20,A399,'Taux'!$B$6:$B$20,D399)=1,SUMIFS('Taux'!$D$6:$D$20,'Taux'!$A$6:$A$20,A399,'Taux'!$B$6:$B$20,D399),"n.d.")</f>
        <v>1</v>
      </c>
      <c r="J399" s="22">
        <f>IF(COUNT(H399,I399)=2,H399/I399,"n.d.")</f>
        <v>97381.0</v>
      </c>
    </row>
    <row r="400" spans="1:11" ht="19" customHeight="1">
      <c r="A400" s="18" t="s">
        <v>5</v>
      </c>
      <c r="B400" s="18" t="s">
        <v>175</v>
      </c>
      <c r="C400" s="18" t="s">
        <v>83</v>
      </c>
      <c r="D400" s="18" t="s">
        <v>174</v>
      </c>
      <c r="E400" s="18" t="s">
        <v>214</v>
      </c>
      <c r="F400" s="18" t="s">
        <v>74</v>
      </c>
      <c r="G400" s="26">
        <v>218</v>
      </c>
      <c r="H400" s="22">
        <v>13021</v>
      </c>
      <c r="I400" s="27">
        <f>IF(COUNTIFS('Taux'!$A$6:$A$20,A400,'Taux'!$B$6:$B$20,D400)=1,SUMIFS('Taux'!$D$6:$D$20,'Taux'!$A$6:$A$20,A400,'Taux'!$B$6:$B$20,D400),"n.d.")</f>
        <v>1</v>
      </c>
      <c r="J400" s="22">
        <f>IF(COUNT(H400,I400)=2,H400/I400,"n.d.")</f>
        <v>13021.0</v>
      </c>
    </row>
    <row r="401" spans="1:11" ht="19" customHeight="1">
      <c r="A401" s="18" t="s">
        <v>5</v>
      </c>
      <c r="B401" s="18" t="s">
        <v>175</v>
      </c>
      <c r="C401" s="18" t="s">
        <v>83</v>
      </c>
      <c r="D401" s="18" t="s">
        <v>174</v>
      </c>
      <c r="E401" s="18" t="s">
        <v>214</v>
      </c>
      <c r="F401" s="18" t="s">
        <v>75</v>
      </c>
      <c r="G401" s="26">
        <v>141</v>
      </c>
      <c r="H401" s="22">
        <v>22544</v>
      </c>
      <c r="I401" s="27">
        <f>IF(COUNTIFS('Taux'!$A$6:$A$20,A401,'Taux'!$B$6:$B$20,D401)=1,SUMIFS('Taux'!$D$6:$D$20,'Taux'!$A$6:$A$20,A401,'Taux'!$B$6:$B$20,D401),"n.d.")</f>
        <v>1</v>
      </c>
      <c r="J401" s="22">
        <f>IF(COUNT(H401,I401)=2,H401/I401,"n.d.")</f>
        <v>22544.0</v>
      </c>
    </row>
    <row r="402" spans="1:11" ht="19" customHeight="1">
      <c r="A402" s="18" t="s">
        <v>5</v>
      </c>
      <c r="B402" s="18" t="s">
        <v>175</v>
      </c>
      <c r="C402" s="18" t="s">
        <v>83</v>
      </c>
      <c r="D402" s="18" t="s">
        <v>174</v>
      </c>
      <c r="E402" s="18" t="s">
        <v>214</v>
      </c>
      <c r="F402" s="18" t="s">
        <v>76</v>
      </c>
      <c r="G402" s="26">
        <v>378</v>
      </c>
      <c r="H402" s="22">
        <v>27140</v>
      </c>
      <c r="I402" s="27">
        <f>IF(COUNTIFS('Taux'!$A$6:$A$20,A402,'Taux'!$B$6:$B$20,D402)=1,SUMIFS('Taux'!$D$6:$D$20,'Taux'!$A$6:$A$20,A402,'Taux'!$B$6:$B$20,D402),"n.d.")</f>
        <v>1</v>
      </c>
      <c r="J402" s="22">
        <f>IF(COUNT(H402,I402)=2,H402/I402,"n.d.")</f>
        <v>27140.0</v>
      </c>
    </row>
    <row r="403" spans="1:11" ht="19" customHeight="1">
      <c r="A403" s="18" t="s">
        <v>5</v>
      </c>
      <c r="B403" s="18" t="s">
        <v>175</v>
      </c>
      <c r="C403" s="18" t="s">
        <v>83</v>
      </c>
      <c r="D403" s="18" t="s">
        <v>174</v>
      </c>
      <c r="E403" s="18" t="s">
        <v>214</v>
      </c>
      <c r="F403" s="18" t="s">
        <v>77</v>
      </c>
      <c r="G403" s="26">
        <v>377</v>
      </c>
      <c r="H403" s="22">
        <v>25847</v>
      </c>
      <c r="I403" s="27">
        <f>IF(COUNTIFS('Taux'!$A$6:$A$20,A403,'Taux'!$B$6:$B$20,D403)=1,SUMIFS('Taux'!$D$6:$D$20,'Taux'!$A$6:$A$20,A403,'Taux'!$B$6:$B$20,D403),"n.d.")</f>
        <v>1</v>
      </c>
      <c r="J403" s="22">
        <f>IF(COUNT(H403,I403)=2,H403/I403,"n.d.")</f>
        <v>25847.0</v>
      </c>
    </row>
    <row r="404" spans="1:11" ht="19" customHeight="1">
      <c r="A404" s="18" t="s">
        <v>5</v>
      </c>
      <c r="B404" s="18" t="s">
        <v>175</v>
      </c>
      <c r="C404" s="18" t="s">
        <v>83</v>
      </c>
      <c r="D404" s="18" t="s">
        <v>174</v>
      </c>
      <c r="E404" s="18" t="s">
        <v>214</v>
      </c>
      <c r="F404" s="18" t="s">
        <v>78</v>
      </c>
      <c r="G404" s="26">
        <v>538</v>
      </c>
      <c r="H404" s="22">
        <v>259900</v>
      </c>
      <c r="I404" s="27">
        <f>IF(COUNTIFS('Taux'!$A$6:$A$20,A404,'Taux'!$B$6:$B$20,D404)=1,SUMIFS('Taux'!$D$6:$D$20,'Taux'!$A$6:$A$20,A404,'Taux'!$B$6:$B$20,D404),"n.d.")</f>
        <v>1</v>
      </c>
      <c r="J404" s="22">
        <f>IF(COUNT(H404,I404)=2,H404/I404,"n.d.")</f>
        <v>259900.0</v>
      </c>
    </row>
    <row r="405" spans="1:11" ht="19" customHeight="1">
      <c r="A405" s="18" t="s">
        <v>5</v>
      </c>
      <c r="B405" s="18" t="s">
        <v>175</v>
      </c>
      <c r="C405" s="18" t="s">
        <v>83</v>
      </c>
      <c r="D405" s="18" t="s">
        <v>174</v>
      </c>
      <c r="E405" s="18" t="s">
        <v>214</v>
      </c>
      <c r="F405" s="18" t="s">
        <v>79</v>
      </c>
      <c r="G405" s="26">
        <v>805</v>
      </c>
      <c r="H405" s="22">
        <v>191046</v>
      </c>
      <c r="I405" s="27">
        <f>IF(COUNTIFS('Taux'!$A$6:$A$20,A405,'Taux'!$B$6:$B$20,D405)=1,SUMIFS('Taux'!$D$6:$D$20,'Taux'!$A$6:$A$20,A405,'Taux'!$B$6:$B$20,D405),"n.d.")</f>
        <v>1</v>
      </c>
      <c r="J405" s="22">
        <f>IF(COUNT(H405,I405)=2,H405/I405,"n.d.")</f>
        <v>191046.0</v>
      </c>
    </row>
    <row r="406" spans="1:11" ht="19" customHeight="1">
      <c r="A406" s="18" t="s">
        <v>5</v>
      </c>
      <c r="B406" s="18" t="s">
        <v>175</v>
      </c>
      <c r="C406" s="18" t="s">
        <v>83</v>
      </c>
      <c r="D406" s="18" t="s">
        <v>174</v>
      </c>
      <c r="E406" s="18" t="s">
        <v>214</v>
      </c>
      <c r="F406" s="18" t="s">
        <v>80</v>
      </c>
      <c r="G406" s="26">
        <v>1969</v>
      </c>
      <c r="H406" s="22">
        <v>173800</v>
      </c>
      <c r="I406" s="27">
        <f>IF(COUNTIFS('Taux'!$A$6:$A$20,A406,'Taux'!$B$6:$B$20,D406)=1,SUMIFS('Taux'!$D$6:$D$20,'Taux'!$A$6:$A$20,A406,'Taux'!$B$6:$B$20,D406),"n.d.")</f>
        <v>1</v>
      </c>
      <c r="J406" s="22">
        <f>IF(COUNT(H406,I406)=2,H406/I406,"n.d.")</f>
        <v>173800.0</v>
      </c>
    </row>
    <row r="407" spans="1:11" ht="19" customHeight="1">
      <c r="A407" s="18" t="s">
        <v>5</v>
      </c>
      <c r="B407" s="18" t="s">
        <v>175</v>
      </c>
      <c r="C407" s="18" t="s">
        <v>83</v>
      </c>
      <c r="D407" s="18" t="s">
        <v>174</v>
      </c>
      <c r="E407" s="18" t="s">
        <v>214</v>
      </c>
      <c r="F407" s="18" t="s">
        <v>50</v>
      </c>
      <c r="G407" s="26">
        <v>2544</v>
      </c>
      <c r="H407" s="22">
        <v>303678</v>
      </c>
      <c r="I407" s="27">
        <f>IF(COUNTIFS('Taux'!$A$6:$A$20,A407,'Taux'!$B$6:$B$20,D407)=1,SUMIFS('Taux'!$D$6:$D$20,'Taux'!$A$6:$A$20,A407,'Taux'!$B$6:$B$20,D407),"n.d.")</f>
        <v>1</v>
      </c>
      <c r="J407" s="22">
        <f>IF(COUNT(H407,I407)=2,H407/I407,"n.d.")</f>
        <v>303678.0</v>
      </c>
    </row>
    <row r="408" spans="1:11" ht="19" customHeight="1">
      <c r="A408" s="18" t="s">
        <v>5</v>
      </c>
      <c r="B408" s="18" t="s">
        <v>175</v>
      </c>
      <c r="C408" s="18" t="s">
        <v>83</v>
      </c>
      <c r="D408" s="18" t="s">
        <v>174</v>
      </c>
      <c r="E408" s="18" t="s">
        <v>214</v>
      </c>
      <c r="F408" s="18" t="s">
        <v>51</v>
      </c>
      <c r="G408" s="26">
        <v>14153</v>
      </c>
      <c r="H408" s="22">
        <v>1634895</v>
      </c>
      <c r="I408" s="27">
        <f>IF(COUNTIFS('Taux'!$A$6:$A$20,A408,'Taux'!$B$6:$B$20,D408)=1,SUMIFS('Taux'!$D$6:$D$20,'Taux'!$A$6:$A$20,A408,'Taux'!$B$6:$B$20,D408),"n.d.")</f>
        <v>1</v>
      </c>
      <c r="J408" s="22">
        <f>IF(COUNT(H408,I408)=2,H408/I408,"n.d.")</f>
        <v>1634895.0</v>
      </c>
    </row>
    <row r="409" spans="1:11" ht="19" customHeight="1">
      <c r="A409" s="18" t="s">
        <v>5</v>
      </c>
      <c r="B409" s="18" t="s">
        <v>180</v>
      </c>
      <c r="C409" s="18" t="s">
        <v>12</v>
      </c>
      <c r="D409" s="18" t="s">
        <v>174</v>
      </c>
      <c r="E409" s="18" t="s">
        <v>229</v>
      </c>
      <c r="F409" s="18" t="s">
        <v>66</v>
      </c>
      <c r="G409" s="26">
        <v>2771</v>
      </c>
      <c r="H409" s="22">
        <v>822</v>
      </c>
      <c r="I409" s="27">
        <f>IF(COUNTIFS('Taux'!$A$6:$A$20,A409,'Taux'!$B$6:$B$20,D409)=1,SUMIFS('Taux'!$D$6:$D$20,'Taux'!$A$6:$A$20,A409,'Taux'!$B$6:$B$20,D409),"n.d.")</f>
        <v>1</v>
      </c>
      <c r="J409" s="22">
        <f>IF(COUNT(H409,I409)=2,H409/I409,"n.d.")</f>
        <v>822.0</v>
      </c>
    </row>
    <row r="410" spans="1:11" ht="19" customHeight="1">
      <c r="A410" s="18" t="s">
        <v>5</v>
      </c>
      <c r="B410" s="18" t="s">
        <v>180</v>
      </c>
      <c r="C410" s="18" t="s">
        <v>12</v>
      </c>
      <c r="D410" s="18" t="s">
        <v>174</v>
      </c>
      <c r="E410" s="18" t="s">
        <v>229</v>
      </c>
      <c r="F410" s="18" t="s">
        <v>67</v>
      </c>
      <c r="G410" s="26">
        <v>2655</v>
      </c>
      <c r="H410" s="22">
        <v>12415</v>
      </c>
      <c r="I410" s="27">
        <f>IF(COUNTIFS('Taux'!$A$6:$A$20,A410,'Taux'!$B$6:$B$20,D410)=1,SUMIFS('Taux'!$D$6:$D$20,'Taux'!$A$6:$A$20,A410,'Taux'!$B$6:$B$20,D410),"n.d.")</f>
        <v>1</v>
      </c>
      <c r="J410" s="22">
        <f>IF(COUNT(H410,I410)=2,H410/I410,"n.d.")</f>
        <v>12415.0</v>
      </c>
    </row>
    <row r="411" spans="1:11" ht="19" customHeight="1">
      <c r="A411" s="18" t="s">
        <v>5</v>
      </c>
      <c r="B411" s="18" t="s">
        <v>180</v>
      </c>
      <c r="C411" s="18" t="s">
        <v>12</v>
      </c>
      <c r="D411" s="18" t="s">
        <v>174</v>
      </c>
      <c r="E411" s="18" t="s">
        <v>229</v>
      </c>
      <c r="F411" s="18" t="s">
        <v>68</v>
      </c>
      <c r="G411" s="26">
        <v>5941</v>
      </c>
      <c r="H411" s="22">
        <v>265568</v>
      </c>
      <c r="I411" s="27">
        <f>IF(COUNTIFS('Taux'!$A$6:$A$20,A411,'Taux'!$B$6:$B$20,D411)=1,SUMIFS('Taux'!$D$6:$D$20,'Taux'!$A$6:$A$20,A411,'Taux'!$B$6:$B$20,D411),"n.d.")</f>
        <v>1</v>
      </c>
      <c r="J411" s="22">
        <f>IF(COUNT(H411,I411)=2,H411/I411,"n.d.")</f>
        <v>265568.0</v>
      </c>
    </row>
    <row r="412" spans="1:11" ht="19" customHeight="1">
      <c r="A412" s="18" t="s">
        <v>5</v>
      </c>
      <c r="B412" s="18" t="s">
        <v>180</v>
      </c>
      <c r="C412" s="18" t="s">
        <v>12</v>
      </c>
      <c r="D412" s="18" t="s">
        <v>174</v>
      </c>
      <c r="E412" s="18" t="s">
        <v>229</v>
      </c>
      <c r="F412" s="18" t="s">
        <v>69</v>
      </c>
      <c r="G412" s="26">
        <v>4688</v>
      </c>
      <c r="H412" s="22">
        <v>1357568</v>
      </c>
      <c r="I412" s="27">
        <f>IF(COUNTIFS('Taux'!$A$6:$A$20,A412,'Taux'!$B$6:$B$20,D412)=1,SUMIFS('Taux'!$D$6:$D$20,'Taux'!$A$6:$A$20,A412,'Taux'!$B$6:$B$20,D412),"n.d.")</f>
        <v>1</v>
      </c>
      <c r="J412" s="22">
        <f>IF(COUNT(H412,I412)=2,H412/I412,"n.d.")</f>
        <v>1357568.0</v>
      </c>
    </row>
    <row r="413" spans="1:11" ht="19" customHeight="1">
      <c r="A413" s="18" t="s">
        <v>5</v>
      </c>
      <c r="B413" s="18" t="s">
        <v>180</v>
      </c>
      <c r="C413" s="18" t="s">
        <v>12</v>
      </c>
      <c r="D413" s="18" t="s">
        <v>174</v>
      </c>
      <c r="E413" s="18" t="s">
        <v>229</v>
      </c>
      <c r="F413" s="18" t="s">
        <v>70</v>
      </c>
      <c r="G413" s="26">
        <v>559</v>
      </c>
      <c r="H413" s="22">
        <v>1247268</v>
      </c>
      <c r="I413" s="27">
        <f>IF(COUNTIFS('Taux'!$A$6:$A$20,A413,'Taux'!$B$6:$B$20,D413)=1,SUMIFS('Taux'!$D$6:$D$20,'Taux'!$A$6:$A$20,A413,'Taux'!$B$6:$B$20,D413),"n.d.")</f>
        <v>1</v>
      </c>
      <c r="J413" s="22">
        <f>IF(COUNT(H413,I413)=2,H413/I413,"n.d.")</f>
        <v>1247268.0</v>
      </c>
    </row>
    <row r="414" spans="1:11" ht="19" customHeight="1">
      <c r="A414" s="18" t="s">
        <v>5</v>
      </c>
      <c r="B414" s="18" t="s">
        <v>180</v>
      </c>
      <c r="C414" s="18" t="s">
        <v>12</v>
      </c>
      <c r="D414" s="18" t="s">
        <v>174</v>
      </c>
      <c r="E414" s="18" t="s">
        <v>214</v>
      </c>
      <c r="F414" s="18" t="s">
        <v>73</v>
      </c>
      <c r="G414" s="26">
        <v>0</v>
      </c>
      <c r="H414" s="22">
        <v>0</v>
      </c>
      <c r="I414" s="27">
        <f>IF(COUNTIFS('Taux'!$A$6:$A$20,A414,'Taux'!$B$6:$B$20,D414)=1,SUMIFS('Taux'!$D$6:$D$20,'Taux'!$A$6:$A$20,A414,'Taux'!$B$6:$B$20,D414),"n.d.")</f>
        <v>1</v>
      </c>
      <c r="J414" s="22">
        <f>IF(COUNT(H414,I414)=2,H414/I414,"n.d.")</f>
        <v>0.0</v>
      </c>
    </row>
    <row r="415" spans="1:11" ht="19" customHeight="1">
      <c r="A415" s="18" t="s">
        <v>5</v>
      </c>
      <c r="B415" s="18" t="s">
        <v>180</v>
      </c>
      <c r="C415" s="18" t="s">
        <v>12</v>
      </c>
      <c r="D415" s="18" t="s">
        <v>174</v>
      </c>
      <c r="E415" s="18" t="s">
        <v>214</v>
      </c>
      <c r="F415" s="18" t="s">
        <v>74</v>
      </c>
      <c r="G415" s="26">
        <v>0</v>
      </c>
      <c r="H415" s="22">
        <v>0</v>
      </c>
      <c r="I415" s="27">
        <f>IF(COUNTIFS('Taux'!$A$6:$A$20,A415,'Taux'!$B$6:$B$20,D415)=1,SUMIFS('Taux'!$D$6:$D$20,'Taux'!$A$6:$A$20,A415,'Taux'!$B$6:$B$20,D415),"n.d.")</f>
        <v>1</v>
      </c>
      <c r="J415" s="22">
        <f>IF(COUNT(H415,I415)=2,H415/I415,"n.d.")</f>
        <v>0.0</v>
      </c>
    </row>
    <row r="416" spans="1:11" ht="19" customHeight="1">
      <c r="A416" s="18" t="s">
        <v>5</v>
      </c>
      <c r="B416" s="18" t="s">
        <v>180</v>
      </c>
      <c r="C416" s="18" t="s">
        <v>12</v>
      </c>
      <c r="D416" s="18" t="s">
        <v>174</v>
      </c>
      <c r="E416" s="18" t="s">
        <v>214</v>
      </c>
      <c r="F416" s="18" t="s">
        <v>75</v>
      </c>
      <c r="G416" s="26">
        <v>0</v>
      </c>
      <c r="H416" s="22">
        <v>0</v>
      </c>
      <c r="I416" s="27">
        <f>IF(COUNTIFS('Taux'!$A$6:$A$20,A416,'Taux'!$B$6:$B$20,D416)=1,SUMIFS('Taux'!$D$6:$D$20,'Taux'!$A$6:$A$20,A416,'Taux'!$B$6:$B$20,D416),"n.d.")</f>
        <v>1</v>
      </c>
      <c r="J416" s="22">
        <f>IF(COUNT(H416,I416)=2,H416/I416,"n.d.")</f>
        <v>0.0</v>
      </c>
    </row>
    <row r="417" spans="1:11" ht="19" customHeight="1">
      <c r="A417" s="18" t="s">
        <v>5</v>
      </c>
      <c r="B417" s="18" t="s">
        <v>180</v>
      </c>
      <c r="C417" s="18" t="s">
        <v>12</v>
      </c>
      <c r="D417" s="18" t="s">
        <v>174</v>
      </c>
      <c r="E417" s="18" t="s">
        <v>214</v>
      </c>
      <c r="F417" s="18" t="s">
        <v>76</v>
      </c>
      <c r="G417" s="26">
        <v>0</v>
      </c>
      <c r="H417" s="22">
        <v>0</v>
      </c>
      <c r="I417" s="27">
        <f>IF(COUNTIFS('Taux'!$A$6:$A$20,A417,'Taux'!$B$6:$B$20,D417)=1,SUMIFS('Taux'!$D$6:$D$20,'Taux'!$A$6:$A$20,A417,'Taux'!$B$6:$B$20,D417),"n.d.")</f>
        <v>1</v>
      </c>
      <c r="J417" s="22">
        <f>IF(COUNT(H417,I417)=2,H417/I417,"n.d.")</f>
        <v>0.0</v>
      </c>
    </row>
    <row r="418" spans="1:11" ht="19" customHeight="1">
      <c r="A418" s="18" t="s">
        <v>5</v>
      </c>
      <c r="B418" s="18" t="s">
        <v>180</v>
      </c>
      <c r="C418" s="18" t="s">
        <v>12</v>
      </c>
      <c r="D418" s="18" t="s">
        <v>174</v>
      </c>
      <c r="E418" s="18" t="s">
        <v>214</v>
      </c>
      <c r="F418" s="18" t="s">
        <v>77</v>
      </c>
      <c r="G418" s="26">
        <v>0</v>
      </c>
      <c r="H418" s="22">
        <v>0</v>
      </c>
      <c r="I418" s="27">
        <f>IF(COUNTIFS('Taux'!$A$6:$A$20,A418,'Taux'!$B$6:$B$20,D418)=1,SUMIFS('Taux'!$D$6:$D$20,'Taux'!$A$6:$A$20,A418,'Taux'!$B$6:$B$20,D418),"n.d.")</f>
        <v>1</v>
      </c>
      <c r="J418" s="22">
        <f>IF(COUNT(H418,I418)=2,H418/I418,"n.d.")</f>
        <v>0.0</v>
      </c>
    </row>
    <row r="419" spans="1:11" ht="19" customHeight="1">
      <c r="A419" s="18" t="s">
        <v>5</v>
      </c>
      <c r="B419" s="18" t="s">
        <v>180</v>
      </c>
      <c r="C419" s="18" t="s">
        <v>12</v>
      </c>
      <c r="D419" s="18" t="s">
        <v>174</v>
      </c>
      <c r="E419" s="18" t="s">
        <v>214</v>
      </c>
      <c r="F419" s="18" t="s">
        <v>78</v>
      </c>
      <c r="G419" s="26">
        <v>0</v>
      </c>
      <c r="H419" s="22">
        <v>0</v>
      </c>
      <c r="I419" s="27">
        <f>IF(COUNTIFS('Taux'!$A$6:$A$20,A419,'Taux'!$B$6:$B$20,D419)=1,SUMIFS('Taux'!$D$6:$D$20,'Taux'!$A$6:$A$20,A419,'Taux'!$B$6:$B$20,D419),"n.d.")</f>
        <v>1</v>
      </c>
      <c r="J419" s="22">
        <f>IF(COUNT(H419,I419)=2,H419/I419,"n.d.")</f>
        <v>0.0</v>
      </c>
    </row>
    <row r="420" spans="1:11" ht="19" customHeight="1">
      <c r="A420" s="18" t="s">
        <v>5</v>
      </c>
      <c r="B420" s="18" t="s">
        <v>180</v>
      </c>
      <c r="C420" s="18" t="s">
        <v>12</v>
      </c>
      <c r="D420" s="18" t="s">
        <v>174</v>
      </c>
      <c r="E420" s="18" t="s">
        <v>214</v>
      </c>
      <c r="F420" s="18" t="s">
        <v>79</v>
      </c>
      <c r="G420" s="26">
        <v>0</v>
      </c>
      <c r="H420" s="22">
        <v>0</v>
      </c>
      <c r="I420" s="27">
        <f>IF(COUNTIFS('Taux'!$A$6:$A$20,A420,'Taux'!$B$6:$B$20,D420)=1,SUMIFS('Taux'!$D$6:$D$20,'Taux'!$A$6:$A$20,A420,'Taux'!$B$6:$B$20,D420),"n.d.")</f>
        <v>1</v>
      </c>
      <c r="J420" s="22">
        <f>IF(COUNT(H420,I420)=2,H420/I420,"n.d.")</f>
        <v>0.0</v>
      </c>
    </row>
    <row r="421" spans="1:11" ht="19" customHeight="1">
      <c r="A421" s="18" t="s">
        <v>5</v>
      </c>
      <c r="B421" s="18" t="s">
        <v>180</v>
      </c>
      <c r="C421" s="18" t="s">
        <v>12</v>
      </c>
      <c r="D421" s="18" t="s">
        <v>174</v>
      </c>
      <c r="E421" s="18" t="s">
        <v>214</v>
      </c>
      <c r="F421" s="18" t="s">
        <v>80</v>
      </c>
      <c r="G421" s="26">
        <v>0</v>
      </c>
      <c r="H421" s="22">
        <v>0</v>
      </c>
      <c r="I421" s="27">
        <f>IF(COUNTIFS('Taux'!$A$6:$A$20,A421,'Taux'!$B$6:$B$20,D421)=1,SUMIFS('Taux'!$D$6:$D$20,'Taux'!$A$6:$A$20,A421,'Taux'!$B$6:$B$20,D421),"n.d.")</f>
        <v>1</v>
      </c>
      <c r="J421" s="22">
        <f>IF(COUNT(H421,I421)=2,H421/I421,"n.d.")</f>
        <v>0.0</v>
      </c>
    </row>
    <row r="422" spans="1:11" ht="19" customHeight="1">
      <c r="A422" s="18" t="s">
        <v>5</v>
      </c>
      <c r="B422" s="18" t="s">
        <v>180</v>
      </c>
      <c r="C422" s="18" t="s">
        <v>12</v>
      </c>
      <c r="D422" s="18" t="s">
        <v>174</v>
      </c>
      <c r="E422" s="18" t="s">
        <v>214</v>
      </c>
      <c r="F422" s="18" t="s">
        <v>50</v>
      </c>
      <c r="G422" s="26">
        <v>934</v>
      </c>
      <c r="H422" s="22">
        <v>221972</v>
      </c>
      <c r="I422" s="27">
        <f>IF(COUNTIFS('Taux'!$A$6:$A$20,A422,'Taux'!$B$6:$B$20,D422)=1,SUMIFS('Taux'!$D$6:$D$20,'Taux'!$A$6:$A$20,A422,'Taux'!$B$6:$B$20,D422),"n.d.")</f>
        <v>1</v>
      </c>
      <c r="J422" s="22">
        <f>IF(COUNT(H422,I422)=2,H422/I422,"n.d.")</f>
        <v>221972.0</v>
      </c>
    </row>
    <row r="423" spans="1:11" ht="19" customHeight="1">
      <c r="A423" s="18" t="s">
        <v>5</v>
      </c>
      <c r="B423" s="18" t="s">
        <v>180</v>
      </c>
      <c r="C423" s="18" t="s">
        <v>12</v>
      </c>
      <c r="D423" s="18" t="s">
        <v>174</v>
      </c>
      <c r="E423" s="18" t="s">
        <v>214</v>
      </c>
      <c r="F423" s="18" t="s">
        <v>51</v>
      </c>
      <c r="G423" s="26">
        <v>15680</v>
      </c>
      <c r="H423" s="22">
        <v>2661670</v>
      </c>
      <c r="I423" s="27">
        <f>IF(COUNTIFS('Taux'!$A$6:$A$20,A423,'Taux'!$B$6:$B$20,D423)=1,SUMIFS('Taux'!$D$6:$D$20,'Taux'!$A$6:$A$20,A423,'Taux'!$B$6:$B$20,D423),"n.d.")</f>
        <v>1</v>
      </c>
      <c r="J423" s="22">
        <f>IF(COUNT(H423,I423)=2,H423/I423,"n.d.")</f>
        <v>2661670.0</v>
      </c>
    </row>
    <row r="424" spans="1:11" ht="19" customHeight="1">
      <c r="A424" s="18" t="s">
        <v>5</v>
      </c>
      <c r="B424" s="18" t="s">
        <v>184</v>
      </c>
      <c r="C424" s="18" t="s">
        <v>15</v>
      </c>
      <c r="D424" s="18" t="s">
        <v>174</v>
      </c>
      <c r="E424" s="18" t="s">
        <v>229</v>
      </c>
      <c r="F424" s="18" t="s">
        <v>66</v>
      </c>
      <c r="G424" s="26">
        <v>0</v>
      </c>
      <c r="H424" s="22">
        <v>0</v>
      </c>
      <c r="I424" s="27">
        <f>IF(COUNTIFS('Taux'!$A$6:$A$20,A424,'Taux'!$B$6:$B$20,D424)=1,SUMIFS('Taux'!$D$6:$D$20,'Taux'!$A$6:$A$20,A424,'Taux'!$B$6:$B$20,D424),"n.d.")</f>
        <v>1</v>
      </c>
      <c r="J424" s="22">
        <f>IF(COUNT(H424,I424)=2,H424/I424,"n.d.")</f>
        <v>0.0</v>
      </c>
    </row>
    <row r="425" spans="1:11" ht="19" customHeight="1">
      <c r="A425" s="18" t="s">
        <v>5</v>
      </c>
      <c r="B425" s="18" t="s">
        <v>184</v>
      </c>
      <c r="C425" s="18" t="s">
        <v>15</v>
      </c>
      <c r="D425" s="18" t="s">
        <v>174</v>
      </c>
      <c r="E425" s="18" t="s">
        <v>229</v>
      </c>
      <c r="F425" s="18" t="s">
        <v>67</v>
      </c>
      <c r="G425" s="26">
        <v>0</v>
      </c>
      <c r="H425" s="22">
        <v>0</v>
      </c>
      <c r="I425" s="27">
        <f>IF(COUNTIFS('Taux'!$A$6:$A$20,A425,'Taux'!$B$6:$B$20,D425)=1,SUMIFS('Taux'!$D$6:$D$20,'Taux'!$A$6:$A$20,A425,'Taux'!$B$6:$B$20,D425),"n.d.")</f>
        <v>1</v>
      </c>
      <c r="J425" s="22">
        <f>IF(COUNT(H425,I425)=2,H425/I425,"n.d.")</f>
        <v>0.0</v>
      </c>
    </row>
    <row r="426" spans="1:11" ht="19" customHeight="1">
      <c r="A426" s="18" t="s">
        <v>5</v>
      </c>
      <c r="B426" s="18" t="s">
        <v>184</v>
      </c>
      <c r="C426" s="18" t="s">
        <v>15</v>
      </c>
      <c r="D426" s="18" t="s">
        <v>174</v>
      </c>
      <c r="E426" s="18" t="s">
        <v>229</v>
      </c>
      <c r="F426" s="18" t="s">
        <v>68</v>
      </c>
      <c r="G426" s="26">
        <v>0</v>
      </c>
      <c r="H426" s="22">
        <v>0</v>
      </c>
      <c r="I426" s="27">
        <f>IF(COUNTIFS('Taux'!$A$6:$A$20,A426,'Taux'!$B$6:$B$20,D426)=1,SUMIFS('Taux'!$D$6:$D$20,'Taux'!$A$6:$A$20,A426,'Taux'!$B$6:$B$20,D426),"n.d.")</f>
        <v>1</v>
      </c>
      <c r="J426" s="22">
        <f>IF(COUNT(H426,I426)=2,H426/I426,"n.d.")</f>
        <v>0.0</v>
      </c>
    </row>
    <row r="427" spans="1:11" ht="19" customHeight="1">
      <c r="A427" s="18" t="s">
        <v>5</v>
      </c>
      <c r="B427" s="18" t="s">
        <v>184</v>
      </c>
      <c r="C427" s="18" t="s">
        <v>15</v>
      </c>
      <c r="D427" s="18" t="s">
        <v>174</v>
      </c>
      <c r="E427" s="18" t="s">
        <v>229</v>
      </c>
      <c r="F427" s="18" t="s">
        <v>69</v>
      </c>
      <c r="G427" s="26">
        <v>0</v>
      </c>
      <c r="H427" s="22">
        <v>0</v>
      </c>
      <c r="I427" s="27">
        <f>IF(COUNTIFS('Taux'!$A$6:$A$20,A427,'Taux'!$B$6:$B$20,D427)=1,SUMIFS('Taux'!$D$6:$D$20,'Taux'!$A$6:$A$20,A427,'Taux'!$B$6:$B$20,D427),"n.d.")</f>
        <v>1</v>
      </c>
      <c r="J427" s="22">
        <f>IF(COUNT(H427,I427)=2,H427/I427,"n.d.")</f>
        <v>0.0</v>
      </c>
    </row>
    <row r="428" spans="1:11" ht="19" customHeight="1">
      <c r="A428" s="18" t="s">
        <v>5</v>
      </c>
      <c r="B428" s="18" t="s">
        <v>184</v>
      </c>
      <c r="C428" s="18" t="s">
        <v>15</v>
      </c>
      <c r="D428" s="18" t="s">
        <v>174</v>
      </c>
      <c r="E428" s="18" t="s">
        <v>229</v>
      </c>
      <c r="F428" s="18" t="s">
        <v>70</v>
      </c>
      <c r="G428" s="26">
        <v>0</v>
      </c>
      <c r="H428" s="22">
        <v>0</v>
      </c>
      <c r="I428" s="27">
        <f>IF(COUNTIFS('Taux'!$A$6:$A$20,A428,'Taux'!$B$6:$B$20,D428)=1,SUMIFS('Taux'!$D$6:$D$20,'Taux'!$A$6:$A$20,A428,'Taux'!$B$6:$B$20,D428),"n.d.")</f>
        <v>1</v>
      </c>
      <c r="J428" s="22">
        <f>IF(COUNT(H428,I428)=2,H428/I428,"n.d.")</f>
        <v>0.0</v>
      </c>
    </row>
    <row r="429" spans="1:11" ht="19" customHeight="1">
      <c r="A429" s="18" t="s">
        <v>5</v>
      </c>
      <c r="B429" s="18" t="s">
        <v>184</v>
      </c>
      <c r="C429" s="18" t="s">
        <v>15</v>
      </c>
      <c r="D429" s="18" t="s">
        <v>174</v>
      </c>
      <c r="E429" s="18" t="s">
        <v>214</v>
      </c>
      <c r="F429" s="18" t="s">
        <v>78</v>
      </c>
      <c r="G429" s="26">
        <v>0</v>
      </c>
      <c r="H429" s="22">
        <v>0</v>
      </c>
      <c r="I429" s="27">
        <f>IF(COUNTIFS('Taux'!$A$6:$A$20,A429,'Taux'!$B$6:$B$20,D429)=1,SUMIFS('Taux'!$D$6:$D$20,'Taux'!$A$6:$A$20,A429,'Taux'!$B$6:$B$20,D429),"n.d.")</f>
        <v>1</v>
      </c>
      <c r="J429" s="22">
        <f>IF(COUNT(H429,I429)=2,H429/I429,"n.d.")</f>
        <v>0.0</v>
      </c>
    </row>
    <row r="430" spans="1:11" ht="19" customHeight="1">
      <c r="A430" s="18" t="s">
        <v>5</v>
      </c>
      <c r="B430" s="18" t="s">
        <v>184</v>
      </c>
      <c r="C430" s="18" t="s">
        <v>15</v>
      </c>
      <c r="D430" s="18" t="s">
        <v>174</v>
      </c>
      <c r="E430" s="18" t="s">
        <v>214</v>
      </c>
      <c r="F430" s="18" t="s">
        <v>79</v>
      </c>
      <c r="G430" s="26">
        <v>0</v>
      </c>
      <c r="H430" s="22">
        <v>0</v>
      </c>
      <c r="I430" s="27">
        <f>IF(COUNTIFS('Taux'!$A$6:$A$20,A430,'Taux'!$B$6:$B$20,D430)=1,SUMIFS('Taux'!$D$6:$D$20,'Taux'!$A$6:$A$20,A430,'Taux'!$B$6:$B$20,D430),"n.d.")</f>
        <v>1</v>
      </c>
      <c r="J430" s="22">
        <f>IF(COUNT(H430,I430)=2,H430/I430,"n.d.")</f>
        <v>0.0</v>
      </c>
    </row>
    <row r="431" spans="1:11" ht="19" customHeight="1">
      <c r="A431" s="18" t="s">
        <v>5</v>
      </c>
      <c r="B431" s="18" t="s">
        <v>184</v>
      </c>
      <c r="C431" s="18" t="s">
        <v>15</v>
      </c>
      <c r="D431" s="18" t="s">
        <v>174</v>
      </c>
      <c r="E431" s="18" t="s">
        <v>214</v>
      </c>
      <c r="F431" s="18" t="s">
        <v>80</v>
      </c>
      <c r="G431" s="26">
        <v>0</v>
      </c>
      <c r="H431" s="22">
        <v>0</v>
      </c>
      <c r="I431" s="27">
        <f>IF(COUNTIFS('Taux'!$A$6:$A$20,A431,'Taux'!$B$6:$B$20,D431)=1,SUMIFS('Taux'!$D$6:$D$20,'Taux'!$A$6:$A$20,A431,'Taux'!$B$6:$B$20,D431),"n.d.")</f>
        <v>1</v>
      </c>
      <c r="J431" s="22">
        <f>IF(COUNT(H431,I431)=2,H431/I431,"n.d.")</f>
        <v>0.0</v>
      </c>
    </row>
    <row r="432" spans="1:11" ht="19" customHeight="1">
      <c r="A432" s="18" t="s">
        <v>5</v>
      </c>
      <c r="B432" s="18" t="s">
        <v>184</v>
      </c>
      <c r="C432" s="18" t="s">
        <v>15</v>
      </c>
      <c r="D432" s="18" t="s">
        <v>174</v>
      </c>
      <c r="E432" s="18" t="s">
        <v>214</v>
      </c>
      <c r="F432" s="18" t="s">
        <v>50</v>
      </c>
      <c r="G432" s="26">
        <v>0</v>
      </c>
      <c r="H432" s="22">
        <v>0</v>
      </c>
      <c r="I432" s="27">
        <f>IF(COUNTIFS('Taux'!$A$6:$A$20,A432,'Taux'!$B$6:$B$20,D432)=1,SUMIFS('Taux'!$D$6:$D$20,'Taux'!$A$6:$A$20,A432,'Taux'!$B$6:$B$20,D432),"n.d.")</f>
        <v>1</v>
      </c>
      <c r="J432" s="22">
        <f>IF(COUNT(H432,I432)=2,H432/I432,"n.d.")</f>
        <v>0.0</v>
      </c>
    </row>
    <row r="433" spans="1:11" ht="19" customHeight="1">
      <c r="A433" s="18" t="s">
        <v>5</v>
      </c>
      <c r="B433" s="18" t="s">
        <v>184</v>
      </c>
      <c r="C433" s="18" t="s">
        <v>15</v>
      </c>
      <c r="D433" s="18" t="s">
        <v>174</v>
      </c>
      <c r="E433" s="18" t="s">
        <v>214</v>
      </c>
      <c r="F433" s="18" t="s">
        <v>51</v>
      </c>
      <c r="G433" s="26">
        <v>0</v>
      </c>
      <c r="H433" s="22">
        <v>0</v>
      </c>
      <c r="I433" s="27">
        <f>IF(COUNTIFS('Taux'!$A$6:$A$20,A433,'Taux'!$B$6:$B$20,D433)=1,SUMIFS('Taux'!$D$6:$D$20,'Taux'!$A$6:$A$20,A433,'Taux'!$B$6:$B$20,D433),"n.d.")</f>
        <v>1</v>
      </c>
      <c r="J433" s="22">
        <f>IF(COUNT(H433,I433)=2,H433/I433,"n.d.")</f>
        <v>0.0</v>
      </c>
    </row>
  </sheetData>
  <conditionalFormatting sqref="A6:K433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2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8" customWidth="1"/>
    <col min="2" max="2" width="12.7109375" style="18" customWidth="1"/>
    <col min="3" max="3" width="17.7109375" style="18" customWidth="1"/>
    <col min="4" max="4" width="25.7109375" style="18" customWidth="1"/>
    <col min="5" max="5" width="20.7109375" style="18" customWidth="1"/>
    <col min="7" max="7" width="18.7109375" style="18" customWidth="1"/>
    <col min="8" max="8" width="25.7109375" customWidth="1"/>
    <col min="9" max="28" width="18.7109375" style="18" customWidth="1"/>
  </cols>
  <sheetData>
    <row r="2" spans="1:8" ht="19" customHeight="1">
      <c r="A2" s="19" t="s">
        <v>241</v>
      </c>
    </row>
    <row r="3" spans="1:8" ht="19" customHeight="1">
      <c r="A3" s="20" t="s">
        <v>242</v>
      </c>
    </row>
    <row r="5" spans="1:8" ht="42" customHeight="1">
      <c r="A5" s="21" t="s">
        <v>144</v>
      </c>
      <c r="B5" s="21" t="s">
        <v>147</v>
      </c>
      <c r="C5" s="21" t="s">
        <v>243</v>
      </c>
      <c r="D5" s="21" t="s">
        <v>244</v>
      </c>
      <c r="E5" s="21" t="s">
        <v>245</v>
      </c>
      <c r="H5" s="21" t="s">
        <v>246</v>
      </c>
    </row>
    <row r="6" spans="1:8" ht="19" customHeight="1">
      <c r="A6" s="18" t="s">
        <v>172</v>
      </c>
      <c r="B6" s="18" t="s">
        <v>174</v>
      </c>
      <c r="C6" s="28">
        <v>46112</v>
      </c>
      <c r="D6" s="27">
        <v>1</v>
      </c>
      <c r="E6" s="18" t="s">
        <v>247</v>
      </c>
      <c r="H6" t="s">
        <v>172</v>
      </c>
    </row>
    <row r="7" spans="1:8" ht="19" customHeight="1">
      <c r="A7" s="18" t="s">
        <v>38</v>
      </c>
      <c r="B7" s="18" t="s">
        <v>186</v>
      </c>
      <c r="C7" s="28">
        <v>46295</v>
      </c>
      <c r="D7" s="27">
        <v>5.855892595</v>
      </c>
      <c r="E7" s="18" t="s">
        <v>247</v>
      </c>
      <c r="H7" t="s">
        <v>38</v>
      </c>
    </row>
    <row r="8" spans="1:8" ht="19" customHeight="1">
      <c r="A8" s="18" t="s">
        <v>38</v>
      </c>
      <c r="B8" s="18" t="s">
        <v>188</v>
      </c>
      <c r="C8" s="28">
        <v>46295</v>
      </c>
      <c r="D8" s="27">
        <v>7.47595715</v>
      </c>
      <c r="E8" s="18" t="s">
        <v>247</v>
      </c>
      <c r="H8" t="s">
        <v>5</v>
      </c>
    </row>
    <row r="9" spans="1:8" ht="19" customHeight="1">
      <c r="A9" s="18" t="s">
        <v>38</v>
      </c>
      <c r="B9" s="18" t="s">
        <v>174</v>
      </c>
      <c r="C9" s="28">
        <v>46295</v>
      </c>
      <c r="D9" s="27">
        <v>1</v>
      </c>
      <c r="E9" s="18" t="s">
        <v>247</v>
      </c>
    </row>
    <row r="10" spans="1:8" ht="19" customHeight="1">
      <c r="A10" s="18" t="s">
        <v>38</v>
      </c>
      <c r="B10" s="18" t="s">
        <v>181</v>
      </c>
      <c r="C10" s="28">
        <v>46295</v>
      </c>
      <c r="D10" s="27">
        <v>0.85443381</v>
      </c>
      <c r="E10" s="18" t="s">
        <v>247</v>
      </c>
    </row>
    <row r="11" spans="1:8" ht="19" customHeight="1">
      <c r="A11" s="18" t="s">
        <v>38</v>
      </c>
      <c r="B11" s="18" t="s">
        <v>190</v>
      </c>
      <c r="C11" s="28">
        <v>46295</v>
      </c>
      <c r="D11" s="27">
        <v>10.90384939</v>
      </c>
      <c r="E11" s="18" t="s">
        <v>247</v>
      </c>
    </row>
    <row r="12" spans="1:8" ht="19" customHeight="1">
      <c r="A12" s="18" t="s">
        <v>38</v>
      </c>
      <c r="B12" s="18" t="s">
        <v>192</v>
      </c>
      <c r="C12" s="28">
        <v>46295</v>
      </c>
      <c r="D12" s="27">
        <v>11.34339828</v>
      </c>
      <c r="E12" s="18" t="s">
        <v>247</v>
      </c>
    </row>
    <row r="13" spans="1:8" ht="19" customHeight="1">
      <c r="A13" s="18" t="s">
        <v>38</v>
      </c>
      <c r="B13" s="18" t="s">
        <v>183</v>
      </c>
      <c r="C13" s="28">
        <v>46295</v>
      </c>
      <c r="D13" s="27">
        <v>18.58943911</v>
      </c>
      <c r="E13" s="18" t="s">
        <v>247</v>
      </c>
    </row>
    <row r="14" spans="1:8" ht="19" customHeight="1">
      <c r="A14" s="18" t="s">
        <v>5</v>
      </c>
      <c r="B14" s="18" t="s">
        <v>186</v>
      </c>
      <c r="C14" s="28">
        <v>46295</v>
      </c>
      <c r="D14" s="27">
        <v>5.855892595</v>
      </c>
      <c r="E14" s="18" t="s">
        <v>247</v>
      </c>
    </row>
    <row r="15" spans="1:8" ht="19" customHeight="1">
      <c r="A15" s="18" t="s">
        <v>5</v>
      </c>
      <c r="B15" s="18" t="s">
        <v>188</v>
      </c>
      <c r="C15" s="28">
        <v>46295</v>
      </c>
      <c r="D15" s="27">
        <v>7.47595715</v>
      </c>
      <c r="E15" s="18" t="s">
        <v>247</v>
      </c>
    </row>
    <row r="16" spans="1:8" ht="19" customHeight="1">
      <c r="A16" s="18" t="s">
        <v>5</v>
      </c>
      <c r="B16" s="18" t="s">
        <v>174</v>
      </c>
      <c r="C16" s="28">
        <v>46295</v>
      </c>
      <c r="D16" s="27">
        <v>1</v>
      </c>
      <c r="E16" s="18" t="s">
        <v>247</v>
      </c>
    </row>
    <row r="17" spans="1:6" ht="19" customHeight="1">
      <c r="A17" s="18" t="s">
        <v>5</v>
      </c>
      <c r="B17" s="18" t="s">
        <v>181</v>
      </c>
      <c r="C17" s="28">
        <v>46295</v>
      </c>
      <c r="D17" s="27">
        <v>0.85443381</v>
      </c>
      <c r="E17" s="18" t="s">
        <v>247</v>
      </c>
    </row>
    <row r="18" spans="1:6" ht="19" customHeight="1">
      <c r="A18" s="18" t="s">
        <v>5</v>
      </c>
      <c r="B18" s="18" t="s">
        <v>190</v>
      </c>
      <c r="C18" s="28">
        <v>46295</v>
      </c>
      <c r="D18" s="27">
        <v>10.90384939</v>
      </c>
      <c r="E18" s="18" t="s">
        <v>247</v>
      </c>
    </row>
    <row r="19" spans="1:6" ht="19" customHeight="1">
      <c r="A19" s="18" t="s">
        <v>5</v>
      </c>
      <c r="B19" s="18" t="s">
        <v>192</v>
      </c>
      <c r="C19" s="28">
        <v>46295</v>
      </c>
      <c r="D19" s="27">
        <v>11.34339828</v>
      </c>
      <c r="E19" s="18" t="s">
        <v>247</v>
      </c>
    </row>
    <row r="20" spans="1:6" ht="19" customHeight="1">
      <c r="A20" s="18" t="s">
        <v>5</v>
      </c>
      <c r="B20" s="18" t="s">
        <v>183</v>
      </c>
      <c r="C20" s="28">
        <v>46295</v>
      </c>
      <c r="D20" s="27">
        <v>18.58943911</v>
      </c>
      <c r="E20" s="18" t="s">
        <v>247</v>
      </c>
    </row>
  </sheetData>
  <conditionalFormatting sqref="A6:F20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dimension ref="A1:M309"/>
  <sheetViews>
    <sheetView showGridLines="0" workbookViewId="0"/>
  </sheetViews>
  <sheetFormatPr defaultRowHeight="15"/>
  <cols>
    <col min="1" max="1" width="26.7109375" customWidth="1"/>
    <col min="2" max="17" width="20.7109375" customWidth="1"/>
  </cols>
  <sheetData>
    <row r="1" spans="1:11">
      <c r="A1" s="19" t="s">
        <v>248</v>
      </c>
    </row>
    <row r="5" spans="1:11">
      <c r="A5" s="30" t="s">
        <v>249</v>
      </c>
    </row>
    <row r="6" spans="1:11" ht="32" customHeight="1">
      <c r="A6" s="32" t="s">
        <v>35</v>
      </c>
      <c r="B6" s="32" t="s">
        <v>250</v>
      </c>
      <c r="C6" s="32" t="s">
        <v>251</v>
      </c>
      <c r="D6" s="32" t="s">
        <v>56</v>
      </c>
      <c r="E6" s="32" t="s">
        <v>252</v>
      </c>
      <c r="F6" s="32" t="s">
        <v>253</v>
      </c>
      <c r="G6" s="32" t="s">
        <v>254</v>
      </c>
      <c r="H6" s="32" t="s">
        <v>255</v>
      </c>
      <c r="I6" s="32" t="s">
        <v>256</v>
      </c>
      <c r="J6" s="32" t="s">
        <v>257</v>
      </c>
      <c r="K6" s="32" t="s">
        <v>258</v>
      </c>
    </row>
    <row r="7" spans="1:11">
      <c r="A7" t="s">
        <v>7</v>
      </c>
      <c r="B7">
        <v>1787812</v>
      </c>
      <c r="C7">
        <v>1793165</v>
      </c>
      <c r="D7">
        <v>0.00299416269719635</v>
      </c>
      <c r="E7">
        <v>1480318</v>
      </c>
      <c r="F7">
        <v>283623</v>
      </c>
      <c r="G7">
        <v>31090</v>
      </c>
      <c r="H7">
        <v>1478452</v>
      </c>
      <c r="I7">
        <v>-2032</v>
      </c>
      <c r="J7">
        <v>15001</v>
      </c>
      <c r="K7">
        <v>1467349</v>
      </c>
    </row>
    <row r="8" spans="1:11">
      <c r="A8" t="s">
        <v>259</v>
      </c>
      <c r="B8">
        <v>3485465.29</v>
      </c>
      <c r="C8">
        <v>2793036</v>
      </c>
      <c r="D8">
        <v>-0.1986619381884592</v>
      </c>
      <c r="E8">
        <v>2763362</v>
      </c>
      <c r="F8">
        <v>824535</v>
      </c>
      <c r="G8">
        <v>323497</v>
      </c>
      <c r="H8">
        <v>1645005</v>
      </c>
      <c r="I8">
        <v>816856</v>
      </c>
      <c r="J8">
        <v>304803</v>
      </c>
      <c r="K8">
        <v>1641703</v>
      </c>
    </row>
    <row r="9" spans="1:11">
      <c r="A9" t="s">
        <v>9</v>
      </c>
      <c r="B9">
        <v>136664</v>
      </c>
      <c r="C9">
        <v>147601</v>
      </c>
      <c r="D9">
        <v>0.08002839079786922</v>
      </c>
      <c r="E9">
        <v>106046</v>
      </c>
      <c r="F9">
        <v>41555</v>
      </c>
      <c r="G9">
        <v>1390</v>
      </c>
      <c r="H9">
        <v>104655</v>
      </c>
      <c r="I9">
        <v>0</v>
      </c>
      <c r="J9">
        <v>1390</v>
      </c>
      <c r="K9">
        <v>104655</v>
      </c>
    </row>
    <row r="10" spans="1:11">
      <c r="A10" t="s">
        <v>10</v>
      </c>
      <c r="B10">
        <v>3023244</v>
      </c>
      <c r="C10">
        <v>3434403</v>
      </c>
      <c r="D10">
        <v>0.1359992775971771</v>
      </c>
      <c r="E10">
        <v>1200347</v>
      </c>
      <c r="F10">
        <v>1761215</v>
      </c>
      <c r="G10">
        <v>339318</v>
      </c>
      <c r="H10">
        <v>1333869</v>
      </c>
      <c r="I10">
        <v>0</v>
      </c>
      <c r="J10">
        <v>133081</v>
      </c>
      <c r="K10">
        <v>1067265</v>
      </c>
    </row>
    <row r="11" spans="1:11">
      <c r="A11" t="s">
        <v>11</v>
      </c>
      <c r="B11">
        <v>593413</v>
      </c>
      <c r="C11">
        <v>607594</v>
      </c>
      <c r="D11">
        <v>0.02389735310820626</v>
      </c>
      <c r="E11">
        <v>542133</v>
      </c>
      <c r="F11">
        <v>7991</v>
      </c>
      <c r="G11">
        <v>64102</v>
      </c>
      <c r="H11">
        <v>535499</v>
      </c>
      <c r="I11">
        <v>-9373</v>
      </c>
      <c r="J11">
        <v>47517</v>
      </c>
      <c r="K11">
        <v>503988</v>
      </c>
    </row>
    <row r="12" spans="1:11">
      <c r="A12" t="s">
        <v>12</v>
      </c>
      <c r="B12">
        <v>3317587</v>
      </c>
      <c r="C12">
        <v>2883642</v>
      </c>
      <c r="D12">
        <v>-0.1308013926989707</v>
      </c>
      <c r="E12">
        <v>2145041</v>
      </c>
      <c r="F12">
        <v>0</v>
      </c>
      <c r="G12">
        <v>221972</v>
      </c>
      <c r="H12">
        <v>2661669</v>
      </c>
      <c r="I12">
        <v>0</v>
      </c>
      <c r="J12">
        <v>0</v>
      </c>
      <c r="K12">
        <v>2145041</v>
      </c>
    </row>
    <row r="13" spans="1:11">
      <c r="A13" t="s">
        <v>13</v>
      </c>
      <c r="B13">
        <v>2860611.285969594</v>
      </c>
      <c r="C13">
        <v>3483914.102135074</v>
      </c>
      <c r="D13">
        <v>0.2178914762808163</v>
      </c>
      <c r="E13">
        <v>1013743.826452748</v>
      </c>
      <c r="F13">
        <v>1750285.373187655</v>
      </c>
      <c r="G13">
        <v>733237.6044435789</v>
      </c>
      <c r="H13">
        <v>1000391.12450384</v>
      </c>
      <c r="I13">
        <v>381.5392089879964</v>
      </c>
      <c r="J13">
        <v>46840.37491447114</v>
      </c>
      <c r="K13">
        <v>966521.9123292885</v>
      </c>
    </row>
    <row r="14" spans="1:11">
      <c r="A14" t="s">
        <v>260</v>
      </c>
      <c r="B14">
        <v>1918750.925132073</v>
      </c>
      <c r="C14">
        <v>2048298.580429778</v>
      </c>
      <c r="D14">
        <v>0.06751666076136931</v>
      </c>
      <c r="E14">
        <v>1807030.044920961</v>
      </c>
      <c r="F14">
        <v>853771.8989843978</v>
      </c>
      <c r="G14">
        <v>331751.7109314926</v>
      </c>
      <c r="H14">
        <v>862774.9705138876</v>
      </c>
      <c r="I14">
        <v>612503.3634755806</v>
      </c>
      <c r="J14">
        <v>331751.7109314926</v>
      </c>
      <c r="K14">
        <v>862774.9705138876</v>
      </c>
    </row>
    <row r="15" spans="1:11">
      <c r="A15" t="s">
        <v>15</v>
      </c>
      <c r="B15">
        <v>48887.51859338581</v>
      </c>
      <c r="C15">
        <v>0</v>
      </c>
      <c r="D15">
        <v>-1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16</v>
      </c>
      <c r="B16">
        <v>3814713.483487767</v>
      </c>
      <c r="C16">
        <v>3775169.595644208</v>
      </c>
      <c r="D16">
        <v>-0.01036614886405684</v>
      </c>
      <c r="E16">
        <v>3775169.595644208</v>
      </c>
      <c r="F16">
        <v>3645132.594854578</v>
      </c>
      <c r="G16">
        <v>112194.0044735404</v>
      </c>
      <c r="H16">
        <v>17842.99631608924</v>
      </c>
      <c r="I16">
        <v>3645132.594854578</v>
      </c>
      <c r="J16">
        <v>112194.0044735404</v>
      </c>
      <c r="K16">
        <v>17842.99631608924</v>
      </c>
    </row>
    <row r="17" spans="1:13">
      <c r="A17" t="s">
        <v>17</v>
      </c>
      <c r="B17">
        <v>24384.54452618148</v>
      </c>
      <c r="C17">
        <v>2162.493668118371</v>
      </c>
      <c r="D17">
        <v>-0.9113170366665443</v>
      </c>
      <c r="E17">
        <v>2162.493668118371</v>
      </c>
      <c r="F17">
        <v>0</v>
      </c>
      <c r="G17">
        <v>0</v>
      </c>
      <c r="H17">
        <v>2162.493668118371</v>
      </c>
      <c r="I17">
        <v>0</v>
      </c>
      <c r="J17">
        <v>0</v>
      </c>
      <c r="K17">
        <v>2162.493668118371</v>
      </c>
    </row>
    <row r="18" spans="1:13">
      <c r="A18" t="s">
        <v>18</v>
      </c>
      <c r="B18">
        <v>11211.45896531866</v>
      </c>
      <c r="C18">
        <v>2025.348040871968</v>
      </c>
      <c r="D18">
        <v>-0.8193501802809835</v>
      </c>
      <c r="E18">
        <v>2025.348040871968</v>
      </c>
      <c r="F18">
        <v>0</v>
      </c>
      <c r="G18">
        <v>0</v>
      </c>
      <c r="H18">
        <v>2025.348040871968</v>
      </c>
      <c r="I18">
        <v>0</v>
      </c>
      <c r="J18">
        <v>0</v>
      </c>
      <c r="K18">
        <v>2025.348040871968</v>
      </c>
    </row>
    <row r="19" spans="1:13">
      <c r="A19" t="s">
        <v>19</v>
      </c>
      <c r="B19">
        <v>13809.27091982534</v>
      </c>
      <c r="C19">
        <v>15218.24551504693</v>
      </c>
      <c r="D19">
        <v>0.1020310632908786</v>
      </c>
      <c r="E19">
        <v>15218.24551504693</v>
      </c>
      <c r="F19">
        <v>0</v>
      </c>
      <c r="G19">
        <v>0</v>
      </c>
      <c r="H19">
        <v>15218.24551504693</v>
      </c>
      <c r="I19">
        <v>0</v>
      </c>
      <c r="J19">
        <v>0</v>
      </c>
      <c r="K19">
        <v>15218.24551504693</v>
      </c>
    </row>
    <row r="23" spans="1:13">
      <c r="A23" s="30" t="s">
        <v>261</v>
      </c>
    </row>
    <row r="24" spans="1:13" ht="32" customHeight="1">
      <c r="A24" s="32" t="s">
        <v>262</v>
      </c>
      <c r="B24" s="32" t="s">
        <v>7</v>
      </c>
      <c r="C24" s="32" t="s">
        <v>8</v>
      </c>
      <c r="D24" s="32" t="s">
        <v>9</v>
      </c>
      <c r="E24" s="32" t="s">
        <v>10</v>
      </c>
      <c r="F24" s="32" t="s">
        <v>11</v>
      </c>
      <c r="G24" s="32" t="s">
        <v>12</v>
      </c>
      <c r="H24" s="32" t="s">
        <v>13</v>
      </c>
      <c r="I24" s="32" t="s">
        <v>14</v>
      </c>
      <c r="J24" s="32" t="s">
        <v>16</v>
      </c>
      <c r="K24" s="32" t="s">
        <v>17</v>
      </c>
      <c r="L24" s="32" t="s">
        <v>18</v>
      </c>
      <c r="M24" s="32" t="s">
        <v>19</v>
      </c>
    </row>
    <row r="25" spans="1:13">
      <c r="A25" t="s">
        <v>28</v>
      </c>
      <c r="B25">
        <v>3475518</v>
      </c>
      <c r="C25">
        <v>781466</v>
      </c>
      <c r="D25">
        <v>105005</v>
      </c>
      <c r="E25">
        <v>1199204</v>
      </c>
      <c r="F25">
        <v>4060466</v>
      </c>
      <c r="G25">
        <v>1825315</v>
      </c>
      <c r="H25">
        <v>120964.3143685993</v>
      </c>
      <c r="I25">
        <v>178090.7815674286</v>
      </c>
      <c r="J25">
        <v>3875.644853762896</v>
      </c>
      <c r="K25">
        <v>15033.97461286948</v>
      </c>
      <c r="L25">
        <v>5652.217652283623</v>
      </c>
      <c r="M25">
        <v>33888.15419430023</v>
      </c>
    </row>
    <row r="26" spans="1:13">
      <c r="A26" t="s">
        <v>29</v>
      </c>
      <c r="B26">
        <v>3162844</v>
      </c>
      <c r="C26">
        <v>689718</v>
      </c>
      <c r="D26">
        <v>68164</v>
      </c>
      <c r="E26">
        <v>1425617</v>
      </c>
      <c r="F26">
        <v>3650675</v>
      </c>
      <c r="G26">
        <v>1394486</v>
      </c>
      <c r="H26">
        <v>170612.3965295802</v>
      </c>
      <c r="I26">
        <v>185044.7869699074</v>
      </c>
      <c r="J26">
        <v>2540.056833129127</v>
      </c>
      <c r="K26">
        <v>22642.80233334403</v>
      </c>
      <c r="L26">
        <v>13480.90061981313</v>
      </c>
      <c r="M26">
        <v>12290.64047286541</v>
      </c>
    </row>
    <row r="27" spans="1:13">
      <c r="A27" t="s">
        <v>30</v>
      </c>
      <c r="B27">
        <v>4107101</v>
      </c>
      <c r="C27">
        <v>808135</v>
      </c>
      <c r="D27">
        <v>104341</v>
      </c>
      <c r="E27">
        <v>977488</v>
      </c>
      <c r="F27">
        <v>2534318</v>
      </c>
      <c r="G27">
        <v>1738908</v>
      </c>
      <c r="H27">
        <v>93546.15777669192</v>
      </c>
      <c r="I27">
        <v>190318.6093493703</v>
      </c>
      <c r="J27">
        <v>1589.981347668489</v>
      </c>
      <c r="K27">
        <v>11921.1317309383</v>
      </c>
      <c r="L27">
        <v>5095.515172004772</v>
      </c>
      <c r="M27">
        <v>20551.69308575136</v>
      </c>
    </row>
    <row r="28" spans="1:13">
      <c r="A28" t="s">
        <v>31</v>
      </c>
      <c r="B28">
        <v>3892550</v>
      </c>
      <c r="C28">
        <v>954954</v>
      </c>
      <c r="D28">
        <v>71809</v>
      </c>
      <c r="E28">
        <v>1234017</v>
      </c>
      <c r="F28">
        <v>1649935</v>
      </c>
      <c r="G28">
        <v>1680101</v>
      </c>
      <c r="H28">
        <v>134405.9641085598</v>
      </c>
      <c r="I28">
        <v>228755.4618962338</v>
      </c>
      <c r="J28">
        <v>1700.775729476986</v>
      </c>
      <c r="K28">
        <v>9958.909408676853</v>
      </c>
      <c r="L28">
        <v>3901.609282958005</v>
      </c>
      <c r="M28">
        <v>22068.18308067027</v>
      </c>
    </row>
    <row r="29" spans="1:13">
      <c r="A29" t="s">
        <v>32</v>
      </c>
      <c r="B29">
        <v>2506521</v>
      </c>
      <c r="C29">
        <v>977254</v>
      </c>
      <c r="D29">
        <v>119870</v>
      </c>
      <c r="E29">
        <v>898183</v>
      </c>
      <c r="F29">
        <v>1234586</v>
      </c>
      <c r="G29">
        <v>1332248</v>
      </c>
      <c r="H29">
        <v>157081.7989985672</v>
      </c>
      <c r="I29">
        <v>220324.5109098912</v>
      </c>
      <c r="J29">
        <v>250.3239217965882</v>
      </c>
      <c r="K29">
        <v>10757.90676515585</v>
      </c>
      <c r="L29">
        <v>3950.379215573521</v>
      </c>
      <c r="M29">
        <v>11056.32782207133</v>
      </c>
    </row>
    <row r="30" spans="1:13">
      <c r="A30" t="s">
        <v>33</v>
      </c>
      <c r="B30">
        <v>3356886</v>
      </c>
      <c r="C30">
        <v>851993</v>
      </c>
      <c r="D30">
        <v>52704</v>
      </c>
      <c r="E30">
        <v>820358</v>
      </c>
      <c r="F30">
        <v>1001410</v>
      </c>
      <c r="G30">
        <v>1473477</v>
      </c>
      <c r="H30">
        <v>591232.4560283961</v>
      </c>
      <c r="I30">
        <v>233632.7376151798</v>
      </c>
      <c r="J30">
        <v>2609.009600525298</v>
      </c>
      <c r="K30">
        <v>7395.692469960186</v>
      </c>
      <c r="L30">
        <v>4246.528757308892</v>
      </c>
      <c r="M30">
        <v>27392.44469162726</v>
      </c>
    </row>
    <row r="34" spans="1:5">
      <c r="A34" s="30" t="s">
        <v>263</v>
      </c>
    </row>
    <row r="35" spans="1:5" ht="32" customHeight="1">
      <c r="A35" s="32" t="s">
        <v>35</v>
      </c>
      <c r="B35" s="32" t="s">
        <v>264</v>
      </c>
      <c r="C35" s="32" t="s">
        <v>265</v>
      </c>
      <c r="D35" s="32" t="s">
        <v>266</v>
      </c>
      <c r="E35" s="32" t="s">
        <v>267</v>
      </c>
    </row>
    <row r="36" spans="1:5">
      <c r="A36" t="s">
        <v>7</v>
      </c>
      <c r="B36">
        <v>0.9894054395951929</v>
      </c>
      <c r="C36">
        <v>0.9539307475107742</v>
      </c>
      <c r="D36">
        <v>0.9931642617902213</v>
      </c>
      <c r="E36">
        <v>0.9859807948052636</v>
      </c>
    </row>
    <row r="37" spans="1:5">
      <c r="A37" t="s">
        <v>8</v>
      </c>
      <c r="B37">
        <v>0.6015087641446638</v>
      </c>
      <c r="C37">
        <v>0.581422283993514</v>
      </c>
      <c r="D37">
        <v>0.7104560896824842</v>
      </c>
      <c r="E37">
        <v>0.8537773876278687</v>
      </c>
    </row>
    <row r="38" spans="1:5">
      <c r="A38" t="s">
        <v>9</v>
      </c>
      <c r="B38">
        <v>1</v>
      </c>
      <c r="C38">
        <v>1</v>
      </c>
      <c r="D38">
        <v>1</v>
      </c>
      <c r="E38">
        <v>1</v>
      </c>
    </row>
    <row r="39" spans="1:5">
      <c r="A39" t="s">
        <v>10</v>
      </c>
      <c r="B39">
        <v>0.9484958979033729</v>
      </c>
      <c r="C39">
        <v>0.9370393767108866</v>
      </c>
      <c r="D39">
        <v>0.9843784652623619</v>
      </c>
      <c r="E39">
        <v>0.97577393004026</v>
      </c>
    </row>
    <row r="40" spans="1:5">
      <c r="A40" t="s">
        <v>11</v>
      </c>
      <c r="B40">
        <v>0.6078777189888301</v>
      </c>
      <c r="C40">
        <v>0.9398592450415867</v>
      </c>
      <c r="D40">
        <v>0.9911539948773356</v>
      </c>
      <c r="E40">
        <v>0.996970298482982</v>
      </c>
    </row>
    <row r="41" spans="1:5">
      <c r="A41" t="s">
        <v>12</v>
      </c>
      <c r="B41">
        <v>0.9403706688154714</v>
      </c>
      <c r="C41">
        <v>1</v>
      </c>
      <c r="D41">
        <v>0.9777348442295094</v>
      </c>
      <c r="E41">
        <v>1</v>
      </c>
    </row>
    <row r="42" spans="1:5">
      <c r="A42" t="s">
        <v>13</v>
      </c>
      <c r="B42">
        <v>0.3012975256487628</v>
      </c>
      <c r="C42">
        <v>0.6951945080091533</v>
      </c>
      <c r="D42">
        <v>0.6731999072202525</v>
      </c>
      <c r="E42">
        <v>0.793132474166957</v>
      </c>
    </row>
    <row r="43" spans="1:5">
      <c r="A43" t="s">
        <v>14</v>
      </c>
      <c r="B43">
        <v>0.8549981233579382</v>
      </c>
      <c r="C43">
        <v>0.8571001494768311</v>
      </c>
      <c r="D43">
        <v>0.6493430482328113</v>
      </c>
      <c r="E43">
        <v>0.6926903849986122</v>
      </c>
    </row>
    <row r="44" spans="1:5">
      <c r="A44" t="s">
        <v>16</v>
      </c>
    </row>
    <row r="45" spans="1:5">
      <c r="A45" t="s">
        <v>17</v>
      </c>
      <c r="B45">
        <v>1</v>
      </c>
      <c r="C45">
        <v>1</v>
      </c>
      <c r="D45">
        <v>1</v>
      </c>
      <c r="E45">
        <v>0.9999999999999999</v>
      </c>
    </row>
    <row r="46" spans="1:5">
      <c r="A46" t="s">
        <v>18</v>
      </c>
      <c r="B46">
        <v>0.9924812030075187</v>
      </c>
      <c r="C46">
        <v>0.9932432432432432</v>
      </c>
      <c r="D46">
        <v>0.9410164877948007</v>
      </c>
      <c r="E46">
        <v>0.9342711524878822</v>
      </c>
    </row>
    <row r="47" spans="1:5">
      <c r="A47" t="s">
        <v>19</v>
      </c>
      <c r="B47">
        <v>1</v>
      </c>
      <c r="C47">
        <v>1</v>
      </c>
      <c r="D47">
        <v>0.9999999999999999</v>
      </c>
      <c r="E47">
        <v>1.000000000000001</v>
      </c>
    </row>
    <row r="51" spans="1:11">
      <c r="A51" s="30" t="s">
        <v>268</v>
      </c>
    </row>
    <row r="52" spans="1:11" ht="32" customHeight="1">
      <c r="A52" s="32" t="s">
        <v>35</v>
      </c>
      <c r="B52" s="32" t="s">
        <v>250</v>
      </c>
      <c r="C52" s="32" t="s">
        <v>251</v>
      </c>
      <c r="D52" s="32" t="s">
        <v>56</v>
      </c>
      <c r="E52" s="32" t="s">
        <v>252</v>
      </c>
      <c r="F52" s="32" t="s">
        <v>253</v>
      </c>
      <c r="G52" s="32" t="s">
        <v>254</v>
      </c>
      <c r="H52" s="32" t="s">
        <v>255</v>
      </c>
      <c r="I52" s="32" t="s">
        <v>256</v>
      </c>
      <c r="J52" s="32" t="s">
        <v>257</v>
      </c>
      <c r="K52" s="32" t="s">
        <v>258</v>
      </c>
    </row>
    <row r="53" spans="1:11">
      <c r="A53" t="s">
        <v>7</v>
      </c>
      <c r="B53">
        <v>1787812</v>
      </c>
      <c r="C53">
        <v>1793165</v>
      </c>
      <c r="D53">
        <v>0.00299416269719635</v>
      </c>
      <c r="E53">
        <v>1480318</v>
      </c>
      <c r="F53">
        <v>283623</v>
      </c>
      <c r="G53">
        <v>31090</v>
      </c>
      <c r="H53">
        <v>1478452</v>
      </c>
      <c r="I53">
        <v>-2032</v>
      </c>
      <c r="J53">
        <v>15001</v>
      </c>
      <c r="K53">
        <v>1467349</v>
      </c>
    </row>
    <row r="54" spans="1:11">
      <c r="A54" t="s">
        <v>8</v>
      </c>
      <c r="B54">
        <v>3485465.29</v>
      </c>
      <c r="C54">
        <v>2793036</v>
      </c>
      <c r="D54">
        <v>-0.1986619381884592</v>
      </c>
      <c r="E54">
        <v>2763362</v>
      </c>
      <c r="F54">
        <v>824535</v>
      </c>
      <c r="G54">
        <v>323497</v>
      </c>
      <c r="H54">
        <v>1645005</v>
      </c>
      <c r="I54">
        <v>816856</v>
      </c>
      <c r="J54">
        <v>304803</v>
      </c>
      <c r="K54">
        <v>1641703</v>
      </c>
    </row>
    <row r="55" spans="1:11">
      <c r="A55" t="s">
        <v>9</v>
      </c>
      <c r="B55">
        <v>136664</v>
      </c>
      <c r="C55">
        <v>147601</v>
      </c>
      <c r="D55">
        <v>0.08002839079786922</v>
      </c>
      <c r="E55">
        <v>106046</v>
      </c>
      <c r="F55">
        <v>41555</v>
      </c>
      <c r="G55">
        <v>1390</v>
      </c>
      <c r="H55">
        <v>104655</v>
      </c>
      <c r="I55">
        <v>0</v>
      </c>
      <c r="J55">
        <v>1390</v>
      </c>
      <c r="K55">
        <v>104655</v>
      </c>
    </row>
    <row r="56" spans="1:11">
      <c r="A56" t="s">
        <v>10</v>
      </c>
      <c r="B56">
        <v>3023244</v>
      </c>
      <c r="C56">
        <v>3434403</v>
      </c>
      <c r="D56">
        <v>0.1359992775971771</v>
      </c>
      <c r="E56">
        <v>1200347</v>
      </c>
      <c r="F56">
        <v>1761215</v>
      </c>
      <c r="G56">
        <v>339318</v>
      </c>
      <c r="H56">
        <v>1333869</v>
      </c>
      <c r="I56">
        <v>0</v>
      </c>
      <c r="J56">
        <v>133081</v>
      </c>
      <c r="K56">
        <v>1067265</v>
      </c>
    </row>
    <row r="57" spans="1:11">
      <c r="A57" t="s">
        <v>11</v>
      </c>
      <c r="B57">
        <v>593413</v>
      </c>
      <c r="C57">
        <v>607594</v>
      </c>
      <c r="D57">
        <v>0.02389735310820626</v>
      </c>
      <c r="E57">
        <v>542133</v>
      </c>
      <c r="F57">
        <v>7991</v>
      </c>
      <c r="G57">
        <v>64102</v>
      </c>
      <c r="H57">
        <v>535499</v>
      </c>
      <c r="I57">
        <v>-9373</v>
      </c>
      <c r="J57">
        <v>47517</v>
      </c>
      <c r="K57">
        <v>503988</v>
      </c>
    </row>
    <row r="58" spans="1:11">
      <c r="A58" t="s">
        <v>12</v>
      </c>
      <c r="B58">
        <v>3317587</v>
      </c>
      <c r="C58">
        <v>2883642</v>
      </c>
      <c r="D58">
        <v>-0.1308013926989707</v>
      </c>
      <c r="E58">
        <v>2145041</v>
      </c>
      <c r="F58">
        <v>0</v>
      </c>
      <c r="G58">
        <v>221972</v>
      </c>
      <c r="H58">
        <v>2661669</v>
      </c>
      <c r="I58">
        <v>0</v>
      </c>
      <c r="J58">
        <v>0</v>
      </c>
      <c r="K58">
        <v>2145041</v>
      </c>
    </row>
    <row r="59" spans="1:11">
      <c r="A59" t="s">
        <v>13</v>
      </c>
      <c r="B59">
        <v>2860611.285969594</v>
      </c>
      <c r="C59">
        <v>3483914.102135074</v>
      </c>
      <c r="D59">
        <v>0.2178914762808163</v>
      </c>
      <c r="E59">
        <v>1013743.826452748</v>
      </c>
      <c r="F59">
        <v>1750285.373187655</v>
      </c>
      <c r="G59">
        <v>733237.6044435789</v>
      </c>
      <c r="H59">
        <v>1000391.12450384</v>
      </c>
      <c r="I59">
        <v>381.5392089879964</v>
      </c>
      <c r="J59">
        <v>46840.37491447114</v>
      </c>
      <c r="K59">
        <v>966521.9123292885</v>
      </c>
    </row>
    <row r="60" spans="1:11">
      <c r="A60" t="s">
        <v>14</v>
      </c>
      <c r="B60">
        <v>1918750.925132073</v>
      </c>
      <c r="C60">
        <v>2048298.580429778</v>
      </c>
      <c r="D60">
        <v>0.06751666076136931</v>
      </c>
      <c r="E60">
        <v>1807030.044920961</v>
      </c>
      <c r="F60">
        <v>853771.8989843978</v>
      </c>
      <c r="G60">
        <v>331751.7109314926</v>
      </c>
      <c r="H60">
        <v>862774.9705138876</v>
      </c>
      <c r="I60">
        <v>612503.3634755806</v>
      </c>
      <c r="J60">
        <v>331751.7109314926</v>
      </c>
      <c r="K60">
        <v>862774.9705138876</v>
      </c>
    </row>
    <row r="64" spans="1:11">
      <c r="A64" s="30" t="s">
        <v>269</v>
      </c>
    </row>
    <row r="65" spans="1:9" ht="32" customHeight="1">
      <c r="A65" s="32" t="s">
        <v>262</v>
      </c>
      <c r="B65" s="32" t="s">
        <v>7</v>
      </c>
      <c r="C65" s="32" t="s">
        <v>8</v>
      </c>
      <c r="D65" s="32" t="s">
        <v>9</v>
      </c>
      <c r="E65" s="32" t="s">
        <v>10</v>
      </c>
      <c r="F65" s="32" t="s">
        <v>11</v>
      </c>
      <c r="G65" s="32" t="s">
        <v>12</v>
      </c>
      <c r="H65" s="32" t="s">
        <v>13</v>
      </c>
      <c r="I65" s="32" t="s">
        <v>14</v>
      </c>
    </row>
    <row r="66" spans="1:9">
      <c r="A66" t="s">
        <v>28</v>
      </c>
      <c r="B66">
        <v>3475518</v>
      </c>
      <c r="C66">
        <v>781466</v>
      </c>
      <c r="D66">
        <v>105005</v>
      </c>
      <c r="E66">
        <v>1199204</v>
      </c>
      <c r="F66">
        <v>4060466</v>
      </c>
      <c r="G66">
        <v>1825315</v>
      </c>
      <c r="H66">
        <v>120964.3143685993</v>
      </c>
      <c r="I66">
        <v>178090.7815674286</v>
      </c>
    </row>
    <row r="67" spans="1:9">
      <c r="A67" t="s">
        <v>29</v>
      </c>
      <c r="B67">
        <v>3162844</v>
      </c>
      <c r="C67">
        <v>689718</v>
      </c>
      <c r="D67">
        <v>68164</v>
      </c>
      <c r="E67">
        <v>1425617</v>
      </c>
      <c r="F67">
        <v>3650675</v>
      </c>
      <c r="G67">
        <v>1394486</v>
      </c>
      <c r="H67">
        <v>170612.3965295802</v>
      </c>
      <c r="I67">
        <v>185044.7869699074</v>
      </c>
    </row>
    <row r="68" spans="1:9">
      <c r="A68" t="s">
        <v>30</v>
      </c>
      <c r="B68">
        <v>4107101</v>
      </c>
      <c r="C68">
        <v>808135</v>
      </c>
      <c r="D68">
        <v>104341</v>
      </c>
      <c r="E68">
        <v>977488</v>
      </c>
      <c r="F68">
        <v>2534318</v>
      </c>
      <c r="G68">
        <v>1738908</v>
      </c>
      <c r="H68">
        <v>93546.15777669192</v>
      </c>
      <c r="I68">
        <v>190318.6093493703</v>
      </c>
    </row>
    <row r="69" spans="1:9">
      <c r="A69" t="s">
        <v>31</v>
      </c>
      <c r="B69">
        <v>3892550</v>
      </c>
      <c r="C69">
        <v>954954</v>
      </c>
      <c r="D69">
        <v>71809</v>
      </c>
      <c r="E69">
        <v>1234017</v>
      </c>
      <c r="F69">
        <v>1649935</v>
      </c>
      <c r="G69">
        <v>1680101</v>
      </c>
      <c r="H69">
        <v>134405.9641085598</v>
      </c>
      <c r="I69">
        <v>228755.4618962338</v>
      </c>
    </row>
    <row r="70" spans="1:9">
      <c r="A70" t="s">
        <v>32</v>
      </c>
      <c r="B70">
        <v>2506521</v>
      </c>
      <c r="C70">
        <v>977254</v>
      </c>
      <c r="D70">
        <v>119870</v>
      </c>
      <c r="E70">
        <v>898183</v>
      </c>
      <c r="F70">
        <v>1234586</v>
      </c>
      <c r="G70">
        <v>1332248</v>
      </c>
      <c r="H70">
        <v>157081.7989985672</v>
      </c>
      <c r="I70">
        <v>220324.5109098912</v>
      </c>
    </row>
    <row r="71" spans="1:9">
      <c r="A71" t="s">
        <v>33</v>
      </c>
      <c r="B71">
        <v>3356886</v>
      </c>
      <c r="C71">
        <v>851993</v>
      </c>
      <c r="D71">
        <v>52704</v>
      </c>
      <c r="E71">
        <v>820358</v>
      </c>
      <c r="F71">
        <v>1001410</v>
      </c>
      <c r="G71">
        <v>1473477</v>
      </c>
      <c r="H71">
        <v>591232.4560283961</v>
      </c>
      <c r="I71">
        <v>233632.7376151798</v>
      </c>
    </row>
    <row r="75" spans="1:9">
      <c r="A75" s="30" t="s">
        <v>270</v>
      </c>
    </row>
    <row r="76" spans="1:9" ht="32" customHeight="1">
      <c r="A76" s="32" t="s">
        <v>35</v>
      </c>
      <c r="B76" s="32" t="s">
        <v>264</v>
      </c>
      <c r="C76" s="32" t="s">
        <v>265</v>
      </c>
      <c r="D76" s="32" t="s">
        <v>266</v>
      </c>
      <c r="E76" s="32" t="s">
        <v>267</v>
      </c>
    </row>
    <row r="77" spans="1:9">
      <c r="A77" t="s">
        <v>7</v>
      </c>
      <c r="B77">
        <v>0.9894054395951929</v>
      </c>
      <c r="C77">
        <v>0.9539307475107742</v>
      </c>
      <c r="D77">
        <v>0.9931642617902213</v>
      </c>
      <c r="E77">
        <v>0.9859807948052636</v>
      </c>
    </row>
    <row r="78" spans="1:9">
      <c r="A78" t="s">
        <v>8</v>
      </c>
      <c r="B78">
        <v>0.6015087641446638</v>
      </c>
      <c r="C78">
        <v>0.581422283993514</v>
      </c>
      <c r="D78">
        <v>0.7104560896824842</v>
      </c>
      <c r="E78">
        <v>0.8537773876278687</v>
      </c>
    </row>
    <row r="79" spans="1:9">
      <c r="A79" t="s">
        <v>9</v>
      </c>
      <c r="B79">
        <v>1</v>
      </c>
      <c r="C79">
        <v>1</v>
      </c>
      <c r="D79">
        <v>1</v>
      </c>
      <c r="E79">
        <v>1</v>
      </c>
    </row>
    <row r="80" spans="1:9">
      <c r="A80" t="s">
        <v>10</v>
      </c>
      <c r="B80">
        <v>0.9484958979033729</v>
      </c>
      <c r="C80">
        <v>0.9370393767108866</v>
      </c>
      <c r="D80">
        <v>0.9843784652623619</v>
      </c>
      <c r="E80">
        <v>0.97577393004026</v>
      </c>
    </row>
    <row r="81" spans="1:11">
      <c r="A81" t="s">
        <v>11</v>
      </c>
      <c r="B81">
        <v>0.6078777189888301</v>
      </c>
      <c r="C81">
        <v>0.9398592450415867</v>
      </c>
      <c r="D81">
        <v>0.9911539948773356</v>
      </c>
      <c r="E81">
        <v>0.996970298482982</v>
      </c>
    </row>
    <row r="82" spans="1:11">
      <c r="A82" t="s">
        <v>12</v>
      </c>
      <c r="B82">
        <v>0.9403706688154714</v>
      </c>
      <c r="C82">
        <v>1</v>
      </c>
      <c r="D82">
        <v>0.9777348442295094</v>
      </c>
      <c r="E82">
        <v>1</v>
      </c>
    </row>
    <row r="83" spans="1:11">
      <c r="A83" t="s">
        <v>13</v>
      </c>
      <c r="B83">
        <v>0.3012975256487628</v>
      </c>
      <c r="C83">
        <v>0.6951945080091533</v>
      </c>
      <c r="D83">
        <v>0.6731999072202525</v>
      </c>
      <c r="E83">
        <v>0.793132474166957</v>
      </c>
    </row>
    <row r="84" spans="1:11">
      <c r="A84" t="s">
        <v>14</v>
      </c>
      <c r="B84">
        <v>0.8549981233579382</v>
      </c>
      <c r="C84">
        <v>0.8571001494768311</v>
      </c>
      <c r="D84">
        <v>0.6493430482328113</v>
      </c>
      <c r="E84">
        <v>0.6926903849986122</v>
      </c>
    </row>
    <row r="88" spans="1:11">
      <c r="A88" s="30" t="s">
        <v>271</v>
      </c>
    </row>
    <row r="89" spans="1:11" ht="32" customHeight="1">
      <c r="A89" s="32" t="s">
        <v>35</v>
      </c>
      <c r="B89" s="32" t="s">
        <v>250</v>
      </c>
      <c r="C89" s="32" t="s">
        <v>251</v>
      </c>
      <c r="D89" s="32" t="s">
        <v>56</v>
      </c>
      <c r="E89" s="32" t="s">
        <v>252</v>
      </c>
      <c r="F89" s="32" t="s">
        <v>253</v>
      </c>
      <c r="G89" s="32" t="s">
        <v>254</v>
      </c>
      <c r="H89" s="32" t="s">
        <v>255</v>
      </c>
      <c r="I89" s="32" t="s">
        <v>256</v>
      </c>
      <c r="J89" s="32" t="s">
        <v>257</v>
      </c>
      <c r="K89" s="32" t="s">
        <v>258</v>
      </c>
    </row>
    <row r="90" spans="1:11">
      <c r="A90" t="s">
        <v>15</v>
      </c>
      <c r="B90">
        <v>48887.51859338581</v>
      </c>
      <c r="C90">
        <v>0</v>
      </c>
      <c r="D90">
        <v>-1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t="s">
        <v>16</v>
      </c>
      <c r="B91">
        <v>3814713.483487767</v>
      </c>
      <c r="C91">
        <v>3775169.595644208</v>
      </c>
      <c r="D91">
        <v>-0.01036614886405684</v>
      </c>
      <c r="E91">
        <v>3775169.595644208</v>
      </c>
      <c r="F91">
        <v>3645132.594854578</v>
      </c>
      <c r="G91">
        <v>112194.0044735404</v>
      </c>
      <c r="H91">
        <v>17842.99631608924</v>
      </c>
      <c r="I91">
        <v>3645132.594854578</v>
      </c>
      <c r="J91">
        <v>112194.0044735404</v>
      </c>
      <c r="K91">
        <v>17842.99631608924</v>
      </c>
    </row>
    <row r="92" spans="1:11">
      <c r="A92" t="s">
        <v>17</v>
      </c>
      <c r="B92">
        <v>24384.54452618148</v>
      </c>
      <c r="C92">
        <v>2162.493668118371</v>
      </c>
      <c r="D92">
        <v>-0.9113170366665443</v>
      </c>
      <c r="E92">
        <v>2162.493668118371</v>
      </c>
      <c r="F92">
        <v>0</v>
      </c>
      <c r="G92">
        <v>0</v>
      </c>
      <c r="H92">
        <v>2162.493668118371</v>
      </c>
      <c r="I92">
        <v>0</v>
      </c>
      <c r="J92">
        <v>0</v>
      </c>
      <c r="K92">
        <v>2162.493668118371</v>
      </c>
    </row>
    <row r="93" spans="1:11">
      <c r="A93" t="s">
        <v>18</v>
      </c>
      <c r="B93">
        <v>11211.45896531866</v>
      </c>
      <c r="C93">
        <v>2025.348040871968</v>
      </c>
      <c r="D93">
        <v>-0.8193501802809835</v>
      </c>
      <c r="E93">
        <v>2025.348040871968</v>
      </c>
      <c r="F93">
        <v>0</v>
      </c>
      <c r="G93">
        <v>0</v>
      </c>
      <c r="H93">
        <v>2025.348040871968</v>
      </c>
      <c r="I93">
        <v>0</v>
      </c>
      <c r="J93">
        <v>0</v>
      </c>
      <c r="K93">
        <v>2025.348040871968</v>
      </c>
    </row>
    <row r="94" spans="1:11">
      <c r="A94" t="s">
        <v>19</v>
      </c>
      <c r="B94">
        <v>13809.27091982534</v>
      </c>
      <c r="C94">
        <v>15218.24551504693</v>
      </c>
      <c r="D94">
        <v>0.1020310632908786</v>
      </c>
      <c r="E94">
        <v>15218.24551504693</v>
      </c>
      <c r="F94">
        <v>0</v>
      </c>
      <c r="G94">
        <v>0</v>
      </c>
      <c r="H94">
        <v>15218.24551504693</v>
      </c>
      <c r="I94">
        <v>0</v>
      </c>
      <c r="J94">
        <v>0</v>
      </c>
      <c r="K94">
        <v>15218.24551504693</v>
      </c>
    </row>
    <row r="98" spans="1:7">
      <c r="A98" s="30" t="s">
        <v>272</v>
      </c>
    </row>
    <row r="99" spans="1:7" ht="32" customHeight="1">
      <c r="A99" s="32" t="s">
        <v>262</v>
      </c>
      <c r="B99" s="32" t="s">
        <v>273</v>
      </c>
      <c r="C99" s="32" t="s">
        <v>274</v>
      </c>
      <c r="D99" s="32" t="s">
        <v>275</v>
      </c>
      <c r="E99" s="32" t="s">
        <v>276</v>
      </c>
      <c r="F99" s="32" t="s">
        <v>36</v>
      </c>
      <c r="G99" s="32" t="s">
        <v>37</v>
      </c>
    </row>
    <row r="100" spans="1:7">
      <c r="A100" t="s">
        <v>28</v>
      </c>
      <c r="B100">
        <v>1149668</v>
      </c>
      <c r="C100">
        <v>2277102</v>
      </c>
      <c r="D100">
        <v>48724</v>
      </c>
      <c r="E100">
        <v>25</v>
      </c>
      <c r="F100">
        <v>0.9859807948052636</v>
      </c>
      <c r="G100">
        <v>0.9539307475107742</v>
      </c>
    </row>
    <row r="101" spans="1:7">
      <c r="A101" t="s">
        <v>29</v>
      </c>
      <c r="B101">
        <v>1210913</v>
      </c>
      <c r="C101">
        <v>1866008</v>
      </c>
      <c r="D101">
        <v>85922</v>
      </c>
      <c r="E101">
        <v>0</v>
      </c>
      <c r="F101">
        <v>0.9728339431220762</v>
      </c>
      <c r="G101">
        <v>0.9077380952380952</v>
      </c>
    </row>
    <row r="102" spans="1:7">
      <c r="A102" t="s">
        <v>30</v>
      </c>
      <c r="B102">
        <v>1273686</v>
      </c>
      <c r="C102">
        <v>2648945</v>
      </c>
      <c r="D102">
        <v>184442</v>
      </c>
      <c r="E102">
        <v>28</v>
      </c>
      <c r="F102">
        <v>0.955091924936835</v>
      </c>
      <c r="G102">
        <v>0.8959353899112935</v>
      </c>
    </row>
    <row r="103" spans="1:7">
      <c r="A103" t="s">
        <v>31</v>
      </c>
      <c r="B103">
        <v>1237658</v>
      </c>
      <c r="C103">
        <v>2514505</v>
      </c>
      <c r="D103">
        <v>140388</v>
      </c>
      <c r="E103">
        <v>0</v>
      </c>
      <c r="F103">
        <v>0.9639341819629805</v>
      </c>
      <c r="G103">
        <v>0.8451546993578517</v>
      </c>
    </row>
    <row r="104" spans="1:7">
      <c r="A104" t="s">
        <v>32</v>
      </c>
      <c r="B104">
        <v>918537</v>
      </c>
      <c r="C104">
        <v>1491253</v>
      </c>
      <c r="D104">
        <v>95940</v>
      </c>
      <c r="E104">
        <v>791</v>
      </c>
      <c r="F104">
        <v>0.9617238395369518</v>
      </c>
      <c r="G104">
        <v>0.8814731424895464</v>
      </c>
    </row>
    <row r="105" spans="1:7">
      <c r="A105" t="s">
        <v>33</v>
      </c>
      <c r="B105">
        <v>1039257</v>
      </c>
      <c r="C105">
        <v>1471093</v>
      </c>
      <c r="D105">
        <v>846536</v>
      </c>
      <c r="E105">
        <v>0</v>
      </c>
      <c r="F105">
        <v>0.7478210460528001</v>
      </c>
      <c r="G105">
        <v>0.5651162790697675</v>
      </c>
    </row>
    <row r="109" spans="1:7">
      <c r="A109" s="30" t="s">
        <v>277</v>
      </c>
    </row>
    <row r="110" spans="1:7" ht="32" customHeight="1">
      <c r="A110" s="32" t="s">
        <v>27</v>
      </c>
      <c r="B110" s="32" t="s">
        <v>278</v>
      </c>
      <c r="C110" s="32" t="s">
        <v>279</v>
      </c>
      <c r="D110" s="32" t="s">
        <v>280</v>
      </c>
      <c r="E110" s="32" t="s">
        <v>281</v>
      </c>
      <c r="F110" s="32" t="s">
        <v>282</v>
      </c>
      <c r="G110" s="32" t="s">
        <v>56</v>
      </c>
    </row>
    <row r="111" spans="1:7">
      <c r="A111">
        <v>3416903.333333333</v>
      </c>
      <c r="B111">
        <v>480.4419760029996</v>
      </c>
      <c r="C111">
        <v>0.9859807948052636</v>
      </c>
      <c r="D111">
        <v>0.9539307475107742</v>
      </c>
      <c r="E111">
        <v>1480318</v>
      </c>
      <c r="F111">
        <v>1793165</v>
      </c>
      <c r="G111">
        <v>0.00299416269719635</v>
      </c>
    </row>
    <row r="115" spans="1:7">
      <c r="A115" s="30" t="s">
        <v>283</v>
      </c>
    </row>
    <row r="116" spans="1:7" ht="32" customHeight="1">
      <c r="A116" s="32" t="s">
        <v>262</v>
      </c>
      <c r="B116" s="32" t="s">
        <v>273</v>
      </c>
      <c r="C116" s="32" t="s">
        <v>274</v>
      </c>
      <c r="D116" s="32" t="s">
        <v>275</v>
      </c>
      <c r="E116" s="32" t="s">
        <v>276</v>
      </c>
      <c r="F116" s="32" t="s">
        <v>36</v>
      </c>
      <c r="G116" s="32" t="s">
        <v>37</v>
      </c>
    </row>
    <row r="117" spans="1:7">
      <c r="A117" t="s">
        <v>28</v>
      </c>
      <c r="B117">
        <v>654105</v>
      </c>
      <c r="C117">
        <v>6594</v>
      </c>
      <c r="D117">
        <v>114268</v>
      </c>
      <c r="E117">
        <v>318</v>
      </c>
      <c r="F117">
        <v>0.8526118103512769</v>
      </c>
      <c r="G117">
        <v>0.5740216878830741</v>
      </c>
    </row>
    <row r="118" spans="1:7">
      <c r="A118" t="s">
        <v>29</v>
      </c>
      <c r="B118">
        <v>514245</v>
      </c>
      <c r="C118">
        <v>9059</v>
      </c>
      <c r="D118">
        <v>153095</v>
      </c>
      <c r="E118">
        <v>119</v>
      </c>
      <c r="F118">
        <v>0.7737011782409016</v>
      </c>
      <c r="G118">
        <v>0.4557501183151917</v>
      </c>
    </row>
    <row r="119" spans="1:7">
      <c r="A119" t="s">
        <v>30</v>
      </c>
      <c r="B119">
        <v>691271</v>
      </c>
      <c r="C119">
        <v>3</v>
      </c>
      <c r="D119">
        <v>111727</v>
      </c>
      <c r="E119">
        <v>7</v>
      </c>
      <c r="F119">
        <v>0.8608643998565394</v>
      </c>
      <c r="G119">
        <v>0.6845188284518828</v>
      </c>
    </row>
    <row r="120" spans="1:7">
      <c r="A120" t="s">
        <v>31</v>
      </c>
      <c r="B120">
        <v>748990</v>
      </c>
      <c r="C120">
        <v>0</v>
      </c>
      <c r="D120">
        <v>194579</v>
      </c>
      <c r="E120">
        <v>1</v>
      </c>
      <c r="F120">
        <v>0.7937842449420817</v>
      </c>
      <c r="G120">
        <v>0.6985045827303425</v>
      </c>
    </row>
    <row r="121" spans="1:7">
      <c r="A121" t="s">
        <v>32</v>
      </c>
      <c r="B121">
        <v>600525</v>
      </c>
      <c r="C121">
        <v>73</v>
      </c>
      <c r="D121">
        <v>369913</v>
      </c>
      <c r="E121">
        <v>0</v>
      </c>
      <c r="F121">
        <v>0.6188467918929222</v>
      </c>
      <c r="G121">
        <v>0.539025077486616</v>
      </c>
    </row>
    <row r="122" spans="1:7">
      <c r="A122" t="s">
        <v>33</v>
      </c>
      <c r="B122">
        <v>304811</v>
      </c>
      <c r="C122">
        <v>68982</v>
      </c>
      <c r="D122">
        <v>473692</v>
      </c>
      <c r="E122">
        <v>0</v>
      </c>
      <c r="F122">
        <v>0.441061493713753</v>
      </c>
      <c r="G122">
        <v>0.3371544167228591</v>
      </c>
    </row>
    <row r="126" spans="1:7">
      <c r="A126" s="30" t="s">
        <v>284</v>
      </c>
    </row>
    <row r="127" spans="1:7" ht="32" customHeight="1">
      <c r="A127" s="32" t="s">
        <v>27</v>
      </c>
      <c r="B127" s="32" t="s">
        <v>278</v>
      </c>
      <c r="C127" s="32" t="s">
        <v>279</v>
      </c>
      <c r="D127" s="32" t="s">
        <v>280</v>
      </c>
      <c r="E127" s="32" t="s">
        <v>281</v>
      </c>
      <c r="F127" s="32" t="s">
        <v>282</v>
      </c>
      <c r="G127" s="32" t="s">
        <v>56</v>
      </c>
    </row>
    <row r="128" spans="1:7">
      <c r="A128">
        <v>836062.6666666666</v>
      </c>
      <c r="B128">
        <v>220.8495201197499</v>
      </c>
      <c r="C128">
        <v>0.8526118103512769</v>
      </c>
      <c r="D128">
        <v>0.5740216878830741</v>
      </c>
      <c r="E128">
        <v>2749252</v>
      </c>
      <c r="F128">
        <v>2778926</v>
      </c>
      <c r="G128">
        <v>-0.1999575065071759</v>
      </c>
    </row>
    <row r="132" spans="1:7">
      <c r="A132" s="30" t="s">
        <v>285</v>
      </c>
    </row>
    <row r="133" spans="1:7" ht="32" customHeight="1">
      <c r="A133" s="32" t="s">
        <v>262</v>
      </c>
      <c r="B133" s="32" t="s">
        <v>273</v>
      </c>
      <c r="C133" s="32" t="s">
        <v>274</v>
      </c>
      <c r="D133" s="32" t="s">
        <v>275</v>
      </c>
      <c r="E133" s="32" t="s">
        <v>276</v>
      </c>
      <c r="F133" s="32" t="s">
        <v>36</v>
      </c>
      <c r="G133" s="32" t="s">
        <v>37</v>
      </c>
    </row>
    <row r="134" spans="1:7">
      <c r="A134" t="s">
        <v>28</v>
      </c>
      <c r="B134">
        <v>6180</v>
      </c>
      <c r="C134">
        <v>0</v>
      </c>
      <c r="D134">
        <v>0</v>
      </c>
      <c r="E134">
        <v>0</v>
      </c>
      <c r="F134">
        <v>1</v>
      </c>
      <c r="G134">
        <v>1</v>
      </c>
    </row>
    <row r="135" spans="1:7">
      <c r="A135" t="s">
        <v>29</v>
      </c>
      <c r="B135">
        <v>13201</v>
      </c>
      <c r="C135">
        <v>0</v>
      </c>
      <c r="D135">
        <v>0</v>
      </c>
      <c r="E135">
        <v>0</v>
      </c>
      <c r="F135">
        <v>1</v>
      </c>
      <c r="G135">
        <v>1</v>
      </c>
    </row>
    <row r="136" spans="1:7">
      <c r="A136" t="s">
        <v>30</v>
      </c>
      <c r="B136">
        <v>5127</v>
      </c>
      <c r="C136">
        <v>0</v>
      </c>
      <c r="D136">
        <v>0</v>
      </c>
      <c r="E136">
        <v>0</v>
      </c>
      <c r="F136">
        <v>1</v>
      </c>
      <c r="G136">
        <v>1</v>
      </c>
    </row>
    <row r="137" spans="1:7">
      <c r="A137" t="s">
        <v>31</v>
      </c>
      <c r="B137">
        <v>11376</v>
      </c>
      <c r="C137">
        <v>0</v>
      </c>
      <c r="D137">
        <v>8</v>
      </c>
      <c r="E137">
        <v>0</v>
      </c>
      <c r="F137">
        <v>0.9992972593113141</v>
      </c>
      <c r="G137">
        <v>0.9595959595959596</v>
      </c>
    </row>
    <row r="138" spans="1:7">
      <c r="A138" t="s">
        <v>32</v>
      </c>
      <c r="B138">
        <v>5166</v>
      </c>
      <c r="C138">
        <v>27</v>
      </c>
      <c r="D138">
        <v>1552</v>
      </c>
      <c r="E138">
        <v>0</v>
      </c>
      <c r="F138">
        <v>0.7698695136417556</v>
      </c>
      <c r="G138">
        <v>0.6585365853658537</v>
      </c>
    </row>
    <row r="139" spans="1:7">
      <c r="A139" t="s">
        <v>33</v>
      </c>
      <c r="B139">
        <v>0</v>
      </c>
      <c r="C139">
        <v>0</v>
      </c>
      <c r="D139">
        <v>4508</v>
      </c>
      <c r="E139">
        <v>0</v>
      </c>
      <c r="F139">
        <v>0</v>
      </c>
      <c r="G139">
        <v>0</v>
      </c>
    </row>
    <row r="143" spans="1:7">
      <c r="A143" s="30" t="s">
        <v>286</v>
      </c>
    </row>
    <row r="144" spans="1:7" ht="32" customHeight="1">
      <c r="A144" s="32" t="s">
        <v>27</v>
      </c>
      <c r="B144" s="32" t="s">
        <v>278</v>
      </c>
      <c r="C144" s="32" t="s">
        <v>279</v>
      </c>
      <c r="D144" s="32" t="s">
        <v>280</v>
      </c>
      <c r="E144" s="32" t="s">
        <v>281</v>
      </c>
      <c r="F144" s="32" t="s">
        <v>282</v>
      </c>
      <c r="G144" s="32" t="s">
        <v>56</v>
      </c>
    </row>
    <row r="145" spans="1:7">
      <c r="A145">
        <v>7857.333333333333</v>
      </c>
      <c r="B145">
        <v>112.5155131264916</v>
      </c>
      <c r="C145">
        <v>1</v>
      </c>
      <c r="D145">
        <v>1</v>
      </c>
      <c r="E145">
        <v>14110</v>
      </c>
      <c r="F145">
        <v>14110</v>
      </c>
      <c r="G145">
        <v>0.1765892919534155</v>
      </c>
    </row>
    <row r="149" spans="1:7">
      <c r="A149" s="30" t="s">
        <v>287</v>
      </c>
    </row>
    <row r="150" spans="1:7" ht="32" customHeight="1">
      <c r="A150" s="32" t="s">
        <v>262</v>
      </c>
      <c r="B150" s="32" t="s">
        <v>273</v>
      </c>
      <c r="C150" s="32" t="s">
        <v>275</v>
      </c>
      <c r="D150" s="32" t="s">
        <v>276</v>
      </c>
      <c r="E150" s="32" t="s">
        <v>288</v>
      </c>
      <c r="F150" s="32" t="s">
        <v>36</v>
      </c>
      <c r="G150" s="32" t="s">
        <v>37</v>
      </c>
    </row>
    <row r="151" spans="1:7">
      <c r="A151" t="s">
        <v>28</v>
      </c>
      <c r="B151">
        <v>105005</v>
      </c>
      <c r="C151">
        <v>0</v>
      </c>
      <c r="D151">
        <v>0</v>
      </c>
      <c r="E151">
        <v>0</v>
      </c>
      <c r="F151">
        <v>1</v>
      </c>
      <c r="G151">
        <v>1</v>
      </c>
    </row>
    <row r="152" spans="1:7">
      <c r="A152" t="s">
        <v>29</v>
      </c>
      <c r="B152">
        <v>68044</v>
      </c>
      <c r="C152">
        <v>120</v>
      </c>
      <c r="D152">
        <v>0</v>
      </c>
      <c r="E152">
        <v>0</v>
      </c>
      <c r="F152">
        <v>0.9982395399331025</v>
      </c>
      <c r="G152">
        <v>0.9942528735632183</v>
      </c>
    </row>
    <row r="153" spans="1:7">
      <c r="A153" t="s">
        <v>30</v>
      </c>
      <c r="B153">
        <v>102512</v>
      </c>
      <c r="C153">
        <v>1829</v>
      </c>
      <c r="D153">
        <v>0</v>
      </c>
      <c r="E153">
        <v>0</v>
      </c>
      <c r="F153">
        <v>0.9824709366404386</v>
      </c>
      <c r="G153">
        <v>0.976303317535545</v>
      </c>
    </row>
    <row r="154" spans="1:7">
      <c r="A154" t="s">
        <v>31</v>
      </c>
      <c r="B154">
        <v>65509</v>
      </c>
      <c r="C154">
        <v>6300</v>
      </c>
      <c r="D154">
        <v>0</v>
      </c>
      <c r="E154">
        <v>0</v>
      </c>
      <c r="F154">
        <v>0.912267264549012</v>
      </c>
      <c r="G154">
        <v>0.8493975903614458</v>
      </c>
    </row>
    <row r="155" spans="1:7">
      <c r="A155" t="s">
        <v>32</v>
      </c>
      <c r="B155">
        <v>80053</v>
      </c>
      <c r="C155">
        <v>39817</v>
      </c>
      <c r="D155">
        <v>0</v>
      </c>
      <c r="E155">
        <v>0</v>
      </c>
      <c r="F155">
        <v>0.6678318178026195</v>
      </c>
      <c r="G155">
        <v>0.7361963190184049</v>
      </c>
    </row>
    <row r="156" spans="1:7">
      <c r="A156" t="s">
        <v>33</v>
      </c>
      <c r="B156">
        <v>0</v>
      </c>
      <c r="C156">
        <v>52704</v>
      </c>
      <c r="D156">
        <v>0</v>
      </c>
      <c r="E156">
        <v>0</v>
      </c>
      <c r="F156">
        <v>0</v>
      </c>
      <c r="G156">
        <v>0</v>
      </c>
    </row>
    <row r="160" spans="1:7">
      <c r="A160" s="30" t="s">
        <v>289</v>
      </c>
    </row>
    <row r="161" spans="1:7" ht="32" customHeight="1">
      <c r="A161" s="32" t="s">
        <v>27</v>
      </c>
      <c r="B161" s="32" t="s">
        <v>278</v>
      </c>
      <c r="C161" s="32" t="s">
        <v>279</v>
      </c>
      <c r="D161" s="32" t="s">
        <v>280</v>
      </c>
      <c r="E161" s="32" t="s">
        <v>281</v>
      </c>
      <c r="F161" s="32" t="s">
        <v>282</v>
      </c>
      <c r="G161" s="32" t="s">
        <v>56</v>
      </c>
    </row>
    <row r="162" spans="1:7">
      <c r="A162">
        <v>86982.16666666667</v>
      </c>
      <c r="B162">
        <v>451.4645328719723</v>
      </c>
      <c r="C162">
        <v>1</v>
      </c>
      <c r="D162">
        <v>1</v>
      </c>
      <c r="E162">
        <v>106046</v>
      </c>
      <c r="F162">
        <v>147601</v>
      </c>
      <c r="G162">
        <v>0.08002839079786922</v>
      </c>
    </row>
    <row r="166" spans="1:7">
      <c r="A166" s="30" t="s">
        <v>290</v>
      </c>
    </row>
    <row r="167" spans="1:7" ht="32" customHeight="1">
      <c r="A167" s="32" t="s">
        <v>262</v>
      </c>
      <c r="B167" s="32" t="s">
        <v>273</v>
      </c>
      <c r="C167" s="32" t="s">
        <v>274</v>
      </c>
      <c r="D167" s="32" t="s">
        <v>275</v>
      </c>
      <c r="E167" s="32" t="s">
        <v>276</v>
      </c>
      <c r="F167" s="32" t="s">
        <v>36</v>
      </c>
      <c r="G167" s="32" t="s">
        <v>37</v>
      </c>
    </row>
    <row r="168" spans="1:7">
      <c r="A168" t="s">
        <v>28</v>
      </c>
      <c r="B168">
        <v>1153099</v>
      </c>
      <c r="C168">
        <v>0</v>
      </c>
      <c r="D168">
        <v>29052</v>
      </c>
      <c r="E168">
        <v>17053</v>
      </c>
      <c r="F168">
        <v>0.97577393004026</v>
      </c>
      <c r="G168">
        <v>0.9370393767108866</v>
      </c>
    </row>
    <row r="169" spans="1:7">
      <c r="A169" t="s">
        <v>29</v>
      </c>
      <c r="B169">
        <v>1363390</v>
      </c>
      <c r="C169">
        <v>0</v>
      </c>
      <c r="D169">
        <v>24658</v>
      </c>
      <c r="E169">
        <v>37569</v>
      </c>
      <c r="F169">
        <v>0.9827036293759124</v>
      </c>
      <c r="G169">
        <v>0.9211052535902563</v>
      </c>
    </row>
    <row r="170" spans="1:7">
      <c r="A170" t="s">
        <v>30</v>
      </c>
      <c r="B170">
        <v>901639</v>
      </c>
      <c r="C170">
        <v>0</v>
      </c>
      <c r="D170">
        <v>40982</v>
      </c>
      <c r="E170">
        <v>34867</v>
      </c>
      <c r="F170">
        <v>0.9580741656163554</v>
      </c>
      <c r="G170">
        <v>0.9063160366283165</v>
      </c>
    </row>
    <row r="171" spans="1:7">
      <c r="A171" t="s">
        <v>31</v>
      </c>
      <c r="B171">
        <v>1049130</v>
      </c>
      <c r="C171">
        <v>0</v>
      </c>
      <c r="D171">
        <v>144406</v>
      </c>
      <c r="E171">
        <v>40480</v>
      </c>
      <c r="F171">
        <v>0.8829789216842232</v>
      </c>
      <c r="G171">
        <v>0.8471350475804819</v>
      </c>
    </row>
    <row r="172" spans="1:7">
      <c r="A172" t="s">
        <v>32</v>
      </c>
      <c r="B172">
        <v>635297</v>
      </c>
      <c r="C172">
        <v>0</v>
      </c>
      <c r="D172">
        <v>233404</v>
      </c>
      <c r="E172">
        <v>29482</v>
      </c>
      <c r="F172">
        <v>0.7401375888877879</v>
      </c>
      <c r="G172">
        <v>0.7480610457843383</v>
      </c>
    </row>
    <row r="173" spans="1:7">
      <c r="A173" t="s">
        <v>33</v>
      </c>
      <c r="B173">
        <v>252064</v>
      </c>
      <c r="C173">
        <v>0</v>
      </c>
      <c r="D173">
        <v>545508</v>
      </c>
      <c r="E173">
        <v>22786</v>
      </c>
      <c r="F173">
        <v>0.3350366547287891</v>
      </c>
      <c r="G173">
        <v>0.4057929452251219</v>
      </c>
    </row>
    <row r="177" spans="1:7">
      <c r="A177" s="30" t="s">
        <v>291</v>
      </c>
    </row>
    <row r="178" spans="1:7" ht="32" customHeight="1">
      <c r="A178" s="32" t="s">
        <v>27</v>
      </c>
      <c r="B178" s="32" t="s">
        <v>278</v>
      </c>
      <c r="C178" s="32" t="s">
        <v>279</v>
      </c>
      <c r="D178" s="32" t="s">
        <v>280</v>
      </c>
      <c r="E178" s="32" t="s">
        <v>281</v>
      </c>
      <c r="F178" s="32" t="s">
        <v>282</v>
      </c>
      <c r="G178" s="32" t="s">
        <v>56</v>
      </c>
    </row>
    <row r="179" spans="1:7">
      <c r="A179">
        <v>1092477.833333333</v>
      </c>
      <c r="B179">
        <v>243.3858235556216</v>
      </c>
      <c r="C179">
        <v>0.97577393004026</v>
      </c>
      <c r="D179">
        <v>0.9370393767108866</v>
      </c>
      <c r="E179">
        <v>1200347</v>
      </c>
      <c r="F179">
        <v>3434403</v>
      </c>
      <c r="G179">
        <v>0.1359992775971771</v>
      </c>
    </row>
    <row r="183" spans="1:7">
      <c r="A183" s="30" t="s">
        <v>292</v>
      </c>
    </row>
    <row r="184" spans="1:7" ht="32" customHeight="1">
      <c r="A184" s="32" t="s">
        <v>262</v>
      </c>
      <c r="B184" s="32" t="s">
        <v>273</v>
      </c>
      <c r="C184" s="32" t="s">
        <v>274</v>
      </c>
      <c r="D184" s="32" t="s">
        <v>275</v>
      </c>
      <c r="E184" s="32" t="s">
        <v>276</v>
      </c>
      <c r="F184" s="32" t="s">
        <v>36</v>
      </c>
      <c r="G184" s="32" t="s">
        <v>37</v>
      </c>
    </row>
    <row r="185" spans="1:7">
      <c r="A185" t="s">
        <v>28</v>
      </c>
      <c r="B185">
        <v>2347164</v>
      </c>
      <c r="C185">
        <v>1699865</v>
      </c>
      <c r="D185">
        <v>12302</v>
      </c>
      <c r="E185">
        <v>1136</v>
      </c>
      <c r="F185">
        <v>0.996970298482982</v>
      </c>
      <c r="G185">
        <v>0.9398592450415867</v>
      </c>
    </row>
    <row r="186" spans="1:7">
      <c r="A186" t="s">
        <v>29</v>
      </c>
      <c r="B186">
        <v>1989474</v>
      </c>
      <c r="C186">
        <v>1639479</v>
      </c>
      <c r="D186">
        <v>21722</v>
      </c>
      <c r="E186">
        <v>0</v>
      </c>
      <c r="F186">
        <v>0.9940498674902587</v>
      </c>
      <c r="G186">
        <v>0.8839779005524862</v>
      </c>
    </row>
    <row r="187" spans="1:7">
      <c r="A187" t="s">
        <v>30</v>
      </c>
      <c r="B187">
        <v>418075</v>
      </c>
      <c r="C187">
        <v>2090995</v>
      </c>
      <c r="D187">
        <v>21463</v>
      </c>
      <c r="E187">
        <v>3785</v>
      </c>
      <c r="F187">
        <v>0.9915310549031338</v>
      </c>
      <c r="G187">
        <v>0.837217640731445</v>
      </c>
    </row>
    <row r="188" spans="1:7">
      <c r="A188" t="s">
        <v>31</v>
      </c>
      <c r="B188">
        <v>109120</v>
      </c>
      <c r="C188">
        <v>1478610</v>
      </c>
      <c r="D188">
        <v>44267</v>
      </c>
      <c r="E188">
        <v>17939</v>
      </c>
      <c r="F188">
        <v>0.9731704582301727</v>
      </c>
      <c r="G188">
        <v>0.6334781156030739</v>
      </c>
    </row>
    <row r="189" spans="1:7">
      <c r="A189" t="s">
        <v>32</v>
      </c>
      <c r="B189">
        <v>83327</v>
      </c>
      <c r="C189">
        <v>1110613</v>
      </c>
      <c r="D189">
        <v>34409</v>
      </c>
      <c r="E189">
        <v>6237</v>
      </c>
      <c r="F189">
        <v>0.9721291185871215</v>
      </c>
      <c r="G189">
        <v>0.4956834532374101</v>
      </c>
    </row>
    <row r="190" spans="1:7">
      <c r="A190" t="s">
        <v>33</v>
      </c>
      <c r="B190">
        <v>54571</v>
      </c>
      <c r="C190">
        <v>914999</v>
      </c>
      <c r="D190">
        <v>31691</v>
      </c>
      <c r="E190">
        <v>149</v>
      </c>
      <c r="F190">
        <v>0.9683536213938347</v>
      </c>
      <c r="G190">
        <v>0.4990541051835036</v>
      </c>
    </row>
    <row r="194" spans="1:7">
      <c r="A194" s="30" t="s">
        <v>293</v>
      </c>
    </row>
    <row r="195" spans="1:7" ht="32" customHeight="1">
      <c r="A195" s="32" t="s">
        <v>27</v>
      </c>
      <c r="B195" s="32" t="s">
        <v>278</v>
      </c>
      <c r="C195" s="32" t="s">
        <v>279</v>
      </c>
      <c r="D195" s="32" t="s">
        <v>280</v>
      </c>
      <c r="E195" s="32" t="s">
        <v>281</v>
      </c>
      <c r="F195" s="32" t="s">
        <v>282</v>
      </c>
      <c r="G195" s="32" t="s">
        <v>56</v>
      </c>
    </row>
    <row r="196" spans="1:7">
      <c r="A196">
        <v>2355231.666666667</v>
      </c>
      <c r="B196">
        <v>803.4220251293422</v>
      </c>
      <c r="C196">
        <v>0.996970298482982</v>
      </c>
      <c r="D196">
        <v>0.9398592450415867</v>
      </c>
      <c r="E196">
        <v>542133</v>
      </c>
      <c r="F196">
        <v>607594</v>
      </c>
      <c r="G196">
        <v>0.02389735310820626</v>
      </c>
    </row>
    <row r="200" spans="1:7">
      <c r="A200" s="30" t="s">
        <v>294</v>
      </c>
    </row>
    <row r="201" spans="1:7" ht="32" customHeight="1">
      <c r="A201" s="32" t="s">
        <v>262</v>
      </c>
      <c r="B201" s="32" t="s">
        <v>273</v>
      </c>
      <c r="C201" s="32" t="s">
        <v>274</v>
      </c>
      <c r="D201" s="32" t="s">
        <v>275</v>
      </c>
      <c r="E201" s="32" t="s">
        <v>276</v>
      </c>
      <c r="F201" s="32" t="s">
        <v>36</v>
      </c>
      <c r="G201" s="32" t="s">
        <v>37</v>
      </c>
    </row>
    <row r="202" spans="1:7">
      <c r="A202" t="s">
        <v>28</v>
      </c>
      <c r="B202">
        <v>1814597</v>
      </c>
      <c r="C202">
        <v>0</v>
      </c>
      <c r="D202">
        <v>0</v>
      </c>
      <c r="E202">
        <v>10718</v>
      </c>
      <c r="F202">
        <v>1</v>
      </c>
      <c r="G202">
        <v>1</v>
      </c>
    </row>
    <row r="203" spans="1:7">
      <c r="A203" t="s">
        <v>29</v>
      </c>
      <c r="B203">
        <v>1314952</v>
      </c>
      <c r="C203">
        <v>0</v>
      </c>
      <c r="D203">
        <v>79534</v>
      </c>
      <c r="E203">
        <v>0</v>
      </c>
      <c r="F203">
        <v>0.9429653650162139</v>
      </c>
      <c r="G203">
        <v>1</v>
      </c>
    </row>
    <row r="204" spans="1:7">
      <c r="A204" t="s">
        <v>30</v>
      </c>
      <c r="B204">
        <v>1511149</v>
      </c>
      <c r="C204">
        <v>0</v>
      </c>
      <c r="D204">
        <v>0</v>
      </c>
      <c r="E204">
        <v>227758</v>
      </c>
      <c r="F204">
        <v>1</v>
      </c>
      <c r="G204">
        <v>1</v>
      </c>
    </row>
    <row r="205" spans="1:7">
      <c r="A205" t="s">
        <v>31</v>
      </c>
      <c r="B205">
        <v>1485242</v>
      </c>
      <c r="C205">
        <v>0</v>
      </c>
      <c r="D205">
        <v>0</v>
      </c>
      <c r="E205">
        <v>194859</v>
      </c>
      <c r="F205">
        <v>1</v>
      </c>
      <c r="G205">
        <v>1</v>
      </c>
    </row>
    <row r="206" spans="1:7">
      <c r="A206" t="s">
        <v>32</v>
      </c>
      <c r="B206">
        <v>682272</v>
      </c>
      <c r="C206">
        <v>0</v>
      </c>
      <c r="D206">
        <v>649976</v>
      </c>
      <c r="E206">
        <v>0</v>
      </c>
      <c r="F206">
        <v>0.5121208663852376</v>
      </c>
      <c r="G206">
        <v>0.3177320139074619</v>
      </c>
    </row>
    <row r="207" spans="1:7">
      <c r="A207" t="s">
        <v>33</v>
      </c>
      <c r="B207">
        <v>34796</v>
      </c>
      <c r="C207">
        <v>0</v>
      </c>
      <c r="D207">
        <v>1438681</v>
      </c>
      <c r="E207">
        <v>0</v>
      </c>
      <c r="F207">
        <v>0.02361489185104348</v>
      </c>
      <c r="G207">
        <v>0.0154461606845205</v>
      </c>
    </row>
    <row r="211" spans="1:7">
      <c r="A211" s="30" t="s">
        <v>295</v>
      </c>
    </row>
    <row r="212" spans="1:7" ht="32" customHeight="1">
      <c r="A212" s="32" t="s">
        <v>27</v>
      </c>
      <c r="B212" s="32" t="s">
        <v>278</v>
      </c>
      <c r="C212" s="32" t="s">
        <v>279</v>
      </c>
      <c r="D212" s="32" t="s">
        <v>280</v>
      </c>
      <c r="E212" s="32" t="s">
        <v>281</v>
      </c>
      <c r="F212" s="32" t="s">
        <v>282</v>
      </c>
      <c r="G212" s="32" t="s">
        <v>56</v>
      </c>
    </row>
    <row r="213" spans="1:7">
      <c r="A213">
        <v>1574089.166666667</v>
      </c>
      <c r="B213">
        <v>202.3207514834729</v>
      </c>
      <c r="C213">
        <v>1</v>
      </c>
      <c r="D213">
        <v>1</v>
      </c>
      <c r="E213">
        <v>2145041</v>
      </c>
      <c r="F213">
        <v>2883642</v>
      </c>
      <c r="G213">
        <v>-0.1308013926989707</v>
      </c>
    </row>
    <row r="217" spans="1:7">
      <c r="A217" s="30" t="s">
        <v>296</v>
      </c>
    </row>
    <row r="218" spans="1:7" ht="32" customHeight="1">
      <c r="A218" s="32" t="s">
        <v>262</v>
      </c>
      <c r="B218" s="32" t="s">
        <v>273</v>
      </c>
      <c r="C218" s="32" t="s">
        <v>274</v>
      </c>
      <c r="D218" s="32" t="s">
        <v>275</v>
      </c>
      <c r="E218" s="32" t="s">
        <v>276</v>
      </c>
      <c r="F218" s="32" t="s">
        <v>36</v>
      </c>
      <c r="G218" s="32" t="s">
        <v>37</v>
      </c>
    </row>
    <row r="219" spans="1:7">
      <c r="A219" t="s">
        <v>28</v>
      </c>
      <c r="B219">
        <v>78140</v>
      </c>
      <c r="C219">
        <v>1484</v>
      </c>
      <c r="D219">
        <v>21381</v>
      </c>
      <c r="E219">
        <v>2351</v>
      </c>
      <c r="F219">
        <v>0.793132474166957</v>
      </c>
      <c r="G219">
        <v>0.6951945080091533</v>
      </c>
    </row>
    <row r="220" spans="1:7">
      <c r="A220" t="s">
        <v>29</v>
      </c>
      <c r="B220">
        <v>110936</v>
      </c>
      <c r="C220">
        <v>2026</v>
      </c>
      <c r="D220">
        <v>30432</v>
      </c>
      <c r="E220">
        <v>2383</v>
      </c>
      <c r="F220">
        <v>0.7912427886429272</v>
      </c>
      <c r="G220">
        <v>0.5787224471434997</v>
      </c>
    </row>
    <row r="221" spans="1:7">
      <c r="A221" t="s">
        <v>30</v>
      </c>
      <c r="B221">
        <v>53420</v>
      </c>
      <c r="C221">
        <v>8481</v>
      </c>
      <c r="D221">
        <v>14776</v>
      </c>
      <c r="E221">
        <v>3252</v>
      </c>
      <c r="F221">
        <v>0.8151359331406623</v>
      </c>
      <c r="G221">
        <v>0.3739383644746421</v>
      </c>
    </row>
    <row r="222" spans="1:7">
      <c r="A222" t="s">
        <v>31</v>
      </c>
      <c r="B222">
        <v>68133</v>
      </c>
      <c r="C222">
        <v>11187</v>
      </c>
      <c r="D222">
        <v>32843</v>
      </c>
      <c r="E222">
        <v>2678</v>
      </c>
      <c r="F222">
        <v>0.714013287937235</v>
      </c>
      <c r="G222">
        <v>0.4474327628361858</v>
      </c>
    </row>
    <row r="223" spans="1:7">
      <c r="A223" t="s">
        <v>32</v>
      </c>
      <c r="B223">
        <v>92823</v>
      </c>
      <c r="C223">
        <v>1245</v>
      </c>
      <c r="D223">
        <v>38190</v>
      </c>
      <c r="E223">
        <v>1958</v>
      </c>
      <c r="F223">
        <v>0.7154586636466591</v>
      </c>
      <c r="G223">
        <v>0.4588469184890656</v>
      </c>
    </row>
    <row r="224" spans="1:7">
      <c r="A224" t="s">
        <v>33</v>
      </c>
      <c r="B224">
        <v>0</v>
      </c>
      <c r="C224">
        <v>228</v>
      </c>
      <c r="D224">
        <v>504536</v>
      </c>
      <c r="E224">
        <v>405</v>
      </c>
      <c r="F224">
        <v>0.001253046010345053</v>
      </c>
      <c r="G224">
        <v>0.01618341200269724</v>
      </c>
    </row>
    <row r="228" spans="1:7">
      <c r="A228" s="30" t="s">
        <v>297</v>
      </c>
    </row>
    <row r="229" spans="1:7" ht="32" customHeight="1">
      <c r="A229" s="32" t="s">
        <v>27</v>
      </c>
      <c r="B229" s="32" t="s">
        <v>278</v>
      </c>
      <c r="C229" s="32" t="s">
        <v>279</v>
      </c>
      <c r="D229" s="32" t="s">
        <v>280</v>
      </c>
      <c r="E229" s="32" t="s">
        <v>281</v>
      </c>
      <c r="F229" s="32" t="s">
        <v>282</v>
      </c>
      <c r="G229" s="32" t="s">
        <v>56</v>
      </c>
    </row>
    <row r="230" spans="1:7">
      <c r="A230">
        <v>180548</v>
      </c>
      <c r="B230">
        <v>66.11058220432076</v>
      </c>
      <c r="C230">
        <v>0.793132474166957</v>
      </c>
      <c r="D230">
        <v>0.6951945080091533</v>
      </c>
      <c r="E230">
        <v>866177</v>
      </c>
      <c r="F230">
        <v>2976774</v>
      </c>
      <c r="G230">
        <v>0.2178914762808163</v>
      </c>
    </row>
    <row r="234" spans="1:7">
      <c r="A234" s="30" t="s">
        <v>298</v>
      </c>
    </row>
    <row r="235" spans="1:7" ht="32" customHeight="1">
      <c r="A235" s="32" t="s">
        <v>262</v>
      </c>
      <c r="B235" s="32" t="s">
        <v>273</v>
      </c>
      <c r="C235" s="32" t="s">
        <v>274</v>
      </c>
      <c r="D235" s="32" t="s">
        <v>275</v>
      </c>
      <c r="E235" s="32" t="s">
        <v>276</v>
      </c>
      <c r="F235" s="32" t="s">
        <v>36</v>
      </c>
      <c r="G235" s="32" t="s">
        <v>37</v>
      </c>
    </row>
    <row r="236" spans="1:7">
      <c r="A236" t="s">
        <v>28</v>
      </c>
      <c r="B236">
        <v>2257245.010000002</v>
      </c>
      <c r="C236">
        <v>35981.14000000003</v>
      </c>
      <c r="D236">
        <v>1017381.590000022</v>
      </c>
      <c r="E236">
        <v>0</v>
      </c>
      <c r="F236">
        <v>0.6926903849986122</v>
      </c>
      <c r="G236">
        <v>0.8571001494768311</v>
      </c>
    </row>
    <row r="237" spans="1:7">
      <c r="A237" t="s">
        <v>29</v>
      </c>
      <c r="B237">
        <v>2214528.610000001</v>
      </c>
      <c r="C237">
        <v>35065.13999999982</v>
      </c>
      <c r="D237">
        <v>1190285.050000014</v>
      </c>
      <c r="E237">
        <v>0</v>
      </c>
      <c r="F237">
        <v>0.6539747127137129</v>
      </c>
      <c r="G237">
        <v>0.831151832460733</v>
      </c>
    </row>
    <row r="238" spans="1:7">
      <c r="A238" t="s">
        <v>30</v>
      </c>
      <c r="B238">
        <v>1802014.029999999</v>
      </c>
      <c r="C238">
        <v>37194.56999999994</v>
      </c>
      <c r="D238">
        <v>1698707.599999998</v>
      </c>
      <c r="E238">
        <v>0</v>
      </c>
      <c r="F238">
        <v>0.5198564624000988</v>
      </c>
      <c r="G238">
        <v>0.7894209999473157</v>
      </c>
    </row>
    <row r="239" spans="1:7">
      <c r="A239" t="s">
        <v>31</v>
      </c>
      <c r="B239">
        <v>1844608.780000006</v>
      </c>
      <c r="C239">
        <v>36958.94999999987</v>
      </c>
      <c r="D239">
        <v>2370867.999999958</v>
      </c>
      <c r="E239">
        <v>0</v>
      </c>
      <c r="F239">
        <v>0.4424682345522531</v>
      </c>
      <c r="G239">
        <v>0.7083093456150451</v>
      </c>
    </row>
    <row r="240" spans="1:7">
      <c r="A240" t="s">
        <v>32</v>
      </c>
      <c r="B240">
        <v>1530045.009999999</v>
      </c>
      <c r="C240">
        <v>23251.49000000008</v>
      </c>
      <c r="D240">
        <v>2542412.579999955</v>
      </c>
      <c r="E240">
        <v>0</v>
      </c>
      <c r="F240">
        <v>0.379249714679446</v>
      </c>
      <c r="G240">
        <v>0.5870038195619591</v>
      </c>
    </row>
    <row r="241" spans="1:7">
      <c r="A241" t="s">
        <v>33</v>
      </c>
      <c r="B241">
        <v>0</v>
      </c>
      <c r="C241">
        <v>21748.81000000002</v>
      </c>
      <c r="D241">
        <v>4321352.739999992</v>
      </c>
      <c r="E241">
        <v>0</v>
      </c>
      <c r="F241">
        <v>0.005007667849719071</v>
      </c>
      <c r="G241">
        <v>0.3165488934963822</v>
      </c>
    </row>
    <row r="245" spans="1:7">
      <c r="A245" s="30" t="s">
        <v>299</v>
      </c>
    </row>
    <row r="246" spans="1:7" ht="32" customHeight="1">
      <c r="A246" s="32" t="s">
        <v>27</v>
      </c>
      <c r="B246" s="32" t="s">
        <v>278</v>
      </c>
      <c r="C246" s="32" t="s">
        <v>279</v>
      </c>
      <c r="D246" s="32" t="s">
        <v>280</v>
      </c>
      <c r="E246" s="32" t="s">
        <v>281</v>
      </c>
      <c r="F246" s="32" t="s">
        <v>282</v>
      </c>
      <c r="G246" s="32" t="s">
        <v>56</v>
      </c>
    </row>
    <row r="247" spans="1:7">
      <c r="A247">
        <v>3829941.516666658</v>
      </c>
      <c r="B247">
        <v>195.2822977038253</v>
      </c>
      <c r="C247">
        <v>0.6926903849986122</v>
      </c>
      <c r="D247">
        <v>0.8571001494768311</v>
      </c>
      <c r="E247">
        <v>33591674.98999877</v>
      </c>
      <c r="F247">
        <v>38076721.7399988</v>
      </c>
      <c r="G247">
        <v>0.06751666076136931</v>
      </c>
    </row>
    <row r="251" spans="1:7">
      <c r="A251" s="30" t="s">
        <v>300</v>
      </c>
    </row>
    <row r="252" spans="1:7" ht="32" customHeight="1">
      <c r="A252" s="32" t="s">
        <v>262</v>
      </c>
      <c r="B252" s="32" t="s">
        <v>301</v>
      </c>
      <c r="C252" s="32" t="s">
        <v>302</v>
      </c>
      <c r="D252" s="32" t="s">
        <v>303</v>
      </c>
      <c r="E252" s="32" t="s">
        <v>304</v>
      </c>
      <c r="F252" s="32" t="s">
        <v>305</v>
      </c>
      <c r="G252" s="32" t="s">
        <v>306</v>
      </c>
    </row>
    <row r="253" spans="1:7">
      <c r="A253" t="s">
        <v>28</v>
      </c>
      <c r="B253">
        <v>22695.36</v>
      </c>
      <c r="C253">
        <v>160913.0099999998</v>
      </c>
      <c r="D253">
        <v>189</v>
      </c>
      <c r="E253">
        <v>3315</v>
      </c>
      <c r="F253">
        <v>50373696.94000211</v>
      </c>
      <c r="G253">
        <v>0</v>
      </c>
    </row>
    <row r="254" spans="1:7">
      <c r="A254" t="s">
        <v>29</v>
      </c>
      <c r="B254">
        <v>14874.3</v>
      </c>
      <c r="C254">
        <v>27911417.86</v>
      </c>
      <c r="D254">
        <v>89</v>
      </c>
      <c r="E254">
        <v>269002</v>
      </c>
      <c r="F254">
        <v>22474628.84000267</v>
      </c>
      <c r="G254">
        <v>0</v>
      </c>
    </row>
    <row r="255" spans="1:7">
      <c r="A255" t="s">
        <v>30</v>
      </c>
      <c r="B255">
        <v>9310.760000000026</v>
      </c>
      <c r="C255">
        <v>150862.4499999985</v>
      </c>
      <c r="D255">
        <v>238</v>
      </c>
      <c r="E255">
        <v>2498</v>
      </c>
      <c r="F255">
        <v>22338552.44000267</v>
      </c>
      <c r="G255">
        <v>0</v>
      </c>
    </row>
    <row r="256" spans="1:7">
      <c r="A256" t="s">
        <v>31</v>
      </c>
      <c r="B256">
        <v>9959.560000000005</v>
      </c>
      <c r="C256">
        <v>153314.4399984963</v>
      </c>
      <c r="D256">
        <v>113</v>
      </c>
      <c r="E256">
        <v>2497</v>
      </c>
      <c r="F256">
        <v>22214733.9400027</v>
      </c>
      <c r="G256">
        <v>0</v>
      </c>
    </row>
    <row r="257" spans="1:7">
      <c r="A257" t="s">
        <v>32</v>
      </c>
      <c r="B257">
        <v>1465.87</v>
      </c>
      <c r="C257">
        <v>62435.82999999993</v>
      </c>
      <c r="D257">
        <v>13</v>
      </c>
      <c r="E257">
        <v>1900</v>
      </c>
      <c r="F257">
        <v>22183792.6700027</v>
      </c>
      <c r="G257">
        <v>0</v>
      </c>
    </row>
    <row r="258" spans="1:7">
      <c r="A258" t="s">
        <v>33</v>
      </c>
      <c r="B258">
        <v>15278.08</v>
      </c>
      <c r="C258">
        <v>75514.03999999975</v>
      </c>
      <c r="D258">
        <v>83</v>
      </c>
      <c r="E258">
        <v>2033</v>
      </c>
      <c r="F258">
        <v>22106987.68000206</v>
      </c>
      <c r="G258">
        <v>0</v>
      </c>
    </row>
    <row r="262" spans="1:7">
      <c r="A262" s="30" t="s">
        <v>307</v>
      </c>
    </row>
    <row r="263" spans="1:7" ht="32" customHeight="1">
      <c r="A263" s="32" t="s">
        <v>262</v>
      </c>
      <c r="B263" s="32" t="s">
        <v>273</v>
      </c>
      <c r="C263" s="32" t="s">
        <v>275</v>
      </c>
      <c r="D263" s="32" t="s">
        <v>288</v>
      </c>
      <c r="E263" s="32" t="s">
        <v>308</v>
      </c>
      <c r="F263" s="32" t="s">
        <v>36</v>
      </c>
      <c r="G263" s="32" t="s">
        <v>37</v>
      </c>
    </row>
    <row r="264" spans="1:7">
      <c r="A264" t="s">
        <v>28</v>
      </c>
      <c r="B264">
        <v>99722.84000000005</v>
      </c>
      <c r="C264">
        <v>1.455191522836685E-11</v>
      </c>
      <c r="D264">
        <v>0</v>
      </c>
      <c r="E264">
        <v>12670.51</v>
      </c>
      <c r="F264">
        <v>0.9999999999999999</v>
      </c>
      <c r="G264">
        <v>1</v>
      </c>
    </row>
    <row r="265" spans="1:7">
      <c r="A265" t="s">
        <v>29</v>
      </c>
      <c r="B265">
        <v>133360.3</v>
      </c>
      <c r="C265">
        <v>-2.91038304567337E-11</v>
      </c>
      <c r="D265">
        <v>0</v>
      </c>
      <c r="E265">
        <v>35916.32</v>
      </c>
      <c r="F265">
        <v>1</v>
      </c>
      <c r="G265">
        <v>1</v>
      </c>
    </row>
    <row r="266" spans="1:7">
      <c r="A266" t="s">
        <v>30</v>
      </c>
      <c r="B266">
        <v>73694.54999999997</v>
      </c>
      <c r="C266">
        <v>1.01863406598568E-10</v>
      </c>
      <c r="D266">
        <v>0</v>
      </c>
      <c r="E266">
        <v>15427.32</v>
      </c>
      <c r="F266">
        <v>0.9999999999999989</v>
      </c>
      <c r="G266">
        <v>1</v>
      </c>
    </row>
    <row r="267" spans="1:7">
      <c r="A267" t="s">
        <v>31</v>
      </c>
      <c r="B267">
        <v>67214.93999999992</v>
      </c>
      <c r="C267">
        <v>7.275957614183426E-11</v>
      </c>
      <c r="D267">
        <v>0</v>
      </c>
      <c r="E267">
        <v>7237.440000000001</v>
      </c>
      <c r="F267">
        <v>0.999999999999999</v>
      </c>
      <c r="G267">
        <v>1</v>
      </c>
    </row>
    <row r="268" spans="1:7">
      <c r="A268" t="s">
        <v>32</v>
      </c>
      <c r="B268">
        <v>62933.94000000001</v>
      </c>
      <c r="C268">
        <v>645.8900000002759</v>
      </c>
      <c r="D268">
        <v>0</v>
      </c>
      <c r="E268">
        <v>16845.81999999999</v>
      </c>
      <c r="F268">
        <v>0.9919691043839836</v>
      </c>
      <c r="G268">
        <v>0.9855985598559855</v>
      </c>
    </row>
    <row r="269" spans="1:7">
      <c r="A269" t="s">
        <v>33</v>
      </c>
      <c r="B269">
        <v>35497.24999999999</v>
      </c>
      <c r="C269">
        <v>15520.82000000002</v>
      </c>
      <c r="D269">
        <v>0</v>
      </c>
      <c r="E269">
        <v>4271.81</v>
      </c>
      <c r="F269">
        <v>0.7192828054609629</v>
      </c>
      <c r="G269">
        <v>0.5851851851851851</v>
      </c>
    </row>
    <row r="273" spans="1:7">
      <c r="A273" s="30" t="s">
        <v>309</v>
      </c>
    </row>
    <row r="274" spans="1:7" ht="32" customHeight="1">
      <c r="A274" s="32" t="s">
        <v>27</v>
      </c>
      <c r="B274" s="32" t="s">
        <v>278</v>
      </c>
      <c r="C274" s="32" t="s">
        <v>279</v>
      </c>
      <c r="D274" s="32" t="s">
        <v>280</v>
      </c>
      <c r="E274" s="32" t="s">
        <v>281</v>
      </c>
      <c r="F274" s="32" t="s">
        <v>282</v>
      </c>
      <c r="G274" s="32" t="s">
        <v>56</v>
      </c>
    </row>
    <row r="275" spans="1:7">
      <c r="A275">
        <v>96826.62500000007</v>
      </c>
      <c r="B275">
        <v>214.3762915129153</v>
      </c>
      <c r="C275">
        <v>0.9999999999999999</v>
      </c>
      <c r="D275">
        <v>1</v>
      </c>
      <c r="E275">
        <v>16166.70999999926</v>
      </c>
      <c r="F275">
        <v>16166.70999999926</v>
      </c>
      <c r="G275">
        <v>-0.9113170366665443</v>
      </c>
    </row>
    <row r="279" spans="1:7">
      <c r="A279" s="30" t="s">
        <v>310</v>
      </c>
    </row>
    <row r="280" spans="1:7" ht="32" customHeight="1">
      <c r="A280" s="32" t="s">
        <v>262</v>
      </c>
      <c r="B280" s="32" t="s">
        <v>273</v>
      </c>
      <c r="C280" s="32" t="s">
        <v>275</v>
      </c>
      <c r="D280" s="32" t="s">
        <v>288</v>
      </c>
      <c r="E280" s="32" t="s">
        <v>308</v>
      </c>
      <c r="F280" s="32" t="s">
        <v>36</v>
      </c>
      <c r="G280" s="32" t="s">
        <v>37</v>
      </c>
    </row>
    <row r="281" spans="1:7">
      <c r="A281" t="s">
        <v>28</v>
      </c>
      <c r="B281">
        <v>44529.71000000001</v>
      </c>
      <c r="C281">
        <v>4050.930000000008</v>
      </c>
      <c r="D281">
        <v>0</v>
      </c>
      <c r="E281">
        <v>13050.29</v>
      </c>
      <c r="F281">
        <v>0.9342711524878822</v>
      </c>
      <c r="G281">
        <v>0.9932432432432432</v>
      </c>
    </row>
    <row r="282" spans="1:7">
      <c r="A282" t="s">
        <v>29</v>
      </c>
      <c r="B282">
        <v>119196.88</v>
      </c>
      <c r="C282">
        <v>2.91038304567337E-11</v>
      </c>
      <c r="D282">
        <v>0</v>
      </c>
      <c r="E282">
        <v>27796.83</v>
      </c>
      <c r="F282">
        <v>0.9999999999999998</v>
      </c>
      <c r="G282">
        <v>1</v>
      </c>
    </row>
    <row r="283" spans="1:7">
      <c r="A283" t="s">
        <v>30</v>
      </c>
      <c r="B283">
        <v>48189.56999999999</v>
      </c>
      <c r="C283">
        <v>0</v>
      </c>
      <c r="D283">
        <v>0</v>
      </c>
      <c r="E283">
        <v>7371.159999999999</v>
      </c>
      <c r="F283">
        <v>1</v>
      </c>
      <c r="G283">
        <v>1</v>
      </c>
    </row>
    <row r="284" spans="1:7">
      <c r="A284" t="s">
        <v>31</v>
      </c>
      <c r="B284">
        <v>35319.84</v>
      </c>
      <c r="C284">
        <v>-2.91038304567337E-11</v>
      </c>
      <c r="D284">
        <v>0</v>
      </c>
      <c r="E284">
        <v>7222.72</v>
      </c>
      <c r="F284">
        <v>1.000000000000001</v>
      </c>
      <c r="G284">
        <v>1</v>
      </c>
    </row>
    <row r="285" spans="1:7">
      <c r="A285" t="s">
        <v>32</v>
      </c>
      <c r="B285">
        <v>38392.78000000001</v>
      </c>
      <c r="C285">
        <v>1746.190000000002</v>
      </c>
      <c r="D285">
        <v>0</v>
      </c>
      <c r="E285">
        <v>2935.37</v>
      </c>
      <c r="F285">
        <v>0.9594610155373245</v>
      </c>
      <c r="G285">
        <v>0.8131868131868132</v>
      </c>
    </row>
    <row r="286" spans="1:7">
      <c r="A286" t="s">
        <v>33</v>
      </c>
      <c r="B286">
        <v>29683.47</v>
      </c>
      <c r="C286">
        <v>16286.97000000002</v>
      </c>
      <c r="D286">
        <v>0</v>
      </c>
      <c r="E286">
        <v>333.07</v>
      </c>
      <c r="F286">
        <v>0.6482562553033234</v>
      </c>
      <c r="G286">
        <v>0.2032520325203252</v>
      </c>
    </row>
    <row r="290" spans="1:7">
      <c r="A290" s="30" t="s">
        <v>311</v>
      </c>
    </row>
    <row r="291" spans="1:7" ht="32" customHeight="1">
      <c r="A291" s="32" t="s">
        <v>27</v>
      </c>
      <c r="B291" s="32" t="s">
        <v>278</v>
      </c>
      <c r="C291" s="32" t="s">
        <v>279</v>
      </c>
      <c r="D291" s="32" t="s">
        <v>280</v>
      </c>
      <c r="E291" s="32" t="s">
        <v>281</v>
      </c>
      <c r="F291" s="32" t="s">
        <v>282</v>
      </c>
      <c r="G291" s="32" t="s">
        <v>56</v>
      </c>
    </row>
    <row r="292" spans="1:7">
      <c r="A292">
        <v>66017.63</v>
      </c>
      <c r="B292">
        <v>503.9513740458016</v>
      </c>
      <c r="C292">
        <v>0.9342711524878822</v>
      </c>
      <c r="D292">
        <v>0.9932432432432432</v>
      </c>
      <c r="E292">
        <v>22084.0899999995</v>
      </c>
      <c r="F292">
        <v>22084.0899999995</v>
      </c>
      <c r="G292">
        <v>-0.8193501802809835</v>
      </c>
    </row>
    <row r="296" spans="1:7">
      <c r="A296" s="30" t="s">
        <v>312</v>
      </c>
    </row>
    <row r="297" spans="1:7" ht="32" customHeight="1">
      <c r="A297" s="32" t="s">
        <v>262</v>
      </c>
      <c r="B297" s="32" t="s">
        <v>273</v>
      </c>
      <c r="C297" s="32" t="s">
        <v>275</v>
      </c>
      <c r="D297" s="32" t="s">
        <v>288</v>
      </c>
      <c r="E297" s="32" t="s">
        <v>308</v>
      </c>
      <c r="F297" s="32" t="s">
        <v>36</v>
      </c>
      <c r="G297" s="32" t="s">
        <v>37</v>
      </c>
    </row>
    <row r="298" spans="1:7">
      <c r="A298" t="s">
        <v>28</v>
      </c>
      <c r="B298">
        <v>368266.0900000003</v>
      </c>
      <c r="C298">
        <v>-2.328306436538696E-10</v>
      </c>
      <c r="D298">
        <v>0</v>
      </c>
      <c r="E298">
        <v>16140.74</v>
      </c>
      <c r="F298">
        <v>1.000000000000001</v>
      </c>
      <c r="G298">
        <v>1</v>
      </c>
    </row>
    <row r="299" spans="1:7">
      <c r="A299" t="s">
        <v>29</v>
      </c>
      <c r="B299">
        <v>129130.2099999999</v>
      </c>
      <c r="C299">
        <v>3370.850000000006</v>
      </c>
      <c r="D299">
        <v>0</v>
      </c>
      <c r="E299">
        <v>6916.57</v>
      </c>
      <c r="F299">
        <v>0.9758219243864639</v>
      </c>
      <c r="G299">
        <v>0.9961389961389961</v>
      </c>
    </row>
    <row r="300" spans="1:7">
      <c r="A300" t="s">
        <v>30</v>
      </c>
      <c r="B300">
        <v>221743.1099999998</v>
      </c>
      <c r="C300">
        <v>2249.690000000061</v>
      </c>
      <c r="D300">
        <v>0</v>
      </c>
      <c r="E300">
        <v>9133.240000000005</v>
      </c>
      <c r="F300">
        <v>0.9903498982782015</v>
      </c>
      <c r="G300">
        <v>0.9811023622047244</v>
      </c>
    </row>
    <row r="301" spans="1:7">
      <c r="A301" t="s">
        <v>31</v>
      </c>
      <c r="B301">
        <v>240575.4300000002</v>
      </c>
      <c r="C301">
        <v>4242.030000000057</v>
      </c>
      <c r="D301">
        <v>0</v>
      </c>
      <c r="E301">
        <v>5510.730000000005</v>
      </c>
      <c r="F301">
        <v>0.9830541258657283</v>
      </c>
      <c r="G301">
        <v>0.955637707948244</v>
      </c>
    </row>
    <row r="302" spans="1:7">
      <c r="A302" t="s">
        <v>32</v>
      </c>
      <c r="B302">
        <v>114417.87</v>
      </c>
      <c r="C302">
        <v>3246.610000000001</v>
      </c>
      <c r="D302">
        <v>0</v>
      </c>
      <c r="E302">
        <v>7751.849999999999</v>
      </c>
      <c r="F302">
        <v>0.9741133391480998</v>
      </c>
      <c r="G302">
        <v>0.9183673469387755</v>
      </c>
    </row>
    <row r="303" spans="1:7">
      <c r="A303" t="s">
        <v>33</v>
      </c>
      <c r="B303">
        <v>146150.0899999998</v>
      </c>
      <c r="C303">
        <v>159517.4400000001</v>
      </c>
      <c r="D303">
        <v>0</v>
      </c>
      <c r="E303">
        <v>5055.880000000003</v>
      </c>
      <c r="F303">
        <v>0.4866256134354339</v>
      </c>
      <c r="G303">
        <v>0.5702005730659025</v>
      </c>
    </row>
    <row r="307" spans="1:7">
      <c r="A307" s="30" t="s">
        <v>313</v>
      </c>
    </row>
    <row r="308" spans="1:7" ht="32" customHeight="1">
      <c r="A308" s="32" t="s">
        <v>27</v>
      </c>
      <c r="B308" s="32" t="s">
        <v>278</v>
      </c>
      <c r="C308" s="32" t="s">
        <v>279</v>
      </c>
      <c r="D308" s="32" t="s">
        <v>280</v>
      </c>
      <c r="E308" s="32" t="s">
        <v>281</v>
      </c>
      <c r="F308" s="32" t="s">
        <v>282</v>
      </c>
      <c r="G308" s="32" t="s">
        <v>56</v>
      </c>
    </row>
    <row r="309" spans="1:7">
      <c r="A309">
        <v>240569.7383333333</v>
      </c>
      <c r="B309">
        <v>420.4539557238567</v>
      </c>
      <c r="C309">
        <v>1.000000000000001</v>
      </c>
      <c r="D309">
        <v>1</v>
      </c>
      <c r="E309">
        <v>172626.620000001</v>
      </c>
      <c r="F309">
        <v>172626.620000001</v>
      </c>
      <c r="G309">
        <v>0.1020310632908786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3"/>
  <sheetViews>
    <sheetView showGridLines="0" workbookViewId="0"/>
  </sheetViews>
  <sheetFormatPr defaultRowHeight="15"/>
  <cols>
    <col min="1" max="3" width="20.7109375" customWidth="1"/>
    <col min="4" max="5" width="22.7109375" customWidth="1"/>
  </cols>
  <sheetData>
    <row r="2" spans="1:6">
      <c r="A2" s="19" t="s">
        <v>314</v>
      </c>
    </row>
    <row r="5" spans="1:6">
      <c r="A5" t="s">
        <v>315</v>
      </c>
      <c r="B5" t="s">
        <v>35</v>
      </c>
      <c r="C5" t="s">
        <v>316</v>
      </c>
      <c r="D5" t="s">
        <v>317</v>
      </c>
      <c r="E5" t="s">
        <v>318</v>
      </c>
    </row>
    <row r="6" spans="1:6">
      <c r="A6" t="s">
        <v>5</v>
      </c>
      <c r="B6" t="s">
        <v>173</v>
      </c>
      <c r="C6" t="s">
        <v>319</v>
      </c>
      <c r="D6" s="22">
        <v>7883</v>
      </c>
      <c r="E6" s="22">
        <v>1483372</v>
      </c>
    </row>
    <row r="7" spans="1:6">
      <c r="A7" t="s">
        <v>5</v>
      </c>
      <c r="B7" t="s">
        <v>173</v>
      </c>
      <c r="C7" t="s">
        <v>320</v>
      </c>
      <c r="D7" s="22">
        <v>7883</v>
      </c>
      <c r="E7" s="22">
        <v>1483372</v>
      </c>
    </row>
    <row r="8" spans="1:6">
      <c r="A8" t="s">
        <v>5</v>
      </c>
      <c r="B8" t="s">
        <v>175</v>
      </c>
      <c r="C8" t="s">
        <v>319</v>
      </c>
      <c r="D8" s="22">
        <v>23748</v>
      </c>
      <c r="E8" s="22">
        <v>2749252</v>
      </c>
    </row>
    <row r="9" spans="1:6">
      <c r="A9" t="s">
        <v>5</v>
      </c>
      <c r="B9" t="s">
        <v>175</v>
      </c>
      <c r="C9" t="s">
        <v>320</v>
      </c>
      <c r="D9" s="22">
        <v>23478</v>
      </c>
      <c r="E9" s="22">
        <v>2749252</v>
      </c>
    </row>
    <row r="10" spans="1:6">
      <c r="A10" t="s">
        <v>5</v>
      </c>
      <c r="B10" t="s">
        <v>176</v>
      </c>
      <c r="C10" t="s">
        <v>319</v>
      </c>
      <c r="D10" s="22">
        <v>74</v>
      </c>
      <c r="E10" s="22">
        <v>14110</v>
      </c>
    </row>
    <row r="11" spans="1:6">
      <c r="A11" t="s">
        <v>5</v>
      </c>
      <c r="B11" t="s">
        <v>176</v>
      </c>
      <c r="C11" t="s">
        <v>320</v>
      </c>
      <c r="D11" s="22">
        <v>74</v>
      </c>
      <c r="E11" s="22">
        <v>14110</v>
      </c>
    </row>
    <row r="12" spans="1:6">
      <c r="A12" t="s">
        <v>5</v>
      </c>
      <c r="B12" t="s">
        <v>177</v>
      </c>
      <c r="C12" t="s">
        <v>319</v>
      </c>
      <c r="D12" s="22">
        <v>237</v>
      </c>
      <c r="E12" s="22">
        <v>106046</v>
      </c>
    </row>
    <row r="13" spans="1:6">
      <c r="A13" t="s">
        <v>5</v>
      </c>
      <c r="B13" t="s">
        <v>177</v>
      </c>
      <c r="C13" t="s">
        <v>320</v>
      </c>
      <c r="D13" s="22">
        <v>237</v>
      </c>
      <c r="E13" s="22">
        <v>106046</v>
      </c>
    </row>
    <row r="14" spans="1:6">
      <c r="A14" t="s">
        <v>5</v>
      </c>
      <c r="B14" t="s">
        <v>178</v>
      </c>
      <c r="C14" t="s">
        <v>319</v>
      </c>
      <c r="D14" s="22">
        <v>110056</v>
      </c>
      <c r="E14" s="22">
        <v>3434403</v>
      </c>
    </row>
    <row r="15" spans="1:6">
      <c r="A15" t="s">
        <v>5</v>
      </c>
      <c r="B15" t="s">
        <v>178</v>
      </c>
      <c r="C15" t="s">
        <v>320</v>
      </c>
      <c r="D15" s="22">
        <v>110056</v>
      </c>
      <c r="E15" s="22">
        <v>3434403</v>
      </c>
    </row>
    <row r="16" spans="1:6">
      <c r="A16" t="s">
        <v>5</v>
      </c>
      <c r="B16" t="s">
        <v>179</v>
      </c>
      <c r="C16" t="s">
        <v>319</v>
      </c>
      <c r="D16" s="22">
        <v>12709</v>
      </c>
      <c r="E16" s="22">
        <v>558535</v>
      </c>
    </row>
    <row r="17" spans="1:6">
      <c r="A17" t="s">
        <v>5</v>
      </c>
      <c r="B17" t="s">
        <v>179</v>
      </c>
      <c r="C17" t="s">
        <v>320</v>
      </c>
      <c r="D17" s="22">
        <v>12709</v>
      </c>
      <c r="E17" s="22">
        <v>558535</v>
      </c>
    </row>
    <row r="18" spans="1:6">
      <c r="A18" t="s">
        <v>5</v>
      </c>
      <c r="B18" t="s">
        <v>180</v>
      </c>
      <c r="C18" t="s">
        <v>319</v>
      </c>
      <c r="D18" s="22">
        <v>16614</v>
      </c>
      <c r="E18" s="22">
        <v>2883642</v>
      </c>
    </row>
    <row r="19" spans="1:6">
      <c r="A19" t="s">
        <v>5</v>
      </c>
      <c r="B19" t="s">
        <v>180</v>
      </c>
      <c r="C19" t="s">
        <v>320</v>
      </c>
      <c r="D19" s="22">
        <v>16614</v>
      </c>
      <c r="E19" s="22">
        <v>2883642</v>
      </c>
    </row>
    <row r="20" spans="1:6">
      <c r="A20" t="s">
        <v>5</v>
      </c>
      <c r="B20" t="s">
        <v>13</v>
      </c>
      <c r="C20" t="s">
        <v>319</v>
      </c>
      <c r="D20" s="22">
        <v>996867</v>
      </c>
      <c r="E20" s="22">
        <v>2976774</v>
      </c>
    </row>
    <row r="21" spans="1:6">
      <c r="A21" t="s">
        <v>5</v>
      </c>
      <c r="B21" t="s">
        <v>13</v>
      </c>
      <c r="C21" t="s">
        <v>320</v>
      </c>
      <c r="D21" s="22">
        <v>53697</v>
      </c>
      <c r="E21" s="22">
        <v>2976774</v>
      </c>
    </row>
    <row r="22" spans="1:6">
      <c r="A22" t="s">
        <v>5</v>
      </c>
      <c r="B22" t="s">
        <v>182</v>
      </c>
      <c r="C22" t="s">
        <v>319</v>
      </c>
      <c r="D22" s="22">
        <v>72025</v>
      </c>
      <c r="E22" s="22">
        <v>33591674.99</v>
      </c>
    </row>
    <row r="23" spans="1:6">
      <c r="A23" t="s">
        <v>5</v>
      </c>
      <c r="B23" t="s">
        <v>182</v>
      </c>
      <c r="C23" t="s">
        <v>320</v>
      </c>
      <c r="D23" s="22">
        <v>72025</v>
      </c>
      <c r="E23" s="22">
        <v>33591674.98999996</v>
      </c>
    </row>
    <row r="24" spans="1:6">
      <c r="A24" t="s">
        <v>5</v>
      </c>
      <c r="B24" t="s">
        <v>184</v>
      </c>
      <c r="C24" t="s">
        <v>319</v>
      </c>
      <c r="D24" s="22">
        <v>0</v>
      </c>
      <c r="E24" s="22">
        <v>0</v>
      </c>
    </row>
    <row r="25" spans="1:6">
      <c r="A25" t="s">
        <v>5</v>
      </c>
      <c r="B25" t="s">
        <v>184</v>
      </c>
      <c r="C25" t="s">
        <v>320</v>
      </c>
      <c r="D25" s="22">
        <v>0</v>
      </c>
      <c r="E25" s="22">
        <v>0</v>
      </c>
    </row>
    <row r="26" spans="1:6">
      <c r="A26" t="s">
        <v>5</v>
      </c>
      <c r="B26" t="s">
        <v>185</v>
      </c>
      <c r="C26" t="s">
        <v>319</v>
      </c>
      <c r="D26" t="s">
        <v>39</v>
      </c>
      <c r="E26" t="s">
        <v>39</v>
      </c>
    </row>
    <row r="27" spans="1:6">
      <c r="A27" t="s">
        <v>5</v>
      </c>
      <c r="B27" t="s">
        <v>185</v>
      </c>
      <c r="C27" t="s">
        <v>320</v>
      </c>
      <c r="D27" s="22">
        <v>330516</v>
      </c>
      <c r="E27" s="22">
        <v>22106987.68000206</v>
      </c>
    </row>
    <row r="28" spans="1:6">
      <c r="A28" t="s">
        <v>5</v>
      </c>
      <c r="B28" t="s">
        <v>187</v>
      </c>
      <c r="C28" t="s">
        <v>319</v>
      </c>
      <c r="D28" s="22">
        <v>128</v>
      </c>
      <c r="E28" s="22">
        <v>16166.71</v>
      </c>
    </row>
    <row r="29" spans="1:6">
      <c r="A29" t="s">
        <v>5</v>
      </c>
      <c r="B29" t="s">
        <v>187</v>
      </c>
      <c r="C29" t="s">
        <v>320</v>
      </c>
      <c r="D29" s="22">
        <v>128</v>
      </c>
      <c r="E29" s="22">
        <v>16166.71</v>
      </c>
    </row>
    <row r="30" spans="1:6">
      <c r="A30" t="s">
        <v>5</v>
      </c>
      <c r="B30" t="s">
        <v>189</v>
      </c>
      <c r="C30" t="s">
        <v>319</v>
      </c>
      <c r="D30" s="22">
        <v>116</v>
      </c>
      <c r="E30" s="22">
        <v>22084.09</v>
      </c>
    </row>
    <row r="31" spans="1:6">
      <c r="A31" t="s">
        <v>5</v>
      </c>
      <c r="B31" t="s">
        <v>189</v>
      </c>
      <c r="C31" t="s">
        <v>320</v>
      </c>
      <c r="D31" s="22">
        <v>116</v>
      </c>
      <c r="E31" s="22">
        <v>22084.09000000001</v>
      </c>
    </row>
    <row r="32" spans="1:6">
      <c r="A32" t="s">
        <v>5</v>
      </c>
      <c r="B32" t="s">
        <v>191</v>
      </c>
      <c r="C32" t="s">
        <v>319</v>
      </c>
      <c r="D32" s="22">
        <v>374</v>
      </c>
      <c r="E32" s="22">
        <v>172626.62</v>
      </c>
    </row>
    <row r="33" spans="1:6">
      <c r="A33" t="s">
        <v>5</v>
      </c>
      <c r="B33" t="s">
        <v>191</v>
      </c>
      <c r="C33" t="s">
        <v>320</v>
      </c>
      <c r="D33" s="22">
        <v>374</v>
      </c>
      <c r="E33" s="22">
        <v>172626.6199999999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44</vt:i4>
      </vt:variant>
    </vt:vector>
  </HeadingPairs>
  <TitlesOfParts>
    <vt:vector size="69" baseType="lpstr">
      <vt:lpstr>Global</vt:lpstr>
      <vt:lpstr>CORE Stock</vt:lpstr>
      <vt:lpstr>CORE Flows</vt:lpstr>
      <vt:lpstr>NON CORE Stock</vt:lpstr>
      <vt:lpstr>ES Spain</vt:lpstr>
      <vt:lpstr>DE Germany</vt:lpstr>
      <vt:lpstr>AT Austria</vt:lpstr>
      <vt:lpstr>BE Belgium</vt:lpstr>
      <vt:lpstr>IT Italy</vt:lpstr>
      <vt:lpstr>PT Portugal</vt:lpstr>
      <vt:lpstr>FR France</vt:lpstr>
      <vt:lpstr>UK UK</vt:lpstr>
      <vt:lpstr>ZA South Africa</vt:lpstr>
      <vt:lpstr>RO Romania</vt:lpstr>
      <vt:lpstr>BR Brazil</vt:lpstr>
      <vt:lpstr>DK Denmark</vt:lpstr>
      <vt:lpstr>NO Norway</vt:lpstr>
      <vt:lpstr>SE Sweden</vt:lpstr>
      <vt:lpstr>Consolidation</vt:lpstr>
      <vt:lpstr>Flux</vt:lpstr>
      <vt:lpstr>Stock</vt:lpstr>
      <vt:lpstr>Repartition stock</vt:lpstr>
      <vt:lpstr>Taux</vt:lpstr>
      <vt:lpstr>GraphData</vt:lpstr>
      <vt:lpstr>Presentation inputs</vt:lpstr>
      <vt:lpstr>Periodes</vt:lpstr>
      <vt:lpstr>'AT Austria'!Print_Area</vt:lpstr>
      <vt:lpstr>'BE Belgium'!Print_Area</vt:lpstr>
      <vt:lpstr>'BR Brazil'!Print_Area</vt:lpstr>
      <vt:lpstr>'CORE Flows'!Print_Area</vt:lpstr>
      <vt:lpstr>'CORE Stock'!Print_Area</vt:lpstr>
      <vt:lpstr>'DE Germany'!Print_Area</vt:lpstr>
      <vt:lpstr>'DK Denmark'!Print_Area</vt:lpstr>
      <vt:lpstr>'ES Spain'!Print_Area</vt:lpstr>
      <vt:lpstr>'FR France'!Print_Area</vt:lpstr>
      <vt:lpstr>Global!Print_Area</vt:lpstr>
      <vt:lpstr>'IT Italy'!Print_Area</vt:lpstr>
      <vt:lpstr>'Mode emploi'!Print_Area</vt:lpstr>
      <vt:lpstr>'NO Norway'!Print_Area</vt:lpstr>
      <vt:lpstr>'NON CORE Stock'!Print_Area</vt:lpstr>
      <vt:lpstr>'PT Portugal'!Print_Area</vt:lpstr>
      <vt:lpstr>'RO Romania'!Print_Area</vt:lpstr>
      <vt:lpstr>'SE Sweden'!Print_Area</vt:lpstr>
      <vt:lpstr>'UK UK'!Print_Area</vt:lpstr>
      <vt:lpstr>'ZA South Africa'!Print_Area</vt:lpstr>
      <vt:lpstr>'AT Austria'!Print_Titles</vt:lpstr>
      <vt:lpstr>'BE Belgium'!Print_Titles</vt:lpstr>
      <vt:lpstr>'BR Brazil'!Print_Titles</vt:lpstr>
      <vt:lpstr>Consolidation!Print_Titles</vt:lpstr>
      <vt:lpstr>Controles!Print_Titles</vt:lpstr>
      <vt:lpstr>'CORE Flows'!Print_Titles</vt:lpstr>
      <vt:lpstr>'CORE Stock'!Print_Titles</vt:lpstr>
      <vt:lpstr>'DE Germany'!Print_Titles</vt:lpstr>
      <vt:lpstr>'DK Denmark'!Print_Titles</vt:lpstr>
      <vt:lpstr>'ES Spain'!Print_Titles</vt:lpstr>
      <vt:lpstr>Flux!Print_Titles</vt:lpstr>
      <vt:lpstr>'FR France'!Print_Titles</vt:lpstr>
      <vt:lpstr>Global!Print_Titles</vt:lpstr>
      <vt:lpstr>'IT Italy'!Print_Titles</vt:lpstr>
      <vt:lpstr>'NO Norway'!Print_Titles</vt:lpstr>
      <vt:lpstr>'NON CORE Stock'!Print_Titles</vt:lpstr>
      <vt:lpstr>'PT Portugal'!Print_Titles</vt:lpstr>
      <vt:lpstr>'Repartition stock'!Print_Titles</vt:lpstr>
      <vt:lpstr>'RO Romania'!Print_Titles</vt:lpstr>
      <vt:lpstr>'SE Sweden'!Print_Titles</vt:lpstr>
      <vt:lpstr>Stock!Print_Titles</vt:lpstr>
      <vt:lpstr>Taux!Print_Titles</vt:lpstr>
      <vt:lpstr>'UK UK'!Print_Titles</vt:lpstr>
      <vt:lpstr>'ZA South Africa'!Print_Titles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Positive Balance</dc:title>
  <dc:subject>Consolidation trimestrielle</dc:subject>
  <dc:creator>Positive Balance</dc:creator>
  <cp:lastModifiedBy>Positive Balance</cp:lastModifiedBy>
  <dcterms:created xsi:type="dcterms:W3CDTF">2026-10-28T00:03:04Z</dcterms:created>
  <dcterms:modified xsi:type="dcterms:W3CDTF">2026-10-28T00:03:04Z</dcterms:modified>
</cp:coreProperties>
</file>