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bbf795dbb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GLOBAL" sheetId="1" r:id="R0f71ec98cd184da2"/>
    <x:sheet xmlns:r="http://schemas.openxmlformats.org/officeDocument/2006/relationships" name="02 CORE Stock" sheetId="2" r:id="Rc24f8d1465c04ead"/>
    <x:sheet xmlns:r="http://schemas.openxmlformats.org/officeDocument/2006/relationships" name="03 CORE Flows" sheetId="3" r:id="R45e8a672c31d430f"/>
    <x:sheet xmlns:r="http://schemas.openxmlformats.org/officeDocument/2006/relationships" name="04 NON CORE" sheetId="4" r:id="R501bd684abb54267"/>
    <x:sheet xmlns:r="http://schemas.openxmlformats.org/officeDocument/2006/relationships" name="ES Spain" sheetId="5" r:id="Rb681b59d6a8c429f"/>
    <x:sheet xmlns:r="http://schemas.openxmlformats.org/officeDocument/2006/relationships" name="DE Germany" sheetId="6" r:id="R3408b0eaf3d2497a"/>
    <x:sheet xmlns:r="http://schemas.openxmlformats.org/officeDocument/2006/relationships" name="AT Austria" sheetId="7" r:id="R7644c5e16d234a8a"/>
    <x:sheet xmlns:r="http://schemas.openxmlformats.org/officeDocument/2006/relationships" name="BE Belgium" sheetId="8" r:id="R17286f5cbd5841b5"/>
    <x:sheet xmlns:r="http://schemas.openxmlformats.org/officeDocument/2006/relationships" name="IT Italy" sheetId="9" r:id="Ra0534d848faf4048"/>
    <x:sheet xmlns:r="http://schemas.openxmlformats.org/officeDocument/2006/relationships" name="PT Portugal" sheetId="10" r:id="Re07b90f4dde84b6a"/>
    <x:sheet xmlns:r="http://schemas.openxmlformats.org/officeDocument/2006/relationships" name="FR France" sheetId="11" r:id="R4a0496fc9f3946df"/>
    <x:sheet xmlns:r="http://schemas.openxmlformats.org/officeDocument/2006/relationships" name="UK United Kingdom" sheetId="12" r:id="R7b25f2490eae4083"/>
    <x:sheet xmlns:r="http://schemas.openxmlformats.org/officeDocument/2006/relationships" name="ZA South Africa" sheetId="13" r:id="R7da74a4040824abd"/>
    <x:sheet xmlns:r="http://schemas.openxmlformats.org/officeDocument/2006/relationships" name="RO Romania" sheetId="14" r:id="R8d8c7a28572d4220"/>
    <x:sheet xmlns:r="http://schemas.openxmlformats.org/officeDocument/2006/relationships" name="BR Brazil" sheetId="15" r:id="R792b178967154df6"/>
    <x:sheet xmlns:r="http://schemas.openxmlformats.org/officeDocument/2006/relationships" name="DK Denmark" sheetId="16" r:id="R04feec9f79884fd2"/>
    <x:sheet xmlns:r="http://schemas.openxmlformats.org/officeDocument/2006/relationships" name="NO Norway" sheetId="17" r:id="R80e0e6365e224a10"/>
    <x:sheet xmlns:r="http://schemas.openxmlformats.org/officeDocument/2006/relationships" name="SE Sweden" sheetId="18" r:id="Re5213414a7554f33"/>
    <x:sheet xmlns:r="http://schemas.openxmlformats.org/officeDocument/2006/relationships" name="VALIDATION" sheetId="19" r:id="R21cde78b276b49e7"/>
    <x:sheet xmlns:r="http://schemas.openxmlformats.org/officeDocument/2006/relationships" name="HOW TO USE" sheetId="20" r:id="R1900ea21ec92415e"/>
    <x:sheet xmlns:r="http://schemas.openxmlformats.org/officeDocument/2006/relationships" name="DATA_STOCK" sheetId="21" r:id="R80e9ef2077a3453d"/>
    <x:sheet xmlns:r="http://schemas.openxmlformats.org/officeDocument/2006/relationships" name="DATA_FLOW" sheetId="22" r:id="R6a9ec171a22e4c95"/>
    <x:sheet xmlns:r="http://schemas.openxmlformats.org/officeDocument/2006/relationships" name="DATA_KPI3" sheetId="23" r:id="Rb755e43dba7941d0"/>
    <x:sheet xmlns:r="http://schemas.openxmlformats.org/officeDocument/2006/relationships" name="DATA_STOCK_VINTAGE" sheetId="24" r:id="Rc7aa37ebffc94177"/>
    <x:sheet xmlns:r="http://schemas.openxmlformats.org/officeDocument/2006/relationships" name="DATA_CORE_FLOW" sheetId="25" r:id="R76166de6f0c34180"/>
    <x:sheet xmlns:r="http://schemas.openxmlformats.org/officeDocument/2006/relationships" name="DATA_EFFICIENCY" sheetId="26" r:id="R155f8475c15544a7"/>
    <x:sheet xmlns:r="http://schemas.openxmlformats.org/officeDocument/2006/relationships" name="DATA_FX_Q2" sheetId="27" r:id="R8b27d9b8ca3346c0"/>
    <x:sheet xmlns:r="http://schemas.openxmlformats.org/officeDocument/2006/relationships" name="DATA_COMMENTS" sheetId="28" r:id="R835f72b85dea46a5"/>
    <x:sheet xmlns:r="http://schemas.openxmlformats.org/officeDocument/2006/relationships" name="QA DETAILED" sheetId="29" r:id="R3faf075266b947a6"/>
    <x:sheet xmlns:r="http://schemas.openxmlformats.org/officeDocument/2006/relationships" name="DATA_KPI3_TOTAL" sheetId="30" r:id="Re2d4714c8a75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–"/>
    <x:numFmt numFmtId="201" formatCode="0.0%;[Red](0.0%);–"/>
    <x:numFmt numFmtId="202" formatCode="#,##0.000000"/>
    <x:numFmt numFmtId="203" formatCode="#,##0.00;[Red](#,##0.00);–"/>
    <x:numFmt numFmtId="204" formatCode="#,##0.00"/>
  </x:numFmts>
  <x:fonts count="21">
    <x:font>
      <x:sz val="11"/>
      <x:name val="Carlito"/>
    </x:font>
    <x:font>
      <x:sz val="20"/>
      <x:color rgb="FFFFFFFF"/>
      <x:name val="Carlito"/>
    </x:font>
    <x:font>
      <x:b/>
      <x:sz val="7"/>
      <x:color rgb="FFFFFFFF"/>
      <x:name val="Carlito"/>
    </x:font>
    <x:font>
      <x:sz val="7"/>
      <x:color rgb="FFFFFFFF"/>
      <x:name val="Carlito"/>
    </x:font>
    <x:font>
      <x:b/>
      <x:sz val="10"/>
      <x:color rgb="FFFFFFFF"/>
      <x:name val="Carlito"/>
    </x:font>
    <x:font>
      <x:b/>
      <x:sz val="13"/>
      <x:color rgb="FF183746"/>
      <x:name val="Carlito"/>
    </x:font>
    <x:font>
      <x:b/>
      <x:sz val="9"/>
      <x:color rgb="FF183746"/>
      <x:name val="Carlito"/>
    </x:font>
    <x:font>
      <x:sz val="9"/>
      <x:color rgb="FF183746"/>
      <x:name val="Carlito"/>
    </x:font>
    <x:font>
      <x:b/>
      <x:sz val="10"/>
      <x:color rgb="FF034B63"/>
      <x:name val="Carlito"/>
    </x:font>
    <x:font>
      <x:sz val="10"/>
      <x:color rgb="FF183746"/>
      <x:name val="Carlito"/>
    </x:font>
    <x:font>
      <x:sz val="9"/>
      <x:color rgb="FF546E7A"/>
      <x:name val="Carlito"/>
    </x:font>
    <x:font>
      <x:b/>
      <x:sz val="10"/>
      <x:color rgb="FF183746"/>
      <x:name val="Carlito"/>
    </x:font>
    <x:font>
      <x:b/>
      <x:sz val="8"/>
      <x:color rgb="FF183746"/>
      <x:name val="Carlito"/>
    </x:font>
    <x:font>
      <x:sz val="8"/>
      <x:color rgb="FF183746"/>
      <x:name val="Carlito"/>
    </x:font>
    <x:font>
      <x:sz val="8"/>
      <x:color rgb="FF546E7A"/>
      <x:name val="Carlito"/>
    </x:font>
    <x:font>
      <x:b/>
      <x:sz val="8"/>
      <x:color rgb="FF546E7A"/>
      <x:name val="Carlito"/>
    </x:font>
    <x:font>
      <x:b/>
      <x:sz val="8"/>
      <x:color rgb="FF034B63"/>
      <x:name val="Carlito"/>
    </x:font>
    <x:font>
      <x:b/>
      <x:sz val="8"/>
      <x:color rgb="FFC83739"/>
      <x:name val="Carlito"/>
    </x:font>
    <x:font>
      <x:sz val="11"/>
      <x:color rgb="FF546E7A"/>
      <x:name val="Carlito"/>
    </x:font>
    <x:font>
      <x:b/>
      <x:sz val="11"/>
      <x:color rgb="FFC83739"/>
      <x:name val="Carlito"/>
    </x:font>
    <x:font>
      <x:b/>
      <x:sz val="11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56C519"/>
      </x:patternFill>
    </x:fill>
    <x:fill>
      <x:patternFill patternType="solid">
        <x:fgColor rgb="FF00617B"/>
      </x:patternFill>
    </x:fill>
    <x:fill>
      <x:patternFill patternType="solid">
        <x:fgColor rgb="FF034B63"/>
      </x:patternFill>
    </x:fill>
    <x:fill>
      <x:patternFill patternType="solid">
        <x:fgColor rgb="FFE6F2F5"/>
      </x:patternFill>
    </x:fill>
    <x:fill>
      <x:patternFill patternType="solid">
        <x:fgColor rgb="FFF6FAFB"/>
      </x:patternFill>
    </x:fill>
    <x:fill>
      <x:patternFill patternType="solid">
        <x:fgColor rgb="FFFFFFFF"/>
      </x:patternFill>
    </x:fill>
    <x:fill>
      <x:patternFill patternType="solid">
        <x:fgColor rgb="FFB7DEE8"/>
      </x:patternFill>
    </x:fill>
    <x:fill>
      <x:patternFill patternType="solid">
        <x:fgColor rgb="FFFFF2CE"/>
      </x:patternFill>
    </x:fill>
    <x:fill>
      <x:patternFill patternType="solid">
        <x:fgColor rgb="FFF3F8F8"/>
      </x:patternFill>
    </x:fill>
    <x:fill>
      <x:patternFill patternType="solid">
        <x:fgColor rgb="FFF6F9F9"/>
      </x:patternFill>
    </x:fill>
    <x:fill>
      <x:patternFill patternType="solid">
        <x:fgColor rgb="FF034B63"/>
      </x:patternFill>
    </x:fill>
    <x:fill>
      <x:patternFill patternType="solid">
        <x:fgColor rgb="FFE5F1E8"/>
      </x:patternFill>
    </x:fill>
    <x:fill>
      <x:patternFill patternType="solid">
        <x:fgColor rgb="FFFFF2CE"/>
      </x:patternFill>
    </x:fill>
    <x:fill>
      <x:patternFill patternType="solid">
        <x:fgColor rgb="FF034B63"/>
      </x:patternFill>
    </x:fill>
    <x:fill>
      <x:patternFill patternType="solid">
        <x:fgColor rgb="FFFFFFFF"/>
      </x:patternFill>
    </x:fill>
    <x:fill>
      <x:patternFill patternType="solid">
        <x:fgColor rgb="FFE5F1E8"/>
      </x:patternFill>
    </x:fill>
  </x:fills>
  <x:borders count="2">
    <x:border/>
    <x:border/>
  </x:borders>
  <x:cellStyleXfs count="1">
    <x:xf numFmtId="0" fontId="0" fillId="0" borderId="0"/>
  </x:cellStyleXfs>
  <x:cellXfs count="2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/>
    <x:xf numFmtId="0" fontId="13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vertical="center"/>
    </x:xf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6" borderId="1" xfId="0" applyNumberFormat="1" applyFont="1" applyFill="1" applyBorder="1"/>
    <x:xf numFmtId="200" fontId="0" fillId="7" borderId="1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1" fontId="0" fillId="6" borderId="1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20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7" fillId="9" borderId="1" xfId="0" applyNumberFormat="1" applyFont="1" applyFill="1" applyBorder="1"/>
    <x:xf numFmtId="0" fontId="17" fillId="9" borderId="1" xfId="0" applyNumberFormat="1" applyFont="1" applyFill="1" applyBorder="1" applyAlignment="1">
      <x:alignment wrapText="1"/>
    </x:xf>
    <x:xf numFmtId="0" fontId="17" fillId="9" borderId="1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vertical="center" wrapText="1"/>
    </x:xf>
    <x:xf numFmtId="0" fontId="18" fillId="5" borderId="1" xfId="0" applyNumberFormat="1" applyFont="1" applyFill="1" applyBorder="1"/>
    <x:xf numFmtId="0" fontId="18" fillId="5" borderId="1" xfId="0" applyNumberFormat="1" applyFont="1" applyFill="1" applyBorder="1" applyAlignment="1">
      <x:alignment wrapText="1"/>
    </x:xf>
    <x:xf numFmtId="0" fontId="18" fillId="5" borderId="1" xfId="0" applyNumberFormat="1" applyFont="1" applyFill="1" applyBorder="1" applyAlignment="1">
      <x:alignment vertical="center" wrapText="1"/>
    </x:xf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19" fillId="9" borderId="0" xfId="0" applyNumberFormat="1" applyFont="1" applyFill="1" applyBorder="1" applyAlignment="1">
      <x:alignment vertical="center" wrapText="1"/>
    </x:xf>
    <x:xf numFmtId="0" fontId="19" fillId="9" borderId="1" xfId="0" applyNumberFormat="1" applyFont="1" applyFill="1" applyBorder="1"/>
    <x:xf numFmtId="0" fontId="19" fillId="9" borderId="1" xfId="0" applyNumberFormat="1" applyFont="1" applyFill="1" applyBorder="1" applyAlignment="1">
      <x:alignment wrapText="1"/>
    </x:xf>
    <x:xf numFmtId="0" fontId="19" fillId="9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vertical="center"/>
    </x:xf>
    <x:xf numFmtId="200" fontId="0" fillId="10" borderId="0" xfId="0" applyNumberFormat="1" applyFont="1" applyFill="1" applyBorder="1"/>
    <x:xf numFmtId="200" fontId="0" fillId="10" borderId="1" xfId="0" applyNumberFormat="1" applyFont="1" applyFill="1" applyBorder="1"/>
    <x:xf numFmtId="201" fontId="0" fillId="10" borderId="0" xfId="0" applyNumberFormat="1" applyFont="1" applyFill="1" applyBorder="1"/>
    <x:xf numFmtId="201" fontId="0" fillId="1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vertical="center"/>
    </x:xf>
    <x:xf numFmtId="200" fontId="0" fillId="11" borderId="0" xfId="0" applyNumberFormat="1" applyFont="1" applyFill="1" applyBorder="1"/>
    <x:xf numFmtId="200" fontId="0" fillId="11" borderId="1" xfId="0" applyNumberFormat="1" applyFont="1" applyFill="1" applyBorder="1"/>
    <x:xf numFmtId="201" fontId="0" fillId="11" borderId="0" xfId="0" applyNumberFormat="1" applyFont="1" applyFill="1" applyBorder="1"/>
    <x:xf numFmtId="201" fontId="0" fillId="11" borderId="1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203" fontId="0" fillId="1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203" fontId="0" fillId="9" borderId="0" xfId="0" applyNumberFormat="1" applyFont="1" applyFill="1" applyBorder="1"/>
    <x:xf numFmtId="0" fontId="0" fillId="15" borderId="0" xfId="0" applyNumberFormat="1" applyFont="1" applyFill="1" applyBorder="1"/>
    <x:xf numFmtId="0" fontId="20" fillId="15" borderId="0" xfId="0" applyNumberFormat="1" applyFont="1" applyFill="1" applyBorder="1"/>
    <x:xf numFmtId="0" fontId="20" fillId="1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16" borderId="0" xfId="0" applyNumberFormat="1" applyFont="1" applyFill="1" applyBorder="1"/>
    <x:xf numFmtId="203" fontId="0" fillId="16" borderId="0" xfId="0" applyNumberFormat="1" applyFont="1" applyFill="1" applyBorder="1"/>
    <x:xf numFmtId="0" fontId="0" fillId="1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f07a02e414ca7" /><Relationship Type="http://schemas.openxmlformats.org/officeDocument/2006/relationships/theme" Target="/xl/theme/theme1.xml" Id="Rae2b16f52e734c3f" /><Relationship Type="http://schemas.openxmlformats.org/officeDocument/2006/relationships/sharedStrings" Target="/xl/sharedStrings.xml" Id="R072358e0f8674d2f" /><Relationship Type="http://schemas.openxmlformats.org/officeDocument/2006/relationships/worksheet" Target="/xl/worksheets/sheet1.xml" Id="R0f71ec98cd184da2" /><Relationship Type="http://schemas.openxmlformats.org/officeDocument/2006/relationships/worksheet" Target="/xl/worksheets/sheet2.xml" Id="Rc24f8d1465c04ead" /><Relationship Type="http://schemas.openxmlformats.org/officeDocument/2006/relationships/worksheet" Target="/xl/worksheets/sheet3.xml" Id="R45e8a672c31d430f" /><Relationship Type="http://schemas.openxmlformats.org/officeDocument/2006/relationships/worksheet" Target="/xl/worksheets/sheet4.xml" Id="R501bd684abb54267" /><Relationship Type="http://schemas.openxmlformats.org/officeDocument/2006/relationships/worksheet" Target="/xl/worksheets/sheet5.xml" Id="Rb681b59d6a8c429f" /><Relationship Type="http://schemas.openxmlformats.org/officeDocument/2006/relationships/worksheet" Target="/xl/worksheets/sheet6.xml" Id="R3408b0eaf3d2497a" /><Relationship Type="http://schemas.openxmlformats.org/officeDocument/2006/relationships/worksheet" Target="/xl/worksheets/sheet7.xml" Id="R7644c5e16d234a8a" /><Relationship Type="http://schemas.openxmlformats.org/officeDocument/2006/relationships/worksheet" Target="/xl/worksheets/sheet8.xml" Id="R17286f5cbd5841b5" /><Relationship Type="http://schemas.openxmlformats.org/officeDocument/2006/relationships/worksheet" Target="/xl/worksheets/sheet9.xml" Id="Ra0534d848faf4048" /><Relationship Type="http://schemas.openxmlformats.org/officeDocument/2006/relationships/worksheet" Target="/xl/worksheets/sheet10.xml" Id="Re07b90f4dde84b6a" /><Relationship Type="http://schemas.openxmlformats.org/officeDocument/2006/relationships/worksheet" Target="/xl/worksheets/sheet11.xml" Id="R4a0496fc9f3946df" /><Relationship Type="http://schemas.openxmlformats.org/officeDocument/2006/relationships/worksheet" Target="/xl/worksheets/sheet12.xml" Id="R7b25f2490eae4083" /><Relationship Type="http://schemas.openxmlformats.org/officeDocument/2006/relationships/worksheet" Target="/xl/worksheets/sheet13.xml" Id="R7da74a4040824abd" /><Relationship Type="http://schemas.openxmlformats.org/officeDocument/2006/relationships/worksheet" Target="/xl/worksheets/sheet14.xml" Id="R8d8c7a28572d4220" /><Relationship Type="http://schemas.openxmlformats.org/officeDocument/2006/relationships/worksheet" Target="/xl/worksheets/sheet15.xml" Id="R792b178967154df6" /><Relationship Type="http://schemas.openxmlformats.org/officeDocument/2006/relationships/worksheet" Target="/xl/worksheets/sheet16.xml" Id="R04feec9f79884fd2" /><Relationship Type="http://schemas.openxmlformats.org/officeDocument/2006/relationships/worksheet" Target="/xl/worksheets/sheet17.xml" Id="R80e0e6365e224a10" /><Relationship Type="http://schemas.openxmlformats.org/officeDocument/2006/relationships/worksheet" Target="/xl/worksheets/sheet18.xml" Id="Re5213414a7554f33" /><Relationship Type="http://schemas.openxmlformats.org/officeDocument/2006/relationships/worksheet" Target="/xl/worksheets/sheet19.xml" Id="R21cde78b276b49e7" /><Relationship Type="http://schemas.openxmlformats.org/officeDocument/2006/relationships/worksheet" Target="/xl/worksheets/sheet20.xml" Id="R1900ea21ec92415e" /><Relationship Type="http://schemas.openxmlformats.org/officeDocument/2006/relationships/worksheet" Target="/xl/worksheets/sheet21.xml" Id="R80e9ef2077a3453d" /><Relationship Type="http://schemas.openxmlformats.org/officeDocument/2006/relationships/worksheet" Target="/xl/worksheets/sheet22.xml" Id="R6a9ec171a22e4c95" /><Relationship Type="http://schemas.openxmlformats.org/officeDocument/2006/relationships/worksheet" Target="/xl/worksheets/sheet23.xml" Id="Rb755e43dba7941d0" /><Relationship Type="http://schemas.openxmlformats.org/officeDocument/2006/relationships/worksheet" Target="/xl/worksheets/sheet24.xml" Id="Rc7aa37ebffc94177" /><Relationship Type="http://schemas.openxmlformats.org/officeDocument/2006/relationships/worksheet" Target="/xl/worksheets/sheet25.xml" Id="R76166de6f0c34180" /><Relationship Type="http://schemas.openxmlformats.org/officeDocument/2006/relationships/worksheet" Target="/xl/worksheets/sheet26.xml" Id="R155f8475c15544a7" /><Relationship Type="http://schemas.openxmlformats.org/officeDocument/2006/relationships/worksheet" Target="/xl/worksheets/sheet27.xml" Id="R8b27d9b8ca3346c0" /><Relationship Type="http://schemas.openxmlformats.org/officeDocument/2006/relationships/worksheet" Target="/xl/worksheets/sheet28.xml" Id="R835f72b85dea46a5" /><Relationship Type="http://schemas.openxmlformats.org/officeDocument/2006/relationships/worksheet" Target="/xl/worksheets/sheet29.xml" Id="R3faf075266b947a6" /><Relationship Type="http://schemas.openxmlformats.org/officeDocument/2006/relationships/worksheet" Target="/xl/worksheets/sheet30.xml" Id="Re2d4714c8a7548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49355a3e4842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0270e04794d49f3" /><Relationship Type="http://schemas.openxmlformats.org/officeDocument/2006/relationships/chart" Target="/xl/drawings/charts/chart3.xml" Id="R4ea2511feec84f8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02027c01c76419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d67cec08eed473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8613b566ab24f56" /><Relationship Type="http://schemas.openxmlformats.org/officeDocument/2006/relationships/chart" Target="/xl/drawings/charts/chart7.xml" Id="R22d55d91e40c450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213cb81f7092444e" /><Relationship Type="http://schemas.openxmlformats.org/officeDocument/2006/relationships/chart" Target="/xl/drawings/charts/chart9.xml" Id="Ra4f66d724934444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9c3248c3aa2843e7" /><Relationship Type="http://schemas.openxmlformats.org/officeDocument/2006/relationships/chart" Target="/xl/drawings/charts/chart11.xml" Id="R03271f33e0124f4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728eb66e1c774317" /><Relationship Type="http://schemas.openxmlformats.org/officeDocument/2006/relationships/chart" Target="/xl/drawings/charts/chart13.xml" Id="Re3cfeccaf57f4d2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339ce0750f1e4c11" /><Relationship Type="http://schemas.openxmlformats.org/officeDocument/2006/relationships/chart" Target="/xl/drawings/charts/chart15.xml" Id="R97859d09d785481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12f06ea5f78b48b8" /><Relationship Type="http://schemas.openxmlformats.org/officeDocument/2006/relationships/chart" Target="/xl/drawings/charts/chart17.xml" Id="R7d93e1f44450413c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c7b1fcf3005e4eb4" /><Relationship Type="http://schemas.openxmlformats.org/officeDocument/2006/relationships/chart" Target="/xl/drawings/charts/chart19.xml" Id="R7d2251c67645436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20.xml" Id="R4657250b986341a2" /><Relationship Type="http://schemas.openxmlformats.org/officeDocument/2006/relationships/chart" Target="/xl/drawings/charts/chart21.xml" Id="R5ec3a412a08b4d7c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f718934586f04861" /><Relationship Type="http://schemas.openxmlformats.org/officeDocument/2006/relationships/chart" Target="/xl/drawings/charts/chart23.xml" Id="R134d61da42b946d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34c5f5e654964ed1" /><Relationship Type="http://schemas.openxmlformats.org/officeDocument/2006/relationships/chart" Target="/xl/drawings/charts/chart25.xml" Id="R354df19fa6e44aae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26.xml" Id="R85a91c3dc3664aa8" /><Relationship Type="http://schemas.openxmlformats.org/officeDocument/2006/relationships/chart" Target="/xl/drawings/charts/chart27.xml" Id="Rd9d8c15bea624c6f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ab70f7a371124a4c" /><Relationship Type="http://schemas.openxmlformats.org/officeDocument/2006/relationships/chart" Target="/xl/drawings/charts/chart29.xml" Id="Rd98518f32ea248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A3C65A"/>
            </a:solidFill>
          </c:spPr>
          <c:cat>
            <c:strRef>
              <c:f>'01 GLOBAL'!$A$48:$A$49</c:f>
              <c:strCache>
                <c:ptCount val="0"/>
              </c:strCache>
            </c:strRef>
          </c:cat>
          <c:val>
            <c:numRef>
              <c:f>'01 GLOBAL'!$B$48:$B$49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034B63"/>
            </a:solidFill>
          </c:spPr>
          <c:cat>
            <c:strRef>
              <c:f>'01 GLOBAL'!$A$48:$A$49</c:f>
              <c:strCache>
                <c:ptCount val="0"/>
              </c:strCache>
            </c:strRef>
          </c:cat>
          <c:val>
            <c:numRef>
              <c:f>'01 GLOBAL'!$C$48:$C$49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Before 2025</c:v>
          </c:tx>
          <c:spPr>
            <a:solidFill xmlns:a="http://schemas.openxmlformats.org/drawingml/2006/main">
              <a:srgbClr val="034B63"/>
            </a:solidFill>
          </c:spPr>
          <c:cat>
            <c:strRef>
              <c:f>'02 CORE Stock'!$A$48:$A$55</c:f>
              <c:strCache>
                <c:ptCount val="0"/>
              </c:strCache>
            </c:strRef>
          </c:cat>
          <c:val>
            <c:numRef>
              <c:f>'02 CORE Stock'!$B$48:$B$55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'02 CORE Stock'!$A$48:$A$55</c:f>
              <c:strCache>
                <c:ptCount val="0"/>
              </c:strCache>
            </c:strRef>
          </c:cat>
          <c:val>
            <c:numRef>
              <c:f>'02 CORE Stock'!$C$48:$C$55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2026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'02 CORE Stock'!$A$48:$A$55</c:f>
              <c:strCache>
                <c:ptCount val="0"/>
              </c:strCache>
            </c:strRef>
          </c:cat>
          <c:val>
            <c:numRef>
              <c:f>'02 CORE Stock'!$D$48:$D$55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Reporting stock EUR</c:v>
          </c:tx>
          <c:spPr>
            <a:solidFill xmlns:a="http://schemas.openxmlformats.org/drawingml/2006/main">
              <a:srgbClr val="00617B"/>
            </a:solidFill>
          </c:spPr>
          <c:cat>
            <c:strRef>
              <c:f>'02 CORE Stock'!$A$64:$A$71</c:f>
              <c:strCache>
                <c:ptCount val="0"/>
              </c:strCache>
            </c:strRef>
          </c:cat>
          <c:val>
            <c:numRef>
              <c:f>'02 CORE Stock'!$B$64:$B$71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Spain</c:v>
          </c:tx>
          <c:spPr>
            <a:solidFill xmlns:a="http://schemas.openxmlformats.org/drawingml/2006/main">
              <a:srgbClr val="034B63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Flows'!$B$48:$B$53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Germany + Austria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Flows'!$C$48:$C$53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Belgium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Flows'!$D$48:$D$53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Italy</c:v>
          </c:tx>
          <c:spPr>
            <a:solidFill xmlns:a="http://schemas.openxmlformats.org/drawingml/2006/main">
              <a:srgbClr val="4A8CAC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Flows'!$E$48:$E$53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Portugal</c:v>
          </c:tx>
          <c:spPr>
            <a:solidFill xmlns:a="http://schemas.openxmlformats.org/drawingml/2006/main">
              <a:srgbClr val="7A2B5D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Flows'!$F$48:$F$53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France</c:v>
          </c:tx>
          <c:spPr>
            <a:solidFill xmlns:a="http://schemas.openxmlformats.org/drawingml/2006/main">
              <a:srgbClr val="A9CE60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Flows'!$G$48:$G$53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UK</c:v>
          </c:tx>
          <c:spPr>
            <a:solidFill xmlns:a="http://schemas.openxmlformats.org/drawingml/2006/main">
              <a:srgbClr val="D26959"/>
            </a:solidFill>
          </c:spPr>
          <c:cat>
            <c:strRef>
              <c:f>'03 CORE Flows'!$A$48:$A$53</c:f>
              <c:strCache>
                <c:ptCount val="0"/>
              </c:strCache>
            </c:strRef>
          </c:cat>
          <c:val>
            <c:numRef>
              <c:f>'03 CORE Flows'!$H$48:$H$53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Before 2025</c:v>
          </c:tx>
          <c:spPr>
            <a:solidFill xmlns:a="http://schemas.openxmlformats.org/drawingml/2006/main">
              <a:srgbClr val="034B63"/>
            </a:solidFill>
          </c:spPr>
          <c:cat>
            <c:strRef>
              <c:f>'04 NON CORE'!$A$48:$A$52</c:f>
              <c:strCache>
                <c:ptCount val="0"/>
              </c:strCache>
            </c:strRef>
          </c:cat>
          <c:val>
            <c:numRef>
              <c:f>'04 NON CORE'!$B$48:$B$52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'04 NON CORE'!$A$48:$A$52</c:f>
              <c:strCache>
                <c:ptCount val="0"/>
              </c:strCache>
            </c:strRef>
          </c:cat>
          <c:val>
            <c:numRef>
              <c:f>'04 NON CORE'!$C$48:$C$52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2026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'04 NON CORE'!$A$48:$A$52</c:f>
              <c:strCache>
                <c:ptCount val="0"/>
              </c:strCache>
            </c:strRef>
          </c:cat>
          <c:val>
            <c:numRef>
              <c:f>'04 NON CORE'!$D$48:$D$52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'DATA_FLOW'!$F$2:$F$7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'DATA_FLOW'!$G$2:$G$7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'DATA_FLOW'!$I$2:$I$7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'DATA_FLOW'!$H$2:$H$7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'DATA_FLOW'!$L$2:$L$7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'DATA_FLOW'!$B$2:$B$7</c:f>
              <c:strCache>
                <c:ptCount val="0"/>
              </c:strCache>
            </c:strRef>
          </c:cat>
          <c:val>
            <c:numRef>
              <c:f>'DATA_FLOW'!$M$2:$M$7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'DATA_FLOW'!$F$8:$F$13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'DATA_FLOW'!$G$8:$G$13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'DATA_FLOW'!$I$8:$I$13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'DATA_FLOW'!$H$8:$H$13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'DATA_FLOW'!$L$8:$L$13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'DATA_FLOW'!$B$8:$B$13</c:f>
              <c:strCache>
                <c:ptCount val="0"/>
              </c:strCache>
            </c:strRef>
          </c:cat>
          <c:val>
            <c:numRef>
              <c:f>'DATA_FLOW'!$M$8:$M$13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'DATA_FLOW'!$F$14:$F$19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'DATA_FLOW'!$G$14:$G$19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'DATA_FLOW'!$I$14:$I$19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'DATA_FLOW'!$H$14:$H$19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'DATA_FLOW'!$L$14:$L$19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'DATA_FLOW'!$B$14:$B$19</c:f>
              <c:strCache>
                <c:ptCount val="0"/>
              </c:strCache>
            </c:strRef>
          </c:cat>
          <c:val>
            <c:numRef>
              <c:f>'DATA_FLOW'!$M$14:$M$19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'DATA_FLOW'!$F$20:$F$25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'DATA_FLOW'!$G$20:$G$25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'DATA_FLOW'!$I$20:$I$25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'DATA_FLOW'!$H$20:$H$25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'DATA_FLOW'!$L$20:$L$25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'DATA_FLOW'!$B$20:$B$25</c:f>
              <c:strCache>
                <c:ptCount val="0"/>
              </c:strCache>
            </c:strRef>
          </c:cat>
          <c:val>
            <c:numRef>
              <c:f>'DATA_FLOW'!$M$20:$M$25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'DATA_FLOW'!$F$26:$F$31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'DATA_FLOW'!$G$26:$G$31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'DATA_FLOW'!$I$26:$I$31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'DATA_FLOW'!$H$26:$H$31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'DATA_FLOW'!$L$26:$L$31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'DATA_FLOW'!$B$26:$B$31</c:f>
              <c:strCache>
                <c:ptCount val="0"/>
              </c:strCache>
            </c:strRef>
          </c:cat>
          <c:val>
            <c:numRef>
              <c:f>'DATA_FLOW'!$M$26:$M$31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'DATA_FLOW'!$F$32:$F$37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'DATA_FLOW'!$G$32:$G$37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'DATA_FLOW'!$I$32:$I$37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'DATA_FLOW'!$H$32:$H$37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'DATA_FLOW'!$L$32:$L$37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'DATA_FLOW'!$B$32:$B$37</c:f>
              <c:strCache>
                <c:ptCount val="0"/>
              </c:strCache>
            </c:strRef>
          </c:cat>
          <c:val>
            <c:numRef>
              <c:f>'DATA_FLOW'!$M$32:$M$37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'DATA_FLOW'!$F$38:$F$43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'DATA_FLOW'!$G$38:$G$43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'DATA_FLOW'!$I$38:$I$43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'DATA_FLOW'!$H$38:$H$43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'DATA_FLOW'!$L$38:$L$43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'DATA_FLOW'!$B$38:$B$43</c:f>
              <c:strCache>
                <c:ptCount val="0"/>
              </c:strCache>
            </c:strRef>
          </c:cat>
          <c:val>
            <c:numRef>
              <c:f>'DATA_FLOW'!$M$38:$M$43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'DATA_FLOW'!$F$44:$F$49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'DATA_FLOW'!$G$44:$G$49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'DATA_FLOW'!$I$44:$I$49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'DATA_FLOW'!$H$44:$H$49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'DATA_FLOW'!$L$44:$L$49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'DATA_FLOW'!$B$44:$B$49</c:f>
              <c:strCache>
                <c:ptCount val="0"/>
              </c:strCache>
            </c:strRef>
          </c:cat>
          <c:val>
            <c:numRef>
              <c:f>'DATA_FLOW'!$M$44:$M$49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'DATA_FLOW'!$F$50:$F$55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'DATA_FLOW'!$G$50:$G$55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'DATA_FLOW'!$I$50:$I$55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'DATA_FLOW'!$H$50:$H$55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'DATA_FLOW'!$L$50:$L$55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'DATA_FLOW'!$B$50:$B$55</c:f>
              <c:strCache>
                <c:ptCount val="0"/>
              </c:strCache>
            </c:strRef>
          </c:cat>
          <c:val>
            <c:numRef>
              <c:f>'DATA_FLOW'!$M$50:$M$55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'DATA_FLOW'!$F$56:$F$61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'DATA_FLOW'!$G$56:$G$61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'DATA_FLOW'!$I$56:$I$61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'DATA_FLOW'!$H$56:$H$61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'DATA_FLOW'!$L$56:$L$61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'DATA_FLOW'!$B$56:$B$61</c:f>
              <c:strCache>
                <c:ptCount val="0"/>
              </c:strCache>
            </c:strRef>
          </c:cat>
          <c:val>
            <c:numRef>
              <c:f>'DATA_FLOW'!$M$56:$M$61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'DATA_FLOW'!$F$62:$F$67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'DATA_FLOW'!$G$62:$G$67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'DATA_FLOW'!$I$62:$I$67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'DATA_FLOW'!$H$62:$H$67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'DATA_FLOW'!$L$62:$L$67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'DATA_FLOW'!$B$62:$B$67</c:f>
              <c:strCache>
                <c:ptCount val="0"/>
              </c:strCache>
            </c:strRef>
          </c:cat>
          <c:val>
            <c:numRef>
              <c:f>'DATA_FLOW'!$M$62:$M$67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Client refund</c:v>
          </c:tx>
          <c:spPr>
            <a:solidFill xmlns:a="http://schemas.openxmlformats.org/drawingml/2006/main">
              <a:srgbClr val="90C541"/>
            </a:solidFill>
          </c:spP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'DATA_FLOW'!$F$68:$F$73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False positive</c:v>
          </c:tx>
          <c:spPr>
            <a:solidFill xmlns:a="http://schemas.openxmlformats.org/drawingml/2006/main">
              <a:srgbClr val="006A43"/>
            </a:solidFill>
          </c:spP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'DATA_FLOW'!$G$68:$G$73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To be processed</c:v>
          </c:tx>
          <c:spPr>
            <a:solidFill xmlns:a="http://schemas.openxmlformats.org/drawingml/2006/main">
              <a:srgbClr val="B0B0B0"/>
            </a:solidFill>
          </c:spP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'DATA_FLOW'!$I$68:$I$73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Not reachable</c:v>
          </c:tx>
          <c:spPr>
            <a:solidFill xmlns:a="http://schemas.openxmlformats.org/drawingml/2006/main">
              <a:srgbClr val="E6B333"/>
            </a:solidFill>
          </c:spP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'DATA_FLOW'!$H$68:$H$73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Amount</c:v>
          </c:tx>
          <c:spPr>
            <a:ln xmlns:a="http://schemas.openxmlformats.org/drawingml/2006/main" w="19050">
              <a:solidFill>
                <a:srgbClr val="034B63"/>
              </a:solidFill>
              <a:prstDash val="solid"/>
            </a:ln>
          </c:spPr>
          <c:marker>
            <c:symbol val="none"/>
          </c:marke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'DATA_FLOW'!$L$68:$L$73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Number</c:v>
          </c:tx>
          <c:spPr>
            <a:ln xmlns:a="http://schemas.openxmlformats.org/drawingml/2006/main" w="19050">
              <a:solidFill>
                <a:srgbClr val="7A2B5D"/>
              </a:solidFill>
              <a:prstDash val="solid"/>
            </a:ln>
          </c:spPr>
          <c:marker>
            <c:symbol val="none"/>
          </c:marker>
          <c:cat>
            <c:strRef>
              <c:f>'DATA_FLOW'!$B$68:$B$73</c:f>
              <c:strCache>
                <c:ptCount val="0"/>
              </c:strCache>
            </c:strRef>
          </c:cat>
          <c:val>
            <c:numRef>
              <c:f>'DATA_FLOW'!$M$68:$M$73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7</xdr:row>
      <xdr:rowOff>0</xdr:rowOff>
    </xdr:from>
    <xdr:to>
      <xdr:col>31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49355a3e48420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6</xdr:row>
      <xdr:rowOff>0</xdr:rowOff>
    </xdr:from>
    <xdr:to>
      <xdr:col>31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270e04794d49f3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31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a2511feec84f8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</xdr:col>
      <xdr:colOff>0</xdr:colOff>
      <xdr:row>7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2027c01c76419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17</xdr:col>
      <xdr:colOff>0</xdr:colOff>
      <xdr:row>6</xdr:row>
      <xdr:rowOff>0</xdr:rowOff>
    </xdr:from>
    <xdr:to>
      <xdr:col>31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67cec08eed47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613b566ab24f56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55d91e40c450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cb81f7092444e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f66d724934444a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248c3aa2843e7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271f33e0124f4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8eb66e1c774317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cfeccaf57f4d2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9ce0750f1e4c11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859d09d785481f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f06ea5f78b48b8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93e1f44450413c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b1fcf3005e4eb4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2251c67645436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7250b986341a2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c3a412a08b4d7c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8934586f04861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d61da42b946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c5f5e654964ed1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4df19fa6e44aae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91c3dc3664aa8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d8c15bea624c6f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2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70f7a371124a4c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8518f32ea248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0c1fcafaa44e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6e6536e5243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aa50519225f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2aa4694fe6e45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c8a09d570ff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035fefb3fb749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f4c76828cd2a40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090e84b328b94a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61d03f6120a64b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fb9f6a4b32314b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32272be0c7dc4d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4afef614faf849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0fec3059716a4f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4.xml" Id="Rc41426715b7e470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5.xml" Id="R005b38532ff44ca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6.xml" Id="R868adbd7df65481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GLOBAL COUNTRIES  •  Q2 2026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/>
    <x:row r="6" ht="20" customHeight="1"/>
    <x:row r="7" ht="20" customHeight="1"/>
    <x:row r="8" ht="23" customHeight="1">
      <x:c r="C8" s="53" t="str">
        <x:v>COUNTRIES</x:v>
      </x:c>
      <x:c r="D8" s="53"/>
      <x:c r="E8" s="53"/>
      <x:c r="F8" s="53"/>
      <x:c r="G8" s="53"/>
      <x:c r="H8" s="53" t="str">
        <x:v>2026 Q1</x:v>
      </x:c>
      <x:c r="I8" s="53"/>
      <x:c r="J8" s="53"/>
      <x:c r="K8" s="53" t="str">
        <x:v>2026 Q2</x:v>
      </x:c>
      <x:c r="L8" s="53"/>
      <x:c r="M8" s="53"/>
      <x:c r="N8" s="53" t="str">
        <x:v>EVOLUTION</x:v>
      </x:c>
      <x:c r="O8" s="53"/>
      <x:c r="P8" s="53"/>
      <x:c r="Q8" s="53"/>
    </x:row>
    <x:row r="9" ht="20" customHeight="1">
      <x:c r="C9" s="169" t="str">
        <x:v>Spain</x:v>
      </x:c>
      <x:c r="D9" s="169"/>
      <x:c r="E9" s="169"/>
      <x:c r="F9" s="169"/>
      <x:c r="G9" s="169"/>
      <x:c r="H9" s="109" t="n">
        <x:f>DATA_STOCK!C2</x:f>
        <x:v>2166528.21</x:v>
      </x:c>
      <x:c r="I9" s="109"/>
      <x:c r="J9" s="109"/>
      <x:c r="K9" s="109" t="n">
        <x:f>DATA_STOCK!D2</x:f>
        <x:v>1787811.8</x:v>
      </x:c>
      <x:c r="L9" s="109"/>
      <x:c r="M9" s="109"/>
      <x:c r="N9" s="113" t="n">
        <x:f>IFERROR(K9/H9-1,0)</x:f>
        <x:v>-0.17480335970331073</x:v>
      </x:c>
      <x:c r="O9" s="113"/>
      <x:c r="P9" s="113"/>
      <x:c r="Q9" s="113"/>
    </x:row>
    <x:row r="10" ht="20" customHeight="1">
      <x:c r="C10" s="175" t="str">
        <x:v>Germany + Austria</x:v>
      </x:c>
      <x:c r="D10" s="175"/>
      <x:c r="E10" s="175"/>
      <x:c r="F10" s="175"/>
      <x:c r="G10" s="175"/>
      <x:c r="H10" s="178" t="n">
        <x:f>DATA_STOCK!C3+DATA_STOCK!C4</x:f>
        <x:v>4184532.71</x:v>
      </x:c>
      <x:c r="I10" s="178"/>
      <x:c r="J10" s="178"/>
      <x:c r="K10" s="178" t="n">
        <x:f>DATA_STOCK!D3+DATA_STOCK!D4</x:f>
        <x:v>3485465.47</x:v>
      </x:c>
      <x:c r="L10" s="178"/>
      <x:c r="M10" s="178"/>
      <x:c r="N10" s="180" t="n">
        <x:f>IFERROR(K10/H10-1,0)</x:f>
        <x:v>-0.16705981012632587</x:v>
      </x:c>
      <x:c r="O10" s="180"/>
      <x:c r="P10" s="180"/>
      <x:c r="Q10" s="180"/>
    </x:row>
    <x:row r="11" ht="20" customHeight="1">
      <x:c r="C11" s="169" t="str">
        <x:v>Belgium</x:v>
      </x:c>
      <x:c r="D11" s="169"/>
      <x:c r="E11" s="169"/>
      <x:c r="F11" s="169"/>
      <x:c r="G11" s="169"/>
      <x:c r="H11" s="109" t="n">
        <x:f>DATA_STOCK!C5</x:f>
        <x:v>237187</x:v>
      </x:c>
      <x:c r="I11" s="109"/>
      <x:c r="J11" s="109"/>
      <x:c r="K11" s="109" t="n">
        <x:f>DATA_STOCK!D5</x:f>
        <x:v>136664.22</x:v>
      </x:c>
      <x:c r="L11" s="109"/>
      <x:c r="M11" s="109"/>
      <x:c r="N11" s="113" t="n">
        <x:f>IFERROR(K11/H11-1,0)</x:f>
        <x:v>-0.4238123505925704</x:v>
      </x:c>
      <x:c r="O11" s="113"/>
      <x:c r="P11" s="113"/>
      <x:c r="Q11" s="113"/>
    </x:row>
    <x:row r="12" ht="20" customHeight="1">
      <x:c r="C12" s="175" t="str">
        <x:v>Italy</x:v>
      </x:c>
      <x:c r="D12" s="175"/>
      <x:c r="E12" s="175"/>
      <x:c r="F12" s="175"/>
      <x:c r="G12" s="175"/>
      <x:c r="H12" s="178" t="n">
        <x:f>DATA_STOCK!C6</x:f>
        <x:v>3049033.32</x:v>
      </x:c>
      <x:c r="I12" s="178"/>
      <x:c r="J12" s="178"/>
      <x:c r="K12" s="178" t="n">
        <x:f>DATA_STOCK!D6</x:f>
        <x:v>3023244.63</x:v>
      </x:c>
      <x:c r="L12" s="178"/>
      <x:c r="M12" s="178"/>
      <x:c r="N12" s="180" t="n">
        <x:f>IFERROR(K12/H12-1,0)</x:f>
        <x:v>-0.00845798890777616</x:v>
      </x:c>
      <x:c r="O12" s="180"/>
      <x:c r="P12" s="180"/>
      <x:c r="Q12" s="180"/>
    </x:row>
    <x:row r="13" ht="20" customHeight="1">
      <x:c r="C13" s="169" t="str">
        <x:v>Portugal</x:v>
      </x:c>
      <x:c r="D13" s="169"/>
      <x:c r="E13" s="169"/>
      <x:c r="F13" s="169"/>
      <x:c r="G13" s="169"/>
      <x:c r="H13" s="109" t="n">
        <x:f>DATA_STOCK!C7</x:f>
        <x:v>544257.88</x:v>
      </x:c>
      <x:c r="I13" s="109"/>
      <x:c r="J13" s="109"/>
      <x:c r="K13" s="109" t="n">
        <x:f>DATA_STOCK!D7</x:f>
        <x:v>593413</x:v>
      </x:c>
      <x:c r="L13" s="109"/>
      <x:c r="M13" s="109"/>
      <x:c r="N13" s="113" t="n">
        <x:f>IFERROR(K13/H13-1,0)</x:f>
        <x:v>0.09031586276711323</x:v>
      </x:c>
      <x:c r="O13" s="113"/>
      <x:c r="P13" s="113"/>
      <x:c r="Q13" s="113"/>
    </x:row>
    <x:row r="14" ht="20" customHeight="1">
      <x:c r="C14" s="175" t="str">
        <x:v>France</x:v>
      </x:c>
      <x:c r="D14" s="175"/>
      <x:c r="E14" s="175"/>
      <x:c r="F14" s="175"/>
      <x:c r="G14" s="175"/>
      <x:c r="H14" s="178" t="n">
        <x:f>DATA_STOCK!C8</x:f>
        <x:v>3908020.9</x:v>
      </x:c>
      <x:c r="I14" s="178"/>
      <x:c r="J14" s="178"/>
      <x:c r="K14" s="178" t="n">
        <x:f>DATA_STOCK!D8</x:f>
        <x:v>3317586.72</x:v>
      </x:c>
      <x:c r="L14" s="178"/>
      <x:c r="M14" s="178"/>
      <x:c r="N14" s="180" t="n">
        <x:f>IFERROR(K14/H14-1,0)</x:f>
        <x:v>-0.15108265669715326</x:v>
      </x:c>
      <x:c r="O14" s="180"/>
      <x:c r="P14" s="180"/>
      <x:c r="Q14" s="180"/>
    </x:row>
    <x:row r="15" ht="20" customHeight="1">
      <x:c r="C15" s="169" t="str">
        <x:v>UK</x:v>
      </x:c>
      <x:c r="D15" s="169"/>
      <x:c r="E15" s="169"/>
      <x:c r="F15" s="169"/>
      <x:c r="G15" s="169"/>
      <x:c r="H15" s="109" t="n">
        <x:f>DATA_STOCK!C9</x:f>
        <x:v>2874735.6081</x:v>
      </x:c>
      <x:c r="I15" s="109"/>
      <x:c r="J15" s="109"/>
      <x:c r="K15" s="109" t="n">
        <x:f>DATA_STOCK!D9</x:f>
        <x:v>2836661.6548</x:v>
      </x:c>
      <x:c r="L15" s="109"/>
      <x:c r="M15" s="109"/>
      <x:c r="N15" s="113" t="n">
        <x:f>IFERROR(K15/H15-1,0)</x:f>
        <x:v>-0.013244332171877149</x:v>
      </x:c>
      <x:c r="O15" s="113"/>
      <x:c r="P15" s="113"/>
      <x:c r="Q15" s="113"/>
    </x:row>
    <x:row r="16" ht="20" customHeight="1">
      <x:c r="C16" s="175" t="str">
        <x:v>South Africa</x:v>
      </x:c>
      <x:c r="D16" s="175"/>
      <x:c r="E16" s="175"/>
      <x:c r="F16" s="175"/>
      <x:c r="G16" s="175"/>
      <x:c r="H16" s="178" t="n">
        <x:f>DATA_STOCK!C10</x:f>
        <x:v>1954760.7895</x:v>
      </x:c>
      <x:c r="I16" s="178"/>
      <x:c r="J16" s="178"/>
      <x:c r="K16" s="178" t="n">
        <x:f>DATA_STOCK!D10</x:f>
        <x:v>1905080.9288</x:v>
      </x:c>
      <x:c r="L16" s="178"/>
      <x:c r="M16" s="178"/>
      <x:c r="N16" s="180" t="n">
        <x:f>IFERROR(K16/H16-1,0)</x:f>
        <x:v>-0.02541480316510092</x:v>
      </x:c>
      <x:c r="O16" s="180"/>
      <x:c r="P16" s="180"/>
      <x:c r="Q16" s="180"/>
    </x:row>
    <x:row r="17" ht="20" customHeight="1">
      <x:c r="C17" s="169" t="str">
        <x:v>Romania</x:v>
      </x:c>
      <x:c r="D17" s="169"/>
      <x:c r="E17" s="169"/>
      <x:c r="F17" s="169"/>
      <x:c r="G17" s="169"/>
      <x:c r="H17" s="109" t="n">
        <x:f>DATA_STOCK!C11</x:f>
        <x:v>53725.4016</x:v>
      </x:c>
      <x:c r="I17" s="109"/>
      <x:c r="J17" s="109"/>
      <x:c r="K17" s="109" t="n">
        <x:f>DATA_STOCK!D11</x:f>
        <x:v>48887.5186</x:v>
      </x:c>
      <x:c r="L17" s="109"/>
      <x:c r="M17" s="109"/>
      <x:c r="N17" s="113" t="n">
        <x:f>IFERROR(K17/H17-1,0)</x:f>
        <x:v>-0.0900483357205839</x:v>
      </x:c>
      <x:c r="O17" s="113"/>
      <x:c r="P17" s="113"/>
      <x:c r="Q17" s="113"/>
    </x:row>
    <x:row r="18" ht="20" customHeight="1">
      <x:c r="C18" s="175" t="str">
        <x:v>Brazil</x:v>
      </x:c>
      <x:c r="D18" s="175"/>
      <x:c r="E18" s="175"/>
      <x:c r="F18" s="175"/>
      <x:c r="G18" s="175"/>
      <x:c r="H18" s="178" t="n">
        <x:f>DATA_STOCK!C12</x:f>
        <x:v>8543463.1717</x:v>
      </x:c>
      <x:c r="I18" s="178"/>
      <x:c r="J18" s="178"/>
      <x:c r="K18" s="178" t="n">
        <x:f>DATA_STOCK!D12</x:f>
        <x:v>3784195.42</x:v>
      </x:c>
      <x:c r="L18" s="178"/>
      <x:c r="M18" s="178"/>
      <x:c r="N18" s="180" t="n">
        <x:f>IFERROR(K18/H18-1,0)</x:f>
        <x:v>-0.5570654026419815</x:v>
      </x:c>
      <x:c r="O18" s="180"/>
      <x:c r="P18" s="180"/>
      <x:c r="Q18" s="180"/>
    </x:row>
    <x:row r="19" ht="20" customHeight="1">
      <x:c r="C19" s="169" t="str">
        <x:v>Denmark</x:v>
      </x:c>
      <x:c r="D19" s="169"/>
      <x:c r="E19" s="169"/>
      <x:c r="F19" s="169"/>
      <x:c r="G19" s="169"/>
      <x:c r="H19" s="109" t="n">
        <x:f>DATA_STOCK!C13</x:f>
        <x:v>3203.2179</x:v>
      </x:c>
      <x:c r="I19" s="109"/>
      <x:c r="J19" s="109"/>
      <x:c r="K19" s="109" t="n">
        <x:f>DATA_STOCK!D13</x:f>
        <x:v>24388.7401</x:v>
      </x:c>
      <x:c r="L19" s="109"/>
      <x:c r="M19" s="109"/>
      <x:c r="N19" s="113" t="n">
        <x:f>IFERROR(K19/H19-1,0)</x:f>
        <x:v>6.613824866550601</x:v>
      </x:c>
      <x:c r="O19" s="113"/>
      <x:c r="P19" s="113"/>
      <x:c r="Q19" s="113"/>
    </x:row>
    <x:row r="20" ht="20" customHeight="1">
      <x:c r="C20" s="175" t="str">
        <x:v>Norway</x:v>
      </x:c>
      <x:c r="D20" s="175"/>
      <x:c r="E20" s="175"/>
      <x:c r="F20" s="175"/>
      <x:c r="G20" s="175"/>
      <x:c r="H20" s="178" t="n">
        <x:f>DATA_STOCK!C14</x:f>
        <x:v>13198.213</x:v>
      </x:c>
      <x:c r="I20" s="178"/>
      <x:c r="J20" s="178"/>
      <x:c r="K20" s="178" t="n">
        <x:f>DATA_STOCK!D14</x:f>
        <x:v>10807.6386</x:v>
      </x:c>
      <x:c r="L20" s="178"/>
      <x:c r="M20" s="178"/>
      <x:c r="N20" s="180" t="n">
        <x:f>IFERROR(K20/H20-1,0)</x:f>
        <x:v>-0.18112864218815072</x:v>
      </x:c>
      <x:c r="O20" s="180"/>
      <x:c r="P20" s="180"/>
      <x:c r="Q20" s="180"/>
    </x:row>
    <x:row r="21" ht="20" customHeight="1">
      <x:c r="C21" s="169" t="str">
        <x:v>Sweden</x:v>
      </x:c>
      <x:c r="D21" s="169"/>
      <x:c r="E21" s="169"/>
      <x:c r="F21" s="169"/>
      <x:c r="G21" s="169"/>
      <x:c r="H21" s="109" t="n">
        <x:f>DATA_STOCK!C15</x:f>
        <x:v>15478.6603</x:v>
      </x:c>
      <x:c r="I21" s="109"/>
      <x:c r="J21" s="109"/>
      <x:c r="K21" s="109" t="n">
        <x:f>DATA_STOCK!D15</x:f>
        <x:v>14140.069</x:v>
      </x:c>
      <x:c r="L21" s="109"/>
      <x:c r="M21" s="109"/>
      <x:c r="N21" s="113" t="n">
        <x:f>IFERROR(K21/H21-1,0)</x:f>
        <x:v>-0.08647979050228272</x:v>
      </x:c>
      <x:c r="O21" s="113"/>
      <x:c r="P21" s="113"/>
      <x:c r="Q21" s="113"/>
    </x:row>
    <x:row r="22" ht="20" customHeight="1">
      <x:c r="C22" s="118" t="str">
        <x:v>TOTAL</x:v>
      </x:c>
      <x:c r="D22" s="118"/>
      <x:c r="E22" s="118"/>
      <x:c r="F22" s="118"/>
      <x:c r="G22" s="118"/>
      <x:c r="H22" s="122" t="n">
        <x:f>SUM(H9:H21)</x:f>
        <x:v>27548125.0821</x:v>
      </x:c>
      <x:c r="I22" s="122"/>
      <x:c r="J22" s="122"/>
      <x:c r="K22" s="122" t="n">
        <x:f>SUM(K9:K21)</x:f>
        <x:v>20968347.809899997</x:v>
      </x:c>
      <x:c r="L22" s="122"/>
      <x:c r="M22" s="122"/>
      <x:c r="N22" s="123" t="n">
        <x:f>IFERROR(K22/H22-1,0)</x:f>
        <x:v>-0.23884664573689474</x:v>
      </x:c>
      <x:c r="O22" s="123"/>
      <x:c r="P22" s="123"/>
      <x:c r="Q22" s="123"/>
    </x:row>
    <x:row r="23" ht="20" customHeight="1"/>
    <x:row r="24" ht="20" customHeight="1"/>
    <x:row r="25" ht="20" customHeight="1"/>
    <x:row r="26" ht="20" customHeight="1"/>
    <x:row r="27" ht="20" customHeight="1">
      <x:c r="C27" s="135" t="str">
        <x:v>Core stock is composed of 8 presentation groups / 9 contributing countries. Non-core stock comprises Romania, Brazil, Denmark, Norway and Sweden.</x:v>
      </x:c>
      <x:c r="D27" s="135"/>
      <x:c r="E27" s="135"/>
      <x:c r="F27" s="135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</x:row>
    <x:row r="28" ht="20" customHeight="1">
      <x:c r="C28" s="135"/>
      <x:c r="D28" s="135"/>
      <x:c r="E28" s="135"/>
      <x:c r="F28" s="135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</x:row>
    <x:row r="29" ht="20" customHeight="1"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</x:row>
    <x:row r="30" ht="20" customHeight="1"/>
    <x:row r="31" ht="20" customHeight="1">
      <x:c r="C31" s="135" t="str">
        <x:v>The same Q2 source snapshot supplies all country pages. The report reproduces the layout of your screenshot examples; incorrect Italy values are replaced.</x:v>
      </x:c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</x:row>
    <x:row r="32" ht="20" customHeight="1"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</x:row>
    <x:row r="33" ht="20" customHeight="1"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</x:row>
    <x:row r="34" ht="20" customHeight="1"/>
    <x:row r="35" ht="20" customHeight="1">
      <x:c r="C35" s="135" t="str">
        <x:v>Quarter-to-quarter movements use Q1 and Q2 stock snapshots from the historical store. See VALIDATION before external circulation.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</x:row>
    <x:row r="37" ht="20" customHeight="1"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</x:row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  <x:row r="47">
      <x:c r="A47" t="str">
        <x:v>Category</x:v>
      </x:c>
      <x:c r="B47" t="str">
        <x:v>Q1</x:v>
      </x:c>
      <x:c r="C47" t="str">
        <x:v>Q2</x:v>
      </x:c>
    </x:row>
    <x:row r="48">
      <x:c r="A48" t="str">
        <x:v>Core</x:v>
      </x:c>
      <x:c r="B48" t="n">
        <x:v>18919056.4176</x:v>
      </x:c>
      <x:c r="C48" t="n">
        <x:v>17085928.4236</x:v>
      </x:c>
    </x:row>
    <x:row r="49">
      <x:c r="A49" t="str">
        <x:v>Non-core</x:v>
      </x:c>
      <x:c r="B49" t="n">
        <x:v>8629068.6645</x:v>
      </x:c>
      <x:c r="C49" t="n">
        <x:v>3882419.3863</x:v>
      </x:c>
    </x:row>
  </x:sheetData>
  <x:mergeCells>
    <x:mergeCell ref="C2:U4"/>
    <x:mergeCell ref="C42:O42"/>
    <x:mergeCell ref="P42:AE42"/>
    <x:mergeCell ref="C8:G8"/>
    <x:mergeCell ref="H8:J8"/>
    <x:mergeCell ref="K8:M8"/>
    <x:mergeCell ref="N8:Q8"/>
    <x:mergeCell ref="C9:G9"/>
    <x:mergeCell ref="C10:G10"/>
    <x:mergeCell ref="C11:G11"/>
    <x:mergeCell ref="C12:G12"/>
    <x:mergeCell ref="C13:G13"/>
    <x:mergeCell ref="C14:G14"/>
    <x:mergeCell ref="C15:G15"/>
    <x:mergeCell ref="C16:G16"/>
    <x:mergeCell ref="C17:G17"/>
    <x:mergeCell ref="C18:G18"/>
    <x:mergeCell ref="C19:G19"/>
    <x:mergeCell ref="C20:G20"/>
    <x:mergeCell ref="C21:G21"/>
    <x:mergeCell ref="C22:G22"/>
    <x:mergeCell ref="C27:Q29"/>
    <x:mergeCell ref="C31:Q33"/>
    <x:mergeCell ref="C35:Q37"/>
    <x:mergeCell ref="H9:J9"/>
    <x:mergeCell ref="K9:M9"/>
    <x:mergeCell ref="N9:Q9"/>
    <x:mergeCell ref="H10:J10"/>
    <x:mergeCell ref="K10:M10"/>
    <x:mergeCell ref="N10:Q10"/>
    <x:mergeCell ref="H11:J11"/>
    <x:mergeCell ref="K11:M11"/>
    <x:mergeCell ref="N11:Q11"/>
    <x:mergeCell ref="H12:J12"/>
    <x:mergeCell ref="K12:M12"/>
    <x:mergeCell ref="N12:Q12"/>
    <x:mergeCell ref="H13:J13"/>
    <x:mergeCell ref="K13:M13"/>
    <x:mergeCell ref="N13:Q13"/>
    <x:mergeCell ref="H14:J14"/>
    <x:mergeCell ref="K14:M14"/>
    <x:mergeCell ref="N14:Q14"/>
    <x:mergeCell ref="H15:J15"/>
    <x:mergeCell ref="K15:M15"/>
    <x:mergeCell ref="N15:Q15"/>
    <x:mergeCell ref="H16:J16"/>
    <x:mergeCell ref="K16:M16"/>
    <x:mergeCell ref="N16:Q16"/>
    <x:mergeCell ref="H17:J17"/>
    <x:mergeCell ref="K17:M17"/>
    <x:mergeCell ref="N17:Q17"/>
    <x:mergeCell ref="H18:J18"/>
    <x:mergeCell ref="K18:M18"/>
    <x:mergeCell ref="N18:Q18"/>
    <x:mergeCell ref="H19:J19"/>
    <x:mergeCell ref="K19:M19"/>
    <x:mergeCell ref="N19:Q19"/>
    <x:mergeCell ref="H20:J20"/>
    <x:mergeCell ref="K20:M20"/>
    <x:mergeCell ref="N20:Q20"/>
    <x:mergeCell ref="H21:J21"/>
    <x:mergeCell ref="K21:M21"/>
    <x:mergeCell ref="N21:Q21"/>
    <x:mergeCell ref="H22:J22"/>
    <x:mergeCell ref="K22:M22"/>
    <x:mergeCell ref="N22:Q22"/>
  </x:mergeCells>
  <x:pageMargins left="0.7" right="0.7" top="0.75" bottom="0.75" header="0.3" footer="0.3"/>
  <x:drawing xmlns:r="http://schemas.openxmlformats.org/officeDocument/2006/relationships" r:id="Rda0c1fcafaa44e1c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CORE COUNTRIES  •  STOCK ANALYSIS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/>
    <x:row r="6" ht="20" customHeight="1"/>
    <x:row r="7" ht="20" customHeight="1"/>
    <x:row r="8" ht="23" customHeight="1">
      <x:c r="C8" s="53" t="str">
        <x:v>COUNTRIES</x:v>
      </x:c>
      <x:c r="D8" s="53"/>
      <x:c r="E8" s="53"/>
      <x:c r="F8" s="53"/>
      <x:c r="G8" s="53"/>
      <x:c r="H8" s="53" t="str">
        <x:v>2026 Q1</x:v>
      </x:c>
      <x:c r="I8" s="53"/>
      <x:c r="J8" s="53"/>
      <x:c r="K8" s="53" t="str">
        <x:v>2026 Q2</x:v>
      </x:c>
      <x:c r="L8" s="53"/>
      <x:c r="M8" s="53"/>
      <x:c r="N8" s="53" t="str">
        <x:v>EVOLUTION</x:v>
      </x:c>
      <x:c r="O8" s="53"/>
      <x:c r="P8" s="53"/>
      <x:c r="Q8" s="53"/>
    </x:row>
    <x:row r="9" ht="20" customHeight="1">
      <x:c r="C9" s="169" t="str">
        <x:v>Spain</x:v>
      </x:c>
      <x:c r="D9" s="169"/>
      <x:c r="E9" s="169"/>
      <x:c r="F9" s="169"/>
      <x:c r="G9" s="169"/>
      <x:c r="H9" s="109" t="n">
        <x:f>DATA_STOCK!C2</x:f>
        <x:v>2166528.21</x:v>
      </x:c>
      <x:c r="I9" s="109"/>
      <x:c r="J9" s="109"/>
      <x:c r="K9" s="109" t="n">
        <x:f>DATA_STOCK!D2</x:f>
        <x:v>1787811.8</x:v>
      </x:c>
      <x:c r="L9" s="109"/>
      <x:c r="M9" s="109"/>
      <x:c r="N9" s="113" t="n">
        <x:f>IFERROR(K9/H9-1,0)</x:f>
        <x:v>-0.17480335970331073</x:v>
      </x:c>
      <x:c r="O9" s="113"/>
      <x:c r="P9" s="113"/>
      <x:c r="Q9" s="113"/>
    </x:row>
    <x:row r="10" ht="20" customHeight="1">
      <x:c r="C10" s="175" t="str">
        <x:v>Germany + Austria</x:v>
      </x:c>
      <x:c r="D10" s="175"/>
      <x:c r="E10" s="175"/>
      <x:c r="F10" s="175"/>
      <x:c r="G10" s="175"/>
      <x:c r="H10" s="178" t="n">
        <x:f>DATA_STOCK!C3+DATA_STOCK!C4</x:f>
        <x:v>4184532.71</x:v>
      </x:c>
      <x:c r="I10" s="178"/>
      <x:c r="J10" s="178"/>
      <x:c r="K10" s="178" t="n">
        <x:f>DATA_STOCK!D3+DATA_STOCK!D4</x:f>
        <x:v>3485465.47</x:v>
      </x:c>
      <x:c r="L10" s="178"/>
      <x:c r="M10" s="178"/>
      <x:c r="N10" s="180" t="n">
        <x:f>IFERROR(K10/H10-1,0)</x:f>
        <x:v>-0.16705981012632587</x:v>
      </x:c>
      <x:c r="O10" s="180"/>
      <x:c r="P10" s="180"/>
      <x:c r="Q10" s="180"/>
    </x:row>
    <x:row r="11" ht="20" customHeight="1">
      <x:c r="C11" s="169" t="str">
        <x:v>Belgium</x:v>
      </x:c>
      <x:c r="D11" s="169"/>
      <x:c r="E11" s="169"/>
      <x:c r="F11" s="169"/>
      <x:c r="G11" s="169"/>
      <x:c r="H11" s="109" t="n">
        <x:f>DATA_STOCK!C5</x:f>
        <x:v>237187</x:v>
      </x:c>
      <x:c r="I11" s="109"/>
      <x:c r="J11" s="109"/>
      <x:c r="K11" s="109" t="n">
        <x:f>DATA_STOCK!D5</x:f>
        <x:v>136664.22</x:v>
      </x:c>
      <x:c r="L11" s="109"/>
      <x:c r="M11" s="109"/>
      <x:c r="N11" s="113" t="n">
        <x:f>IFERROR(K11/H11-1,0)</x:f>
        <x:v>-0.4238123505925704</x:v>
      </x:c>
      <x:c r="O11" s="113"/>
      <x:c r="P11" s="113"/>
      <x:c r="Q11" s="113"/>
    </x:row>
    <x:row r="12" ht="20" customHeight="1">
      <x:c r="C12" s="175" t="str">
        <x:v>Italy</x:v>
      </x:c>
      <x:c r="D12" s="175"/>
      <x:c r="E12" s="175"/>
      <x:c r="F12" s="175"/>
      <x:c r="G12" s="175"/>
      <x:c r="H12" s="178" t="n">
        <x:f>DATA_STOCK!C6</x:f>
        <x:v>3049033.32</x:v>
      </x:c>
      <x:c r="I12" s="178"/>
      <x:c r="J12" s="178"/>
      <x:c r="K12" s="178" t="n">
        <x:f>DATA_STOCK!D6</x:f>
        <x:v>3023244.63</x:v>
      </x:c>
      <x:c r="L12" s="178"/>
      <x:c r="M12" s="178"/>
      <x:c r="N12" s="180" t="n">
        <x:f>IFERROR(K12/H12-1,0)</x:f>
        <x:v>-0.00845798890777616</x:v>
      </x:c>
      <x:c r="O12" s="180"/>
      <x:c r="P12" s="180"/>
      <x:c r="Q12" s="180"/>
    </x:row>
    <x:row r="13" ht="20" customHeight="1">
      <x:c r="C13" s="169" t="str">
        <x:v>Portugal</x:v>
      </x:c>
      <x:c r="D13" s="169"/>
      <x:c r="E13" s="169"/>
      <x:c r="F13" s="169"/>
      <x:c r="G13" s="169"/>
      <x:c r="H13" s="109" t="n">
        <x:f>DATA_STOCK!C7</x:f>
        <x:v>544257.88</x:v>
      </x:c>
      <x:c r="I13" s="109"/>
      <x:c r="J13" s="109"/>
      <x:c r="K13" s="109" t="n">
        <x:f>DATA_STOCK!D7</x:f>
        <x:v>593413</x:v>
      </x:c>
      <x:c r="L13" s="109"/>
      <x:c r="M13" s="109"/>
      <x:c r="N13" s="113" t="n">
        <x:f>IFERROR(K13/H13-1,0)</x:f>
        <x:v>0.09031586276711323</x:v>
      </x:c>
      <x:c r="O13" s="113"/>
      <x:c r="P13" s="113"/>
      <x:c r="Q13" s="113"/>
    </x:row>
    <x:row r="14" ht="20" customHeight="1">
      <x:c r="C14" s="175" t="str">
        <x:v>France</x:v>
      </x:c>
      <x:c r="D14" s="175"/>
      <x:c r="E14" s="175"/>
      <x:c r="F14" s="175"/>
      <x:c r="G14" s="175"/>
      <x:c r="H14" s="178" t="n">
        <x:f>DATA_STOCK!C8</x:f>
        <x:v>3908020.9</x:v>
      </x:c>
      <x:c r="I14" s="178"/>
      <x:c r="J14" s="178"/>
      <x:c r="K14" s="178" t="n">
        <x:f>DATA_STOCK!D8</x:f>
        <x:v>3317586.72</x:v>
      </x:c>
      <x:c r="L14" s="178"/>
      <x:c r="M14" s="178"/>
      <x:c r="N14" s="180" t="n">
        <x:f>IFERROR(K14/H14-1,0)</x:f>
        <x:v>-0.15108265669715326</x:v>
      </x:c>
      <x:c r="O14" s="180"/>
      <x:c r="P14" s="180"/>
      <x:c r="Q14" s="180"/>
    </x:row>
    <x:row r="15" ht="20" customHeight="1">
      <x:c r="C15" s="169" t="str">
        <x:v>UK</x:v>
      </x:c>
      <x:c r="D15" s="169"/>
      <x:c r="E15" s="169"/>
      <x:c r="F15" s="169"/>
      <x:c r="G15" s="169"/>
      <x:c r="H15" s="109" t="n">
        <x:f>DATA_STOCK!C9</x:f>
        <x:v>2874735.6081</x:v>
      </x:c>
      <x:c r="I15" s="109"/>
      <x:c r="J15" s="109"/>
      <x:c r="K15" s="109" t="n">
        <x:f>DATA_STOCK!D9</x:f>
        <x:v>2836661.6548</x:v>
      </x:c>
      <x:c r="L15" s="109"/>
      <x:c r="M15" s="109"/>
      <x:c r="N15" s="113" t="n">
        <x:f>IFERROR(K15/H15-1,0)</x:f>
        <x:v>-0.013244332171877149</x:v>
      </x:c>
      <x:c r="O15" s="113"/>
      <x:c r="P15" s="113"/>
      <x:c r="Q15" s="113"/>
    </x:row>
    <x:row r="16" ht="20" customHeight="1">
      <x:c r="C16" s="175" t="str">
        <x:v>South Africa</x:v>
      </x:c>
      <x:c r="D16" s="175"/>
      <x:c r="E16" s="175"/>
      <x:c r="F16" s="175"/>
      <x:c r="G16" s="175"/>
      <x:c r="H16" s="178" t="n">
        <x:f>DATA_STOCK!C10</x:f>
        <x:v>1954760.7895</x:v>
      </x:c>
      <x:c r="I16" s="178"/>
      <x:c r="J16" s="178"/>
      <x:c r="K16" s="178" t="n">
        <x:f>DATA_STOCK!D10</x:f>
        <x:v>1905080.9288</x:v>
      </x:c>
      <x:c r="L16" s="178"/>
      <x:c r="M16" s="178"/>
      <x:c r="N16" s="180" t="n">
        <x:f>IFERROR(K16/H16-1,0)</x:f>
        <x:v>-0.02541480316510092</x:v>
      </x:c>
      <x:c r="O16" s="180"/>
      <x:c r="P16" s="180"/>
      <x:c r="Q16" s="180"/>
    </x:row>
    <x:row r="17" ht="20" customHeight="1">
      <x:c r="C17" s="118" t="str">
        <x:v>TOTAL</x:v>
      </x:c>
      <x:c r="D17" s="118"/>
      <x:c r="E17" s="118"/>
      <x:c r="F17" s="118"/>
      <x:c r="G17" s="118"/>
      <x:c r="H17" s="122" t="n">
        <x:f>SUM(H9:H16)</x:f>
        <x:v>18919056.4176</x:v>
      </x:c>
      <x:c r="I17" s="122"/>
      <x:c r="J17" s="122"/>
      <x:c r="K17" s="122" t="n">
        <x:f>SUM(K9:K16)</x:f>
        <x:v>17085928.423600003</x:v>
      </x:c>
      <x:c r="L17" s="122"/>
      <x:c r="M17" s="122"/>
      <x:c r="N17" s="123" t="n">
        <x:f>IFERROR(K17/H17-1,0)</x:f>
        <x:v>-0.09689320405507518</x:v>
      </x:c>
      <x:c r="O17" s="123"/>
      <x:c r="P17" s="123"/>
      <x:c r="Q17" s="123"/>
    </x:row>
    <x:row r="18" ht="20" customHeight="1"/>
    <x:row r="19" ht="20" customHeight="1"/>
    <x:row r="20" ht="20" customHeight="1"/>
    <x:row r="21" ht="20" customHeight="1"/>
    <x:row r="22" ht="20" customHeight="1"/>
    <x:row r="23" ht="20" customHeight="1">
      <x:c r="C23" s="135" t="str">
        <x:v>Stock definition: pending balances + processed amounts without refund where the country classification requires it.</x:v>
      </x:c>
      <x:c r="D23" s="135"/>
      <x:c r="E23" s="135"/>
      <x:c r="F23" s="135"/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</x:row>
    <x:row r="24" ht="20" customHeight="1">
      <x:c r="C24" s="135"/>
      <x:c r="D24" s="135"/>
      <x:c r="E24" s="135"/>
      <x:c r="F24" s="135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</x:row>
    <x:row r="25" ht="20" customHeight="1">
      <x:c r="C25" s="135"/>
      <x:c r="D25" s="135"/>
      <x:c r="E25" s="135"/>
      <x:c r="F25" s="135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</x:row>
    <x:row r="26" ht="20" customHeight="1"/>
    <x:row r="27" ht="20" customHeight="1">
      <x:c r="C27" s="135" t="str">
        <x:v>Q1 and Q2 stock comparisons come from DATA_STOCK and the historical Q2 snapshots. Germany and Austria are combined without double counting.</x:v>
      </x:c>
      <x:c r="D27" s="135"/>
      <x:c r="E27" s="135"/>
      <x:c r="F27" s="135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</x:row>
    <x:row r="28" ht="20" customHeight="1">
      <x:c r="C28" s="135"/>
      <x:c r="D28" s="135"/>
      <x:c r="E28" s="135"/>
      <x:c r="F28" s="135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</x:row>
    <x:row r="29" ht="20" customHeight="1"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</x:row>
    <x:row r="30" ht="20" customHeight="1"/>
    <x:row r="31" ht="20" customHeight="1">
      <x:c r="C31" s="135" t="str">
        <x:v>Core stock includes South Africa. Vintage charts use stock amounts in EUR, not current-month flows.</x:v>
      </x:c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</x:row>
    <x:row r="32" ht="20" customHeight="1"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</x:row>
    <x:row r="33" ht="20" customHeight="1"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</x:row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  <x:row r="47">
      <x:c r="A47" t="str">
        <x:v>Category</x:v>
      </x:c>
      <x:c r="B47" t="str">
        <x:v>Before 2025</x:v>
      </x:c>
      <x:c r="C47" t="str">
        <x:v>2025</x:v>
      </x:c>
      <x:c r="D47" t="str">
        <x:v>2026</x:v>
      </x:c>
    </x:row>
    <x:row r="48">
      <x:c r="A48" t="str">
        <x:v>Spain</x:v>
      </x:c>
      <x:c r="B48" t="n">
        <x:v>359833.84</x:v>
      </x:c>
      <x:c r="C48" t="n">
        <x:v>69303.28</x:v>
      </x:c>
      <x:c r="D48" t="n">
        <x:v>1358674.68</x:v>
      </x:c>
    </x:row>
    <x:row r="49">
      <x:c r="A49" t="str">
        <x:v>Germany + Austria</x:v>
      </x:c>
      <x:c r="B49" t="n">
        <x:v>939292.2999999999</x:v>
      </x:c>
      <x:c r="C49" t="n">
        <x:v>553977.95</x:v>
      </x:c>
      <x:c r="D49" t="n">
        <x:v>1992195.22</x:v>
      </x:c>
    </x:row>
    <x:row r="50">
      <x:c r="A50" t="str">
        <x:v>Belgium</x:v>
      </x:c>
      <x:c r="B50" t="n">
        <x:v>22815.25</x:v>
      </x:c>
      <x:c r="C50" t="n">
        <x:v>1688.47</x:v>
      </x:c>
      <x:c r="D50" t="n">
        <x:v>112160.5</x:v>
      </x:c>
    </x:row>
    <x:row r="51">
      <x:c r="A51" t="str">
        <x:v>Italy</x:v>
      </x:c>
      <x:c r="B51" t="n">
        <x:v>1748293.45</x:v>
      </x:c>
      <x:c r="C51" t="n">
        <x:v>360502.48</x:v>
      </x:c>
      <x:c r="D51" t="n">
        <x:v>914448.7</x:v>
      </x:c>
    </x:row>
    <x:row r="52">
      <x:c r="A52" t="str">
        <x:v>Portugal</x:v>
      </x:c>
      <x:c r="B52" t="n">
        <x:v>9595.18</x:v>
      </x:c>
      <x:c r="C52" t="n">
        <x:v>106201.13</x:v>
      </x:c>
      <x:c r="D52" t="n">
        <x:v>477616.69</x:v>
      </x:c>
    </x:row>
    <x:row r="53">
      <x:c r="A53" t="str">
        <x:v>France</x:v>
      </x:c>
      <x:c r="B53" t="n">
        <x:v>81346.53</x:v>
      </x:c>
      <x:c r="C53" t="n">
        <x:v>267460.69</x:v>
      </x:c>
      <x:c r="D53" t="n">
        <x:v>2968779.5</x:v>
      </x:c>
    </x:row>
    <x:row r="54">
      <x:c r="A54" t="str">
        <x:v>UK</x:v>
      </x:c>
      <x:c r="B54" t="n">
        <x:v>1735254.079</x:v>
      </x:c>
      <x:c r="C54" t="n">
        <x:v>727107.5663</x:v>
      </x:c>
      <x:c r="D54" t="n">
        <x:v>374300.0095</x:v>
      </x:c>
    </x:row>
    <x:row r="55">
      <x:c r="A55" t="str">
        <x:v>South Africa</x:v>
      </x:c>
      <x:c r="B55" t="n">
        <x:v>870959.9422</x:v>
      </x:c>
      <x:c r="C55" t="n">
        <x:v>390377.843</x:v>
      </x:c>
      <x:c r="D55" t="n">
        <x:v>643743.1436</x:v>
      </x:c>
    </x:row>
    <x:row r="63">
      <x:c r="A63" t="str">
        <x:v>Category</x:v>
      </x:c>
      <x:c r="B63" t="str">
        <x:v>Reporting stock EUR</x:v>
      </x:c>
    </x:row>
    <x:row r="64">
      <x:c r="A64" t="str">
        <x:v>Spain</x:v>
      </x:c>
      <x:c r="B64" t="n">
        <x:v>1787811.8</x:v>
      </x:c>
    </x:row>
    <x:row r="65">
      <x:c r="A65" t="str">
        <x:v>Germany + Austria</x:v>
      </x:c>
      <x:c r="B65" t="n">
        <x:v>3485465.47</x:v>
      </x:c>
    </x:row>
    <x:row r="66">
      <x:c r="A66" t="str">
        <x:v>Belgium</x:v>
      </x:c>
      <x:c r="B66" t="n">
        <x:v>136664.22</x:v>
      </x:c>
    </x:row>
    <x:row r="67">
      <x:c r="A67" t="str">
        <x:v>Italy</x:v>
      </x:c>
      <x:c r="B67" t="n">
        <x:v>3023244.63</x:v>
      </x:c>
    </x:row>
    <x:row r="68">
      <x:c r="A68" t="str">
        <x:v>Portugal</x:v>
      </x:c>
      <x:c r="B68" t="n">
        <x:v>593413</x:v>
      </x:c>
    </x:row>
    <x:row r="69">
      <x:c r="A69" t="str">
        <x:v>France</x:v>
      </x:c>
      <x:c r="B69" t="n">
        <x:v>3317586.72</x:v>
      </x:c>
    </x:row>
    <x:row r="70">
      <x:c r="A70" t="str">
        <x:v>UK</x:v>
      </x:c>
      <x:c r="B70" t="n">
        <x:v>2836661.6548</x:v>
      </x:c>
    </x:row>
    <x:row r="71">
      <x:c r="A71" t="str">
        <x:v>South Africa</x:v>
      </x:c>
      <x:c r="B71" t="n">
        <x:v>1905080.9288</x:v>
      </x:c>
    </x:row>
  </x:sheetData>
  <x:mergeCells>
    <x:mergeCell ref="C2:U4"/>
    <x:mergeCell ref="C42:O42"/>
    <x:mergeCell ref="P42:AE42"/>
    <x:mergeCell ref="C8:G8"/>
    <x:mergeCell ref="H8:J8"/>
    <x:mergeCell ref="K8:M8"/>
    <x:mergeCell ref="N8:Q8"/>
    <x:mergeCell ref="C9:G9"/>
    <x:mergeCell ref="C10:G10"/>
    <x:mergeCell ref="C11:G11"/>
    <x:mergeCell ref="C12:G12"/>
    <x:mergeCell ref="C13:G13"/>
    <x:mergeCell ref="C14:G14"/>
    <x:mergeCell ref="C15:G15"/>
    <x:mergeCell ref="C16:G16"/>
    <x:mergeCell ref="C17:G17"/>
    <x:mergeCell ref="C23:Q25"/>
    <x:mergeCell ref="C27:Q29"/>
    <x:mergeCell ref="C31:Q33"/>
    <x:mergeCell ref="H9:J9"/>
    <x:mergeCell ref="K9:M9"/>
    <x:mergeCell ref="N9:Q9"/>
    <x:mergeCell ref="H10:J10"/>
    <x:mergeCell ref="K10:M10"/>
    <x:mergeCell ref="N10:Q10"/>
    <x:mergeCell ref="H11:J11"/>
    <x:mergeCell ref="K11:M11"/>
    <x:mergeCell ref="N11:Q11"/>
    <x:mergeCell ref="H12:J12"/>
    <x:mergeCell ref="K12:M12"/>
    <x:mergeCell ref="N12:Q12"/>
    <x:mergeCell ref="H13:J13"/>
    <x:mergeCell ref="K13:M13"/>
    <x:mergeCell ref="N13:Q13"/>
    <x:mergeCell ref="H14:J14"/>
    <x:mergeCell ref="K14:M14"/>
    <x:mergeCell ref="N14:Q14"/>
    <x:mergeCell ref="H15:J15"/>
    <x:mergeCell ref="K15:M15"/>
    <x:mergeCell ref="N15:Q15"/>
    <x:mergeCell ref="H16:J16"/>
    <x:mergeCell ref="K16:M16"/>
    <x:mergeCell ref="N16:Q16"/>
    <x:mergeCell ref="H17:J17"/>
    <x:mergeCell ref="K17:M17"/>
    <x:mergeCell ref="N17:Q17"/>
  </x:mergeCells>
  <x:pageMargins left="0.7" right="0.7" top="0.75" bottom="0.75" header="0.3" footer="0.3"/>
  <x:drawing xmlns:r="http://schemas.openxmlformats.org/officeDocument/2006/relationships" r:id="Rd6e6536e52434a4e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CORE COUNTRIES  •  MONTHLY INFLOW &amp; TREATMENT EFFICIENCY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>
      <x:c r="C5" s="183" t="str">
        <x:v>Average monthly inflow in €   •   January–June 2026</x:v>
      </x:c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  <x:c r="O5" s="183"/>
      <x:c r="P5" s="183"/>
      <x:c r="Q5" s="183"/>
    </x:row>
    <x:row r="6" ht="20" customHeight="1">
      <x:c r="C6" s="183"/>
      <x:c r="D6" s="183"/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  <x:c r="O6" s="183"/>
      <x:c r="P6" s="183"/>
      <x:c r="Q6" s="183"/>
    </x:row>
    <x:row r="7" ht="23" customHeight="1">
      <x:c r="R7" s="53" t="str">
        <x:v>COUNTRY / GROUP</x:v>
      </x:c>
      <x:c r="S7" s="53"/>
      <x:c r="T7" s="53"/>
      <x:c r="U7" s="53"/>
      <x:c r="V7" s="53"/>
      <x:c r="W7" s="53"/>
      <x:c r="X7" s="53" t="str">
        <x:v>MONTHLY AVG (€)</x:v>
      </x:c>
      <x:c r="Y7" s="53"/>
      <x:c r="Z7" s="53"/>
      <x:c r="AA7" s="53"/>
      <x:c r="AB7" s="53" t="str">
        <x:v>EFF AMT</x:v>
      </x:c>
      <x:c r="AC7" s="53"/>
      <x:c r="AD7" s="53" t="str">
        <x:v>EFF NB</x:v>
      </x:c>
      <x:c r="AE7" s="53"/>
    </x:row>
    <x:row r="8" ht="20" customHeight="1">
      <x:c r="R8" s="189" t="str">
        <x:v>Spain</x:v>
      </x:c>
      <x:c r="S8" s="189"/>
      <x:c r="T8" s="189"/>
      <x:c r="U8" s="189"/>
      <x:c r="V8" s="189"/>
      <x:c r="W8" s="189"/>
      <x:c r="X8" s="192" t="n">
        <x:f>(DATA_CORE_FLOW!C2+DATA_CORE_FLOW!C3+DATA_CORE_FLOW!C4+DATA_CORE_FLOW!C5+DATA_CORE_FLOW!C6+DATA_CORE_FLOW!C7)/6</x:f>
        <x:v>3437460.021666666</x:v>
      </x:c>
      <x:c r="Y8" s="192"/>
      <x:c r="Z8" s="192"/>
      <x:c r="AA8" s="192"/>
      <x:c r="AB8" s="194" t="n">
        <x:f>DATA_EFFICIENCY!C2</x:f>
        <x:v>0.9931644289</x:v>
      </x:c>
      <x:c r="AC8" s="194"/>
      <x:c r="AD8" s="194" t="n">
        <x:f>DATA_EFFICIENCY!E2</x:f>
        <x:v>0.9894054396</x:v>
      </x:c>
      <x:c r="AE8" s="194"/>
    </x:row>
    <x:row r="9" ht="20" customHeight="1">
      <x:c r="R9" s="169" t="str">
        <x:v>Germany + Austria</x:v>
      </x:c>
      <x:c r="S9" s="169"/>
      <x:c r="T9" s="169"/>
      <x:c r="U9" s="169"/>
      <x:c r="V9" s="169"/>
      <x:c r="W9" s="169"/>
      <x:c r="X9" s="109" t="n">
        <x:f>(DATA_CORE_FLOW!C8+DATA_CORE_FLOW!C9+DATA_CORE_FLOW!C10+DATA_CORE_FLOW!C11+DATA_CORE_FLOW!C12+DATA_CORE_FLOW!C13)/6</x:f>
        <x:v>837691.8833333334</x:v>
      </x:c>
      <x:c r="Y9" s="109"/>
      <x:c r="Z9" s="109"/>
      <x:c r="AA9" s="109"/>
      <x:c r="AB9" s="113" t="n">
        <x:f>DATA_EFFICIENCY!C3</x:f>
        <x:v>0.7104570132</x:v>
      </x:c>
      <x:c r="AC9" s="113"/>
      <x:c r="AD9" s="113" t="n">
        <x:f>DATA_EFFICIENCY!E3</x:f>
        <x:v>0.5989641973</x:v>
      </x:c>
      <x:c r="AE9" s="113"/>
    </x:row>
    <x:row r="10" ht="20" customHeight="1">
      <x:c r="R10" s="189" t="str">
        <x:v>Belgium</x:v>
      </x:c>
      <x:c r="S10" s="189"/>
      <x:c r="T10" s="189"/>
      <x:c r="U10" s="189"/>
      <x:c r="V10" s="189"/>
      <x:c r="W10" s="189"/>
      <x:c r="X10" s="192" t="n">
        <x:f>(DATA_CORE_FLOW!C14+DATA_CORE_FLOW!C15+DATA_CORE_FLOW!C16+DATA_CORE_FLOW!C17+DATA_CORE_FLOW!C18+DATA_CORE_FLOW!C19)/6</x:f>
        <x:v>108240.57333333335</x:v>
      </x:c>
      <x:c r="Y10" s="192"/>
      <x:c r="Z10" s="192"/>
      <x:c r="AA10" s="192"/>
      <x:c r="AB10" s="194" t="n">
        <x:f>DATA_EFFICIENCY!C4</x:f>
        <x:v>1</x:v>
      </x:c>
      <x:c r="AC10" s="194"/>
      <x:c r="AD10" s="194" t="n">
        <x:f>DATA_EFFICIENCY!E4</x:f>
        <x:v>1</x:v>
      </x:c>
      <x:c r="AE10" s="194"/>
    </x:row>
    <x:row r="11" ht="20" customHeight="1">
      <x:c r="R11" s="169" t="str">
        <x:v>Italy</x:v>
      </x:c>
      <x:c r="S11" s="169"/>
      <x:c r="T11" s="169"/>
      <x:c r="U11" s="169"/>
      <x:c r="V11" s="169"/>
      <x:c r="W11" s="169"/>
      <x:c r="X11" s="109" t="n">
        <x:f>(DATA_CORE_FLOW!C20+DATA_CORE_FLOW!C21+DATA_CORE_FLOW!C22+DATA_CORE_FLOW!C23+DATA_CORE_FLOW!C24+DATA_CORE_FLOW!C25)/6</x:f>
        <x:v>1113086.6633333333</x:v>
      </x:c>
      <x:c r="Y11" s="109"/>
      <x:c r="Z11" s="109"/>
      <x:c r="AA11" s="109"/>
      <x:c r="AB11" s="113" t="n">
        <x:f>DATA_EFFICIENCY!C5</x:f>
        <x:v>0.9843784875</x:v>
      </x:c>
      <x:c r="AC11" s="113"/>
      <x:c r="AD11" s="113" t="n">
        <x:f>DATA_EFFICIENCY!E5</x:f>
        <x:v>0.9484958979</x:v>
      </x:c>
      <x:c r="AE11" s="113"/>
    </x:row>
    <x:row r="12" ht="20" customHeight="1">
      <x:c r="R12" s="189" t="str">
        <x:v>Portugal</x:v>
      </x:c>
      <x:c r="S12" s="189"/>
      <x:c r="T12" s="189"/>
      <x:c r="U12" s="189"/>
      <x:c r="V12" s="189"/>
      <x:c r="W12" s="189"/>
      <x:c r="X12" s="192" t="n">
        <x:f>(DATA_CORE_FLOW!C26+DATA_CORE_FLOW!C27+DATA_CORE_FLOW!C28+DATA_CORE_FLOW!C29+DATA_CORE_FLOW!C30+DATA_CORE_FLOW!C31)/6</x:f>
        <x:v>2379093.493333333</x:v>
      </x:c>
      <x:c r="Y12" s="192"/>
      <x:c r="Z12" s="192"/>
      <x:c r="AA12" s="192"/>
      <x:c r="AB12" s="194" t="n">
        <x:f>DATA_EFFICIENCY!C6</x:f>
        <x:v>0.9911540137</x:v>
      </x:c>
      <x:c r="AC12" s="194"/>
      <x:c r="AD12" s="194" t="n">
        <x:f>DATA_EFFICIENCY!E6</x:f>
        <x:v>0.607877719</x:v>
      </x:c>
      <x:c r="AE12" s="194"/>
    </x:row>
    <x:row r="13" ht="20" customHeight="1">
      <x:c r="R13" s="169" t="str">
        <x:v>France</x:v>
      </x:c>
      <x:c r="S13" s="169"/>
      <x:c r="T13" s="169"/>
      <x:c r="U13" s="169"/>
      <x:c r="V13" s="169"/>
      <x:c r="W13" s="169"/>
      <x:c r="X13" s="109" t="n">
        <x:f>(DATA_CORE_FLOW!C32+DATA_CORE_FLOW!C33+DATA_CORE_FLOW!C34+DATA_CORE_FLOW!C35+DATA_CORE_FLOW!C36+DATA_CORE_FLOW!C37)/6</x:f>
        <x:v>1696058.5933333335</x:v>
      </x:c>
      <x:c r="Y13" s="109"/>
      <x:c r="Z13" s="109"/>
      <x:c r="AA13" s="109"/>
      <x:c r="AB13" s="113" t="n">
        <x:f>DATA_EFFICIENCY!C7</x:f>
        <x:v>0.9777347598</x:v>
      </x:c>
      <x:c r="AC13" s="113"/>
      <x:c r="AD13" s="113" t="n">
        <x:f>DATA_EFFICIENCY!E7</x:f>
        <x:v>0.9403706688</x:v>
      </x:c>
      <x:c r="AE13" s="113"/>
    </x:row>
    <x:row r="14" ht="20" customHeight="1">
      <x:c r="R14" s="189" t="str">
        <x:v>UK</x:v>
      </x:c>
      <x:c r="S14" s="189"/>
      <x:c r="T14" s="189"/>
      <x:c r="U14" s="189"/>
      <x:c r="V14" s="189"/>
      <x:c r="W14" s="189"/>
      <x:c r="X14" s="192" t="n">
        <x:f>(DATA_CORE_FLOW!C38+DATA_CORE_FLOW!C39+DATA_CORE_FLOW!C40+DATA_CORE_FLOW!C41+DATA_CORE_FLOW!C42+DATA_CORE_FLOW!C43)/6</x:f>
        <x:v>155575.28819116668</x:v>
      </x:c>
      <x:c r="Y14" s="192"/>
      <x:c r="Z14" s="192"/>
      <x:c r="AA14" s="192"/>
      <x:c r="AB14" s="194" t="n">
        <x:f>DATA_EFFICIENCY!C8</x:f>
        <x:v>0.6732017151</x:v>
      </x:c>
      <x:c r="AC14" s="194"/>
      <x:c r="AD14" s="194" t="n">
        <x:f>DATA_EFFICIENCY!E8</x:f>
        <x:v>0.3012975256</x:v>
      </x:c>
      <x:c r="AE14" s="194"/>
    </x:row>
    <x:row r="15" ht="20" customHeight="1">
      <x:c r="R15" s="169" t="str">
        <x:v>South Africa</x:v>
      </x:c>
      <x:c r="S15" s="169"/>
      <x:c r="T15" s="169"/>
      <x:c r="U15" s="169"/>
      <x:c r="V15" s="169"/>
      <x:c r="W15" s="169"/>
      <x:c r="X15" s="109" t="n">
        <x:f>(DATA_CORE_FLOW!C44+DATA_CORE_FLOW!C45+DATA_CORE_FLOW!C46+DATA_CORE_FLOW!C47+DATA_CORE_FLOW!C48+DATA_CORE_FLOW!C49)/6</x:f>
        <x:v>195974.10590466668</x:v>
      </x:c>
      <x:c r="Y15" s="109"/>
      <x:c r="Z15" s="109"/>
      <x:c r="AA15" s="109"/>
      <x:c r="AB15" s="113" t="n">
        <x:f>DATA_EFFICIENCY!C9</x:f>
        <x:v>0.6493430482</x:v>
      </x:c>
      <x:c r="AC15" s="113"/>
      <x:c r="AD15" s="113" t="n">
        <x:f>DATA_EFFICIENCY!E9</x:f>
        <x:v>0.8549981234</x:v>
      </x:c>
      <x:c r="AE15" s="113"/>
    </x:row>
    <x:row r="16" ht="20" customHeight="1">
      <x:c r="R16" s="197" t="str">
        <x:v>TOTAL (EXCL. SOUTH AFRICA)</x:v>
      </x:c>
      <x:c r="S16" s="197"/>
      <x:c r="T16" s="197"/>
      <x:c r="U16" s="197"/>
      <x:c r="V16" s="197"/>
      <x:c r="W16" s="197"/>
      <x:c r="X16" s="122" t="n">
        <x:f>SUM(X8:X14)</x:f>
        <x:v>9727206.516524497</x:v>
      </x:c>
      <x:c r="Y16" s="122"/>
      <x:c r="Z16" s="122"/>
      <x:c r="AA16" s="122"/>
      <x:c r="AB16" s="116"/>
      <x:c r="AC16" s="116"/>
      <x:c r="AD16" s="116"/>
      <x:c r="AE16" s="116"/>
    </x:row>
    <x:row r="17" ht="20" customHeight="1"/>
    <x:row r="18" ht="20" customHeight="1"/>
    <x:row r="19" ht="20" customHeight="1"/>
    <x:row r="20" ht="23" customHeight="1">
      <x:c r="R20" s="53" t="str">
        <x:v>EFFICIENCY (6 MONTHS)</x:v>
      </x:c>
      <x:c r="S20" s="53"/>
      <x:c r="T20" s="53"/>
      <x:c r="U20" s="53"/>
      <x:c r="V20" s="53"/>
      <x:c r="W20" s="53"/>
      <x:c r="X20" s="53" t="str">
        <x:v>2026 Q1</x:v>
      </x:c>
      <x:c r="Y20" s="53"/>
      <x:c r="Z20" s="53"/>
      <x:c r="AA20" s="53"/>
      <x:c r="AB20" s="53" t="str">
        <x:v>2026 Q2</x:v>
      </x:c>
      <x:c r="AC20" s="53"/>
      <x:c r="AD20" s="53"/>
      <x:c r="AE20" s="53"/>
    </x:row>
    <x:row r="21" ht="20" customHeight="1">
      <x:c r="R21" s="201" t="str">
        <x:v>Spain</x:v>
      </x:c>
      <x:c r="S21" s="201"/>
      <x:c r="T21" s="201"/>
      <x:c r="U21" s="201"/>
      <x:c r="V21" s="201"/>
      <x:c r="W21" s="201"/>
      <x:c r="X21" s="36" t="n">
        <x:f>DATA_EFFICIENCY!B2</x:f>
        <x:v>0.980209143</x:v>
      </x:c>
      <x:c r="Y21" s="36"/>
      <x:c r="Z21" s="36"/>
      <x:c r="AA21" s="36"/>
      <x:c r="AB21" s="36" t="n">
        <x:f>DATA_EFFICIENCY!C2</x:f>
        <x:v>0.9931644289</x:v>
      </x:c>
      <x:c r="AC21" s="36"/>
      <x:c r="AD21" s="36"/>
      <x:c r="AE21" s="36"/>
    </x:row>
    <x:row r="22" ht="20" customHeight="1">
      <x:c r="R22" s="201" t="str">
        <x:v>Germany + Austria</x:v>
      </x:c>
      <x:c r="S22" s="201"/>
      <x:c r="T22" s="201"/>
      <x:c r="U22" s="201"/>
      <x:c r="V22" s="201"/>
      <x:c r="W22" s="201"/>
      <x:c r="X22" s="36" t="n">
        <x:f>DATA_EFFICIENCY!B3</x:f>
        <x:v>0.8381372226</x:v>
      </x:c>
      <x:c r="Y22" s="36"/>
      <x:c r="Z22" s="36"/>
      <x:c r="AA22" s="36"/>
      <x:c r="AB22" s="36" t="n">
        <x:f>DATA_EFFICIENCY!C3</x:f>
        <x:v>0.7104570132</x:v>
      </x:c>
      <x:c r="AC22" s="36"/>
      <x:c r="AD22" s="36"/>
      <x:c r="AE22" s="36"/>
    </x:row>
    <x:row r="23" ht="20" customHeight="1">
      <x:c r="R23" s="201" t="str">
        <x:v>Belgium</x:v>
      </x:c>
      <x:c r="S23" s="201"/>
      <x:c r="T23" s="201"/>
      <x:c r="U23" s="201"/>
      <x:c r="V23" s="201"/>
      <x:c r="W23" s="201"/>
      <x:c r="X23" s="36" t="n">
        <x:f>DATA_EFFICIENCY!B4</x:f>
        <x:v>0.9854512629</x:v>
      </x:c>
      <x:c r="Y23" s="36"/>
      <x:c r="Z23" s="36"/>
      <x:c r="AA23" s="36"/>
      <x:c r="AB23" s="36" t="n">
        <x:f>DATA_EFFICIENCY!C4</x:f>
        <x:v>1</x:v>
      </x:c>
      <x:c r="AC23" s="36"/>
      <x:c r="AD23" s="36"/>
      <x:c r="AE23" s="36"/>
    </x:row>
    <x:row r="24" ht="20" customHeight="1">
      <x:c r="R24" s="201" t="str">
        <x:v>Italy</x:v>
      </x:c>
      <x:c r="S24" s="201"/>
      <x:c r="T24" s="201"/>
      <x:c r="U24" s="201"/>
      <x:c r="V24" s="201"/>
      <x:c r="W24" s="201"/>
      <x:c r="X24" s="36" t="n">
        <x:f>DATA_EFFICIENCY!B5</x:f>
        <x:v>0.9882626719</x:v>
      </x:c>
      <x:c r="Y24" s="36"/>
      <x:c r="Z24" s="36"/>
      <x:c r="AA24" s="36"/>
      <x:c r="AB24" s="36" t="n">
        <x:f>DATA_EFFICIENCY!C5</x:f>
        <x:v>0.9843784875</x:v>
      </x:c>
      <x:c r="AC24" s="36"/>
      <x:c r="AD24" s="36"/>
      <x:c r="AE24" s="36"/>
    </x:row>
    <x:row r="25" ht="20" customHeight="1">
      <x:c r="C25" s="135" t="str">
        <x:v>Q2 amount efficiency across reporting countries approaches 100% except Germany, UK and South Africa. Results refer to the oldest cohort in the rolling window.</x:v>
      </x:c>
      <x:c r="D25" s="135"/>
      <x:c r="E25" s="135"/>
      <x:c r="F25" s="135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201" t="str">
        <x:v>Portugal</x:v>
      </x:c>
      <x:c r="S25" s="201"/>
      <x:c r="T25" s="201"/>
      <x:c r="U25" s="201"/>
      <x:c r="V25" s="201"/>
      <x:c r="W25" s="201"/>
      <x:c r="X25" s="36" t="n">
        <x:f>DATA_EFFICIENCY!B6</x:f>
        <x:v>0.996689267</x:v>
      </x:c>
      <x:c r="Y25" s="36"/>
      <x:c r="Z25" s="36"/>
      <x:c r="AA25" s="36"/>
      <x:c r="AB25" s="36" t="n">
        <x:f>DATA_EFFICIENCY!C6</x:f>
        <x:v>0.9911540137</x:v>
      </x:c>
      <x:c r="AC25" s="36"/>
      <x:c r="AD25" s="36"/>
      <x:c r="AE25" s="36"/>
    </x:row>
    <x:row r="26" ht="20" customHeight="1"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201" t="str">
        <x:v>France</x:v>
      </x:c>
      <x:c r="S26" s="201"/>
      <x:c r="T26" s="201"/>
      <x:c r="U26" s="201"/>
      <x:c r="V26" s="201"/>
      <x:c r="W26" s="201"/>
      <x:c r="X26" s="36" t="n">
        <x:f>DATA_EFFICIENCY!B7</x:f>
        <x:v>0.9984478951</x:v>
      </x:c>
      <x:c r="Y26" s="36"/>
      <x:c r="Z26" s="36"/>
      <x:c r="AA26" s="36"/>
      <x:c r="AB26" s="36" t="n">
        <x:f>DATA_EFFICIENCY!C7</x:f>
        <x:v>0.9777347598</x:v>
      </x:c>
      <x:c r="AC26" s="36"/>
      <x:c r="AD26" s="36"/>
      <x:c r="AE26" s="36"/>
    </x:row>
    <x:row r="27" ht="20" customHeight="1">
      <x:c r="C27" s="135"/>
      <x:c r="D27" s="135"/>
      <x:c r="E27" s="135"/>
      <x:c r="F27" s="135"/>
      <x:c r="G27" s="135"/>
      <x:c r="H27" s="135"/>
      <x:c r="I27" s="135"/>
      <x:c r="J27" s="135"/>
      <x:c r="K27" s="135"/>
      <x:c r="L27" s="135"/>
      <x:c r="M27" s="135"/>
      <x:c r="N27" s="135"/>
      <x:c r="O27" s="135"/>
      <x:c r="P27" s="135"/>
      <x:c r="Q27" s="135"/>
      <x:c r="R27" s="201" t="str">
        <x:v>UK</x:v>
      </x:c>
      <x:c r="S27" s="201"/>
      <x:c r="T27" s="201"/>
      <x:c r="U27" s="201"/>
      <x:c r="V27" s="201"/>
      <x:c r="W27" s="201"/>
      <x:c r="X27" s="36" t="n">
        <x:f>DATA_EFFICIENCY!B8</x:f>
        <x:v>1</x:v>
      </x:c>
      <x:c r="Y27" s="36"/>
      <x:c r="Z27" s="36"/>
      <x:c r="AA27" s="36"/>
      <x:c r="AB27" s="36" t="n">
        <x:f>DATA_EFFICIENCY!C8</x:f>
        <x:v>0.6732017151</x:v>
      </x:c>
      <x:c r="AC27" s="36"/>
      <x:c r="AD27" s="36"/>
      <x:c r="AE27" s="36"/>
    </x:row>
    <x:row r="28" ht="20" customHeight="1">
      <x:c r="R28" s="201" t="str">
        <x:v>South Africa</x:v>
      </x:c>
      <x:c r="S28" s="201"/>
      <x:c r="T28" s="201"/>
      <x:c r="U28" s="201"/>
      <x:c r="V28" s="201"/>
      <x:c r="W28" s="201"/>
      <x:c r="X28" s="36" t="n">
        <x:f>DATA_EFFICIENCY!B9</x:f>
        <x:v>0.6645309376</x:v>
      </x:c>
      <x:c r="Y28" s="36"/>
      <x:c r="Z28" s="36"/>
      <x:c r="AA28" s="36"/>
      <x:c r="AB28" s="36" t="n">
        <x:f>DATA_EFFICIENCY!C9</x:f>
        <x:v>0.6493430482</x:v>
      </x:c>
      <x:c r="AC28" s="36"/>
      <x:c r="AD28" s="36"/>
      <x:c r="AE28" s="36"/>
    </x:row>
    <x:row r="29" ht="20" customHeight="1">
      <x:c r="C29" s="135" t="str">
        <x:v>Spain and Portugal have large false-positive volumes. The monthly-flow total intentionally excludes South Africa (following the original source report).</x:v>
      </x:c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</x:row>
    <x:row r="30" ht="20" customHeight="1"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</x:row>
    <x:row r="31" ht="20" customHeight="1"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</x:row>
    <x:row r="32" ht="20" customHeight="1"/>
    <x:row r="33" ht="20" customHeight="1">
      <x:c r="C33" s="135" t="str">
        <x:v>Country charts show both amount and contract-number efficiency. Q1 / Q2 efficiency snapshots are not recomputed from gross all-time stock.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</x:row>
    <x:row r="35" ht="20" customHeight="1"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</x:row>
    <x:row r="37" ht="20" customHeight="1"/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  <x:row r="47">
      <x:c r="A47" t="str">
        <x:v>Category</x:v>
      </x:c>
      <x:c r="B47" t="str">
        <x:v>Spain</x:v>
      </x:c>
      <x:c r="C47" t="str">
        <x:v>Germany + Austria</x:v>
      </x:c>
      <x:c r="D47" t="str">
        <x:v>Belgium</x:v>
      </x:c>
      <x:c r="E47" t="str">
        <x:v>Italy</x:v>
      </x:c>
      <x:c r="F47" t="str">
        <x:v>Portugal</x:v>
      </x:c>
      <x:c r="G47" t="str">
        <x:v>France</x:v>
      </x:c>
      <x:c r="H47" t="str">
        <x:v>UK</x:v>
      </x:c>
    </x:row>
    <x:row r="48">
      <x:c r="A48" t="str">
        <x:v>01/2026</x:v>
      </x:c>
      <x:c r="B48" t="n">
        <x:v>2802915.75</x:v>
      </x:c>
      <x:c r="C48" t="n">
        <x:v>604356.03</x:v>
      </x:c>
      <x:c r="D48" t="n">
        <x:v>114219.87</x:v>
      </x:c>
      <x:c r="E48" t="n">
        <x:v>946898.07</x:v>
      </x:c>
      <x:c r="F48" t="n">
        <x:v>4070537.61</x:v>
      </x:c>
      <x:c r="G48" t="n">
        <x:v>1413554.03</x:v>
      </x:c>
      <x:c r="H48" t="n">
        <x:v>140099.353635</x:v>
      </x:c>
    </x:row>
    <x:row r="49">
      <x:c r="A49" t="str">
        <x:v>02/2026</x:v>
      </x:c>
      <x:c r="B49" t="n">
        <x:v>3537190.04</x:v>
      </x:c>
      <x:c r="C49" t="n">
        <x:v>986741.32</x:v>
      </x:c>
      <x:c r="D49" t="n">
        <x:v>112478.19</x:v>
      </x:c>
      <x:c r="E49" t="n">
        <x:v>951551.94</x:v>
      </x:c>
      <x:c r="F49" t="n">
        <x:v>3652684.59</x:v>
      </x:c>
      <x:c r="G49" t="n">
        <x:v>1770440.23</x:v>
      </x:c>
      <x:c r="H49" t="n">
        <x:v>189849.960086</x:v>
      </x:c>
    </x:row>
    <x:row r="50">
      <x:c r="A50" t="str">
        <x:v>03/2026</x:v>
      </x:c>
      <x:c r="B50" t="n">
        <x:v>3807379.25</x:v>
      </x:c>
      <x:c r="C50" t="n">
        <x:v>827458.96</x:v>
      </x:c>
      <x:c r="D50" t="n">
        <x:v>145235.76</x:v>
      </x:c>
      <x:c r="E50" t="n">
        <x:v>1177760.63</x:v>
      </x:c>
      <x:c r="F50" t="n">
        <x:v>2538191.24</x:v>
      </x:c>
      <x:c r="G50" t="n">
        <x:v>2064608.86</x:v>
      </x:c>
      <x:c r="H50" t="n">
        <x:v>373803.600056</x:v>
      </x:c>
    </x:row>
    <x:row r="51">
      <x:c r="A51" t="str">
        <x:v>04/2026</x:v>
      </x:c>
      <x:c r="B51" t="n">
        <x:v>3480226.74</x:v>
      </x:c>
      <x:c r="C51" t="n">
        <x:v>718495.51</x:v>
      </x:c>
      <x:c r="D51" t="n">
        <x:v>105004.84</x:v>
      </x:c>
      <x:c r="E51" t="n">
        <x:v>1199203.76</x:v>
      </x:c>
      <x:c r="F51" t="n">
        <x:v>1651173.83</x:v>
      </x:c>
      <x:c r="G51" t="n">
        <x:v>1903277.35</x:v>
      </x:c>
      <x:c r="H51" t="n">
        <x:v>102343.465392</x:v>
      </x:c>
    </x:row>
    <x:row r="52">
      <x:c r="A52" t="str">
        <x:v>05/2026</x:v>
      </x:c>
      <x:c r="B52" t="n">
        <x:v>3189964.34</x:v>
      </x:c>
      <x:c r="C52" t="n">
        <x:v>745568.1</x:v>
      </x:c>
      <x:c r="D52" t="n">
        <x:v>68163.69</x:v>
      </x:c>
      <x:c r="E52" t="n">
        <x:v>1425617.1</x:v>
      </x:c>
      <x:c r="F52" t="n">
        <x:v>1240718.41</x:v>
      </x:c>
      <x:c r="G52" t="n">
        <x:v>1439561.33</x:v>
      </x:c>
      <x:c r="H52" t="n">
        <x:v>62503.975886</x:v>
      </x:c>
    </x:row>
    <x:row r="53">
      <x:c r="A53" t="str">
        <x:v>06/2026</x:v>
      </x:c>
      <x:c r="B53" t="n">
        <x:v>3807084.01</x:v>
      </x:c>
      <x:c r="C53" t="n">
        <x:v>1143531.38</x:v>
      </x:c>
      <x:c r="D53" t="n">
        <x:v>104341.09</x:v>
      </x:c>
      <x:c r="E53" t="n">
        <x:v>977488.48</x:v>
      </x:c>
      <x:c r="F53" t="n">
        <x:v>1121255.28</x:v>
      </x:c>
      <x:c r="G53" t="n">
        <x:v>1584909.76</x:v>
      </x:c>
      <x:c r="H53" t="n">
        <x:v>64851.374092</x:v>
      </x:c>
    </x:row>
  </x:sheetData>
  <x:mergeCells>
    <x:mergeCell ref="C2:U4"/>
    <x:mergeCell ref="C42:O42"/>
    <x:mergeCell ref="P42:AE42"/>
    <x:mergeCell ref="C5:Q6"/>
    <x:mergeCell ref="R7:W7"/>
    <x:mergeCell ref="X7:AA7"/>
    <x:mergeCell ref="AB7:AC7"/>
    <x:mergeCell ref="AD7:AE7"/>
    <x:mergeCell ref="R8:W8"/>
    <x:mergeCell ref="R9:W9"/>
    <x:mergeCell ref="R10:W10"/>
    <x:mergeCell ref="R11:W11"/>
    <x:mergeCell ref="R12:W12"/>
    <x:mergeCell ref="R13:W13"/>
    <x:mergeCell ref="R14:W14"/>
    <x:mergeCell ref="R15:W15"/>
    <x:mergeCell ref="R16:W16"/>
    <x:mergeCell ref="R20:W20"/>
    <x:mergeCell ref="X20:AA20"/>
    <x:mergeCell ref="AB20:AE20"/>
    <x:mergeCell ref="R21:W21"/>
    <x:mergeCell ref="R22:W22"/>
    <x:mergeCell ref="R23:W23"/>
    <x:mergeCell ref="R24:W24"/>
    <x:mergeCell ref="R25:W25"/>
    <x:mergeCell ref="R26:W26"/>
    <x:mergeCell ref="R27:W27"/>
    <x:mergeCell ref="R28:W28"/>
    <x:mergeCell ref="C25:Q27"/>
    <x:mergeCell ref="C29:Q31"/>
    <x:mergeCell ref="C33:Q36"/>
    <x:mergeCell ref="X8:AA8"/>
    <x:mergeCell ref="AB8:AC8"/>
    <x:mergeCell ref="AD8:AE8"/>
    <x:mergeCell ref="X9:AA9"/>
    <x:mergeCell ref="AB9:AC9"/>
    <x:mergeCell ref="AD9:AE9"/>
    <x:mergeCell ref="X10:AA10"/>
    <x:mergeCell ref="AB10:AC10"/>
    <x:mergeCell ref="AD10:AE10"/>
    <x:mergeCell ref="X11:AA11"/>
    <x:mergeCell ref="AB11:AC11"/>
    <x:mergeCell ref="AD11:AE11"/>
    <x:mergeCell ref="X12:AA12"/>
    <x:mergeCell ref="AB12:AC12"/>
    <x:mergeCell ref="AD12:AE12"/>
    <x:mergeCell ref="X13:AA13"/>
    <x:mergeCell ref="AB13:AC13"/>
    <x:mergeCell ref="AD13:AE13"/>
    <x:mergeCell ref="X14:AA14"/>
    <x:mergeCell ref="AB14:AC14"/>
    <x:mergeCell ref="AD14:AE14"/>
    <x:mergeCell ref="X15:AA15"/>
    <x:mergeCell ref="AB15:AC15"/>
    <x:mergeCell ref="AD15:AE15"/>
    <x:mergeCell ref="X16:AA16"/>
    <x:mergeCell ref="X21:AA21"/>
    <x:mergeCell ref="AB21:AE21"/>
    <x:mergeCell ref="X22:AA22"/>
    <x:mergeCell ref="AB22:AE22"/>
    <x:mergeCell ref="X23:AA23"/>
    <x:mergeCell ref="AB23:AE23"/>
    <x:mergeCell ref="X24:AA24"/>
    <x:mergeCell ref="AB24:AE24"/>
    <x:mergeCell ref="X25:AA25"/>
    <x:mergeCell ref="AB25:AE25"/>
    <x:mergeCell ref="X26:AA26"/>
    <x:mergeCell ref="AB26:AE26"/>
    <x:mergeCell ref="X27:AA27"/>
    <x:mergeCell ref="AB27:AE27"/>
    <x:mergeCell ref="X28:AA28"/>
    <x:mergeCell ref="AB28:AE28"/>
  </x:mergeCells>
  <x:pageMargins left="0.7" right="0.7" top="0.75" bottom="0.75" header="0.3" footer="0.3"/>
  <x:drawing xmlns:r="http://schemas.openxmlformats.org/officeDocument/2006/relationships" r:id="Rdaa50519225f47c7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NON-CORE COUNTRIES  •  STOCK ANALYSIS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/>
    <x:row r="6" ht="20" customHeight="1"/>
    <x:row r="7" ht="20" customHeight="1"/>
    <x:row r="8" ht="23" customHeight="1">
      <x:c r="C8" s="53" t="str">
        <x:v>COUNTRIES</x:v>
      </x:c>
      <x:c r="D8" s="53"/>
      <x:c r="E8" s="53"/>
      <x:c r="F8" s="53"/>
      <x:c r="G8" s="53"/>
      <x:c r="H8" s="53" t="str">
        <x:v>2026 Q1</x:v>
      </x:c>
      <x:c r="I8" s="53"/>
      <x:c r="J8" s="53"/>
      <x:c r="K8" s="53" t="str">
        <x:v>2026 Q2</x:v>
      </x:c>
      <x:c r="L8" s="53"/>
      <x:c r="M8" s="53"/>
      <x:c r="N8" s="53" t="str">
        <x:v>EVOLUTION</x:v>
      </x:c>
      <x:c r="O8" s="53"/>
      <x:c r="P8" s="53"/>
      <x:c r="Q8" s="53"/>
    </x:row>
    <x:row r="9" ht="20" customHeight="1">
      <x:c r="C9" s="169" t="str">
        <x:v>Romania</x:v>
      </x:c>
      <x:c r="D9" s="169"/>
      <x:c r="E9" s="169"/>
      <x:c r="F9" s="169"/>
      <x:c r="G9" s="169"/>
      <x:c r="H9" s="109" t="n">
        <x:f>DATA_STOCK!C11</x:f>
        <x:v>53725.4016</x:v>
      </x:c>
      <x:c r="I9" s="109"/>
      <x:c r="J9" s="109"/>
      <x:c r="K9" s="109" t="n">
        <x:f>DATA_STOCK!D11</x:f>
        <x:v>48887.5186</x:v>
      </x:c>
      <x:c r="L9" s="109"/>
      <x:c r="M9" s="109"/>
      <x:c r="N9" s="113" t="n">
        <x:f>IFERROR(K9/H9-1,0)</x:f>
        <x:v>-0.0900483357205839</x:v>
      </x:c>
      <x:c r="O9" s="113"/>
      <x:c r="P9" s="113"/>
      <x:c r="Q9" s="113"/>
    </x:row>
    <x:row r="10" ht="20" customHeight="1">
      <x:c r="C10" s="175" t="str">
        <x:v>Brazil</x:v>
      </x:c>
      <x:c r="D10" s="175"/>
      <x:c r="E10" s="175"/>
      <x:c r="F10" s="175"/>
      <x:c r="G10" s="175"/>
      <x:c r="H10" s="178" t="n">
        <x:f>DATA_STOCK!C12</x:f>
        <x:v>8543463.1717</x:v>
      </x:c>
      <x:c r="I10" s="178"/>
      <x:c r="J10" s="178"/>
      <x:c r="K10" s="178" t="n">
        <x:f>DATA_STOCK!D12</x:f>
        <x:v>3784195.42</x:v>
      </x:c>
      <x:c r="L10" s="178"/>
      <x:c r="M10" s="178"/>
      <x:c r="N10" s="180" t="n">
        <x:f>IFERROR(K10/H10-1,0)</x:f>
        <x:v>-0.5570654026419815</x:v>
      </x:c>
      <x:c r="O10" s="180"/>
      <x:c r="P10" s="180"/>
      <x:c r="Q10" s="180"/>
    </x:row>
    <x:row r="11" ht="20" customHeight="1">
      <x:c r="C11" s="169" t="str">
        <x:v>Denmark</x:v>
      </x:c>
      <x:c r="D11" s="169"/>
      <x:c r="E11" s="169"/>
      <x:c r="F11" s="169"/>
      <x:c r="G11" s="169"/>
      <x:c r="H11" s="109" t="n">
        <x:f>DATA_STOCK!C13</x:f>
        <x:v>3203.2179</x:v>
      </x:c>
      <x:c r="I11" s="109"/>
      <x:c r="J11" s="109"/>
      <x:c r="K11" s="109" t="n">
        <x:f>DATA_STOCK!D13</x:f>
        <x:v>24388.7401</x:v>
      </x:c>
      <x:c r="L11" s="109"/>
      <x:c r="M11" s="109"/>
      <x:c r="N11" s="113" t="n">
        <x:f>IFERROR(K11/H11-1,0)</x:f>
        <x:v>6.613824866550601</x:v>
      </x:c>
      <x:c r="O11" s="113"/>
      <x:c r="P11" s="113"/>
      <x:c r="Q11" s="113"/>
    </x:row>
    <x:row r="12" ht="20" customHeight="1">
      <x:c r="C12" s="175" t="str">
        <x:v>Norway</x:v>
      </x:c>
      <x:c r="D12" s="175"/>
      <x:c r="E12" s="175"/>
      <x:c r="F12" s="175"/>
      <x:c r="G12" s="175"/>
      <x:c r="H12" s="178" t="n">
        <x:f>DATA_STOCK!C14</x:f>
        <x:v>13198.213</x:v>
      </x:c>
      <x:c r="I12" s="178"/>
      <x:c r="J12" s="178"/>
      <x:c r="K12" s="178" t="n">
        <x:f>DATA_STOCK!D14</x:f>
        <x:v>10807.6386</x:v>
      </x:c>
      <x:c r="L12" s="178"/>
      <x:c r="M12" s="178"/>
      <x:c r="N12" s="180" t="n">
        <x:f>IFERROR(K12/H12-1,0)</x:f>
        <x:v>-0.18112864218815072</x:v>
      </x:c>
      <x:c r="O12" s="180"/>
      <x:c r="P12" s="180"/>
      <x:c r="Q12" s="180"/>
    </x:row>
    <x:row r="13" ht="20" customHeight="1">
      <x:c r="C13" s="169" t="str">
        <x:v>Sweden</x:v>
      </x:c>
      <x:c r="D13" s="169"/>
      <x:c r="E13" s="169"/>
      <x:c r="F13" s="169"/>
      <x:c r="G13" s="169"/>
      <x:c r="H13" s="109" t="n">
        <x:f>DATA_STOCK!C15</x:f>
        <x:v>15478.6603</x:v>
      </x:c>
      <x:c r="I13" s="109"/>
      <x:c r="J13" s="109"/>
      <x:c r="K13" s="109" t="n">
        <x:f>DATA_STOCK!D15</x:f>
        <x:v>14140.069</x:v>
      </x:c>
      <x:c r="L13" s="109"/>
      <x:c r="M13" s="109"/>
      <x:c r="N13" s="113" t="n">
        <x:f>IFERROR(K13/H13-1,0)</x:f>
        <x:v>-0.08647979050228272</x:v>
      </x:c>
      <x:c r="O13" s="113"/>
      <x:c r="P13" s="113"/>
      <x:c r="Q13" s="113"/>
    </x:row>
    <x:row r="14" ht="20" customHeight="1">
      <x:c r="C14" s="118" t="str">
        <x:v>TOTAL</x:v>
      </x:c>
      <x:c r="D14" s="118"/>
      <x:c r="E14" s="118"/>
      <x:c r="F14" s="118"/>
      <x:c r="G14" s="118"/>
      <x:c r="H14" s="122" t="n">
        <x:f>SUM(H9:H13)</x:f>
        <x:v>8629068.6645</x:v>
      </x:c>
      <x:c r="I14" s="122"/>
      <x:c r="J14" s="122"/>
      <x:c r="K14" s="122" t="n">
        <x:f>SUM(K9:K13)</x:f>
        <x:v>3882419.3863000004</x:v>
      </x:c>
      <x:c r="L14" s="122"/>
      <x:c r="M14" s="122"/>
      <x:c r="N14" s="123" t="n">
        <x:f>IFERROR(K14/H14-1,0)</x:f>
        <x:v>-0.5500766609643195</x:v>
      </x:c>
      <x:c r="O14" s="123"/>
      <x:c r="P14" s="123"/>
      <x:c r="Q14" s="123"/>
    </x:row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>
      <x:c r="C23" s="135" t="str">
        <x:v>Brazil: substantial reduction after transfer of older stock to the government FGO mechanism. Source-specific rules must be preserved.</x:v>
      </x:c>
      <x:c r="D23" s="135"/>
      <x:c r="E23" s="135"/>
      <x:c r="F23" s="135"/>
      <x:c r="G23" s="135"/>
      <x:c r="H23" s="135"/>
      <x:c r="I23" s="135"/>
      <x:c r="J23" s="135"/>
      <x:c r="K23" s="135"/>
      <x:c r="L23" s="135"/>
      <x:c r="M23" s="135"/>
      <x:c r="N23" s="135"/>
      <x:c r="O23" s="135"/>
      <x:c r="P23" s="135"/>
      <x:c r="Q23" s="135"/>
    </x:row>
    <x:row r="24" ht="20" customHeight="1">
      <x:c r="C24" s="135"/>
      <x:c r="D24" s="135"/>
      <x:c r="E24" s="135"/>
      <x:c r="F24" s="135"/>
      <x:c r="G24" s="135"/>
      <x:c r="H24" s="135"/>
      <x:c r="I24" s="135"/>
      <x:c r="J24" s="135"/>
      <x:c r="K24" s="135"/>
      <x:c r="L24" s="135"/>
      <x:c r="M24" s="135"/>
      <x:c r="N24" s="135"/>
      <x:c r="O24" s="135"/>
      <x:c r="P24" s="135"/>
      <x:c r="Q24" s="135"/>
    </x:row>
    <x:row r="25" ht="20" customHeight="1">
      <x:c r="C25" s="135"/>
      <x:c r="D25" s="135"/>
      <x:c r="E25" s="135"/>
      <x:c r="F25" s="135"/>
      <x:c r="G25" s="135"/>
      <x:c r="H25" s="135"/>
      <x:c r="I25" s="135"/>
      <x:c r="J25" s="135"/>
      <x:c r="K25" s="135"/>
      <x:c r="L25" s="135"/>
      <x:c r="M25" s="135"/>
      <x:c r="N25" s="135"/>
      <x:c r="O25" s="135"/>
      <x:c r="P25" s="135"/>
      <x:c r="Q25" s="135"/>
      <x:c r="R25" s="132" t="str">
        <x:v>NORDIC WAITING ACCOUNTS  •  CSR</x:v>
      </x:c>
      <x:c r="S25" s="132"/>
      <x:c r="T25" s="132"/>
      <x:c r="U25" s="132"/>
      <x:c r="V25" s="132"/>
      <x:c r="W25" s="132"/>
      <x:c r="X25" s="132"/>
      <x:c r="Y25" s="132"/>
      <x:c r="Z25" s="132"/>
      <x:c r="AA25" s="132"/>
      <x:c r="AB25" s="132"/>
      <x:c r="AC25" s="132"/>
      <x:c r="AD25" s="132"/>
      <x:c r="AE25" s="132"/>
    </x:row>
    <x:row r="26" ht="20" customHeight="1"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/>
      <x:c r="P26" s="135"/>
      <x:c r="Q26" s="135"/>
      <x:c r="R26" s="132"/>
      <x:c r="S26" s="132"/>
      <x:c r="T26" s="132"/>
      <x:c r="U26" s="132"/>
      <x:c r="V26" s="132"/>
      <x:c r="W26" s="132"/>
      <x:c r="X26" s="132"/>
      <x:c r="Y26" s="132"/>
      <x:c r="Z26" s="132"/>
      <x:c r="AA26" s="132"/>
      <x:c r="AB26" s="132"/>
      <x:c r="AC26" s="132"/>
      <x:c r="AD26" s="132"/>
      <x:c r="AE26" s="132"/>
    </x:row>
    <x:row r="27" ht="20" customHeight="1">
      <x:c r="R27" s="132"/>
      <x:c r="S27" s="132"/>
      <x:c r="T27" s="132"/>
      <x:c r="U27" s="132"/>
      <x:c r="V27" s="132"/>
      <x:c r="W27" s="132"/>
      <x:c r="X27" s="132"/>
      <x:c r="Y27" s="132"/>
      <x:c r="Z27" s="132"/>
      <x:c r="AA27" s="132"/>
      <x:c r="AB27" s="132"/>
      <x:c r="AC27" s="132"/>
      <x:c r="AD27" s="132"/>
      <x:c r="AE27" s="132"/>
    </x:row>
    <x:row r="28" ht="20" customHeight="1">
      <x:c r="C28" s="135" t="str">
        <x:v>Romania, Brazil and Nordics are displayed as non-core. Nordic country stock is shown in EUR using the original Q2 closing exchange rates.</x:v>
      </x:c>
      <x:c r="D28" s="135"/>
      <x:c r="E28" s="135"/>
      <x:c r="F28" s="135"/>
      <x:c r="G28" s="135"/>
      <x:c r="H28" s="135"/>
      <x:c r="I28" s="135"/>
      <x:c r="J28" s="135"/>
      <x:c r="K28" s="135"/>
      <x:c r="L28" s="135"/>
      <x:c r="M28" s="135"/>
      <x:c r="N28" s="135"/>
      <x:c r="O28" s="135"/>
      <x:c r="P28" s="135"/>
      <x:c r="Q28" s="135"/>
      <x:c r="R28" s="135" t="str">
        <x:v>Nordic waiting-account balances are retained separately for later charity disbursement. They are not part of the normal KPI_3 pending balance buckets.</x:v>
      </x:c>
      <x:c r="S28" s="135"/>
      <x:c r="T28" s="135"/>
      <x:c r="U28" s="135"/>
      <x:c r="V28" s="135"/>
      <x:c r="W28" s="135"/>
      <x:c r="X28" s="135"/>
      <x:c r="Y28" s="135"/>
      <x:c r="Z28" s="135"/>
      <x:c r="AA28" s="135"/>
      <x:c r="AB28" s="135"/>
      <x:c r="AC28" s="135"/>
      <x:c r="AD28" s="135"/>
      <x:c r="AE28" s="135"/>
    </x:row>
    <x:row r="29" ht="20" customHeight="1"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/>
      <x:c r="P29" s="135"/>
      <x:c r="Q29" s="135"/>
      <x:c r="R29" s="135"/>
      <x:c r="S29" s="135"/>
      <x:c r="T29" s="135"/>
      <x:c r="U29" s="135"/>
      <x:c r="V29" s="135"/>
      <x:c r="W29" s="135"/>
      <x:c r="X29" s="135"/>
      <x:c r="Y29" s="135"/>
      <x:c r="Z29" s="135"/>
      <x:c r="AA29" s="135"/>
      <x:c r="AB29" s="135"/>
      <x:c r="AC29" s="135"/>
      <x:c r="AD29" s="135"/>
      <x:c r="AE29" s="135"/>
    </x:row>
    <x:row r="30" ht="20" customHeight="1"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135"/>
      <x:c r="P30" s="135"/>
      <x:c r="Q30" s="135"/>
      <x:c r="R30" s="135"/>
      <x:c r="S30" s="135"/>
      <x:c r="T30" s="135"/>
      <x:c r="U30" s="135"/>
      <x:c r="V30" s="135"/>
      <x:c r="W30" s="135"/>
      <x:c r="X30" s="135"/>
      <x:c r="Y30" s="135"/>
      <x:c r="Z30" s="135"/>
      <x:c r="AA30" s="135"/>
      <x:c r="AB30" s="135"/>
      <x:c r="AC30" s="135"/>
      <x:c r="AD30" s="135"/>
      <x:c r="AE30" s="135"/>
    </x:row>
    <x:row r="31" ht="20" customHeight="1"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/>
      <x:c r="P31" s="135"/>
      <x:c r="Q31" s="135"/>
      <x:c r="R31" s="135"/>
      <x:c r="S31" s="135"/>
      <x:c r="T31" s="135"/>
      <x:c r="U31" s="135"/>
      <x:c r="V31" s="135"/>
      <x:c r="W31" s="135"/>
      <x:c r="X31" s="135"/>
      <x:c r="Y31" s="135"/>
      <x:c r="Z31" s="135"/>
      <x:c r="AA31" s="135"/>
      <x:c r="AB31" s="135"/>
      <x:c r="AC31" s="135"/>
      <x:c r="AD31" s="135"/>
      <x:c r="AE31" s="135"/>
    </x:row>
    <x:row r="32" ht="20" customHeight="1"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/>
      <x:c r="P32" s="135"/>
      <x:c r="Q32" s="135"/>
      <x:c r="R32" s="135"/>
      <x:c r="S32" s="135"/>
      <x:c r="T32" s="135"/>
      <x:c r="U32" s="135"/>
      <x:c r="V32" s="135"/>
      <x:c r="W32" s="135"/>
      <x:c r="X32" s="135"/>
      <x:c r="Y32" s="135"/>
      <x:c r="Z32" s="135"/>
      <x:c r="AA32" s="135"/>
      <x:c r="AB32" s="135"/>
      <x:c r="AC32" s="135"/>
      <x:c r="AD32" s="135"/>
      <x:c r="AE32" s="135"/>
    </x:row>
    <x:row r="33" ht="20" customHeight="1"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  <x:row r="47">
      <x:c r="A47" t="str">
        <x:v>Category</x:v>
      </x:c>
      <x:c r="B47" t="str">
        <x:v>Before 2025</x:v>
      </x:c>
      <x:c r="C47" t="str">
        <x:v>2025</x:v>
      </x:c>
      <x:c r="D47" t="str">
        <x:v>2026</x:v>
      </x:c>
    </x:row>
    <x:row r="48">
      <x:c r="A48" t="str">
        <x:v>Romania</x:v>
      </x:c>
      <x:c r="B48" t="n">
        <x:v>416.673</x:v>
      </x:c>
      <x:c r="C48" t="n">
        <x:v>1682.6214</x:v>
      </x:c>
      <x:c r="D48" t="n">
        <x:v>46788.2242</x:v>
      </x:c>
    </x:row>
    <x:row r="49">
      <x:c r="A49" t="str">
        <x:v>Brazil</x:v>
      </x:c>
      <x:c r="B49" t="n">
        <x:v>3658647.9909</x:v>
      </x:c>
      <x:c r="C49" t="n">
        <x:v>114496.0866</x:v>
      </x:c>
      <x:c r="D49" t="n">
        <x:v>11051.3425</x:v>
      </x:c>
    </x:row>
    <x:row r="50">
      <x:c r="A50" t="str">
        <x:v>Denmark</x:v>
      </x:c>
      <x:c r="B50" t="n">
        <x:v>0</x:v>
      </x:c>
      <x:c r="C50" t="n">
        <x:v>0</x:v>
      </x:c>
      <x:c r="D50" t="n">
        <x:v>24388.7401</x:v>
      </x:c>
    </x:row>
    <x:row r="51">
      <x:c r="A51" t="str">
        <x:v>Norway</x:v>
      </x:c>
      <x:c r="B51" t="n">
        <x:v>0</x:v>
      </x:c>
      <x:c r="C51" t="n">
        <x:v>0</x:v>
      </x:c>
      <x:c r="D51" t="n">
        <x:v>10807.6386</x:v>
      </x:c>
    </x:row>
    <x:row r="52">
      <x:c r="A52" t="str">
        <x:v>Sweden</x:v>
      </x:c>
      <x:c r="B52" t="n">
        <x:v>0</x:v>
      </x:c>
      <x:c r="C52" t="n">
        <x:v>0</x:v>
      </x:c>
      <x:c r="D52" t="n">
        <x:v>14140.069</x:v>
      </x:c>
    </x:row>
  </x:sheetData>
  <x:mergeCells>
    <x:mergeCell ref="C2:U4"/>
    <x:mergeCell ref="C42:O42"/>
    <x:mergeCell ref="P42:AE42"/>
    <x:mergeCell ref="C8:G8"/>
    <x:mergeCell ref="H8:J8"/>
    <x:mergeCell ref="K8:M8"/>
    <x:mergeCell ref="N8:Q8"/>
    <x:mergeCell ref="C9:G9"/>
    <x:mergeCell ref="C10:G10"/>
    <x:mergeCell ref="C11:G11"/>
    <x:mergeCell ref="C12:G12"/>
    <x:mergeCell ref="C13:G13"/>
    <x:mergeCell ref="C14:G14"/>
    <x:mergeCell ref="R25:AE27"/>
    <x:mergeCell ref="R28:AE33"/>
    <x:mergeCell ref="C23:Q26"/>
    <x:mergeCell ref="C28:Q32"/>
    <x:mergeCell ref="H9:J9"/>
    <x:mergeCell ref="K9:M9"/>
    <x:mergeCell ref="N9:Q9"/>
    <x:mergeCell ref="H10:J10"/>
    <x:mergeCell ref="K10:M10"/>
    <x:mergeCell ref="N10:Q10"/>
    <x:mergeCell ref="H11:J11"/>
    <x:mergeCell ref="K11:M11"/>
    <x:mergeCell ref="N11:Q11"/>
    <x:mergeCell ref="H12:J12"/>
    <x:mergeCell ref="K12:M12"/>
    <x:mergeCell ref="N12:Q12"/>
    <x:mergeCell ref="H13:J13"/>
    <x:mergeCell ref="K13:M13"/>
    <x:mergeCell ref="N13:Q13"/>
    <x:mergeCell ref="H14:J14"/>
    <x:mergeCell ref="K14:M14"/>
    <x:mergeCell ref="N14:Q14"/>
  </x:mergeCells>
  <x:pageMargins left="0.7" right="0.7" top="0.75" bottom="0.75" header="0.3" footer="0.3"/>
  <x:drawing xmlns:r="http://schemas.openxmlformats.org/officeDocument/2006/relationships" r:id="Re2aa4694fe6e45f5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SPAIN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DATA_KPI3!D2</x:f>
        <x:v>144</x:v>
      </x:c>
      <x:c r="X8" s="108"/>
      <x:c r="Y8" s="108" t="n">
        <x:f>DATA_KPI3!E2</x:f>
        <x:v>28</x:v>
      </x:c>
      <x:c r="Z8" s="108"/>
      <x:c r="AA8" s="108"/>
      <x:c r="AB8" s="108"/>
      <x:c r="AC8" s="108"/>
      <x:c r="AD8" s="112" t="n">
        <x:f>IFERROR(Y8/$Y$14,0)</x:f>
        <x:v>0.00001566160200289516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DATA_KPI3!D3</x:f>
        <x:v>510</x:v>
      </x:c>
      <x:c r="X9" s="109"/>
      <x:c r="Y9" s="109" t="n">
        <x:f>DATA_KPI3!E3</x:f>
        <x:v>2762</x:v>
      </x:c>
      <x:c r="Z9" s="109"/>
      <x:c r="AA9" s="109"/>
      <x:c r="AB9" s="109"/>
      <x:c r="AC9" s="109"/>
      <x:c r="AD9" s="113" t="n">
        <x:f>IFERROR(Y9/$Y$14,0)</x:f>
        <x:v>0.0015449051689998725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DATA_KPI3!D4</x:f>
        <x:v>4113</x:v>
      </x:c>
      <x:c r="X10" s="108"/>
      <x:c r="Y10" s="108" t="n">
        <x:f>DATA_KPI3!E4</x:f>
        <x:v>194406</x:v>
      </x:c>
      <x:c r="Z10" s="108"/>
      <x:c r="AA10" s="108"/>
      <x:c r="AB10" s="108"/>
      <x:c r="AC10" s="108"/>
      <x:c r="AD10" s="112" t="n">
        <x:f>IFERROR(Y10/$Y$14,0)</x:f>
        <x:v>0.10873962139195843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DATA_KPI3!D5</x:f>
        <x:v>2734</x:v>
      </x:c>
      <x:c r="X11" s="109"/>
      <x:c r="Y11" s="109" t="n">
        <x:f>DATA_KPI3!E5</x:f>
        <x:v>682236</x:v>
      </x:c>
      <x:c r="Z11" s="109"/>
      <x:c r="AA11" s="109"/>
      <x:c r="AB11" s="109"/>
      <x:c r="AC11" s="109"/>
      <x:c r="AD11" s="113" t="n">
        <x:f>IFERROR(Y11/$Y$14,0)</x:f>
        <x:v>0.38160388228739933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DATA_KPI3!D6</x:f>
        <x:v>262</x:v>
      </x:c>
      <x:c r="X12" s="108"/>
      <x:c r="Y12" s="108" t="n">
        <x:f>DATA_KPI3!E6</x:f>
        <x:v>908380</x:v>
      </x:c>
      <x:c r="Z12" s="108"/>
      <x:c r="AA12" s="108"/>
      <x:c r="AB12" s="108"/>
      <x:c r="AC12" s="108"/>
      <x:c r="AD12" s="112" t="n">
        <x:f>IFERROR(Y12/$Y$14,0)</x:f>
        <x:v>0.5080959295496394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DATA_KPI3_TOTAL!B2</x:f>
        <x:v>7763</x:v>
      </x:c>
      <x:c r="X14" s="122"/>
      <x:c r="Y14" s="122" t="n">
        <x:f>DATA_KPI3_TOTAL!C2</x:f>
        <x:v>1787812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DATA_KPI3!D7</x:f>
        <x:v>153</x:v>
      </x:c>
      <x:c r="X19" s="108"/>
      <x:c r="Y19" s="108" t="n">
        <x:f>DATA_KPI3!E7</x:f>
        <x:v>30362</x:v>
      </x:c>
      <x:c r="Z19" s="108"/>
      <x:c r="AA19" s="108"/>
      <x:c r="AB19" s="108"/>
      <x:c r="AC19" s="108"/>
      <x:c r="AD19" s="112" t="n">
        <x:f>IFERROR(Y19/$Y$29,0)</x:f>
        <x:v>0.016982770000425102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DATA_KPI3!D8</x:f>
        <x:v>161</x:v>
      </x:c>
      <x:c r="X20" s="109"/>
      <x:c r="Y20" s="109" t="n">
        <x:f>DATA_KPI3!E8</x:f>
        <x:v>19975</x:v>
      </x:c>
      <x:c r="Z20" s="109"/>
      <x:c r="AA20" s="109"/>
      <x:c r="AB20" s="109"/>
      <x:c r="AC20" s="109"/>
      <x:c r="AD20" s="113" t="n">
        <x:f>IFERROR(Y20/$Y$29,0)</x:f>
        <x:v>0.011172875000279671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DATA_KPI3!D9</x:f>
        <x:v>150</x:v>
      </x:c>
      <x:c r="X21" s="108"/>
      <x:c r="Y21" s="108" t="n">
        <x:f>DATA_KPI3!E9</x:f>
        <x:v>20965</x:v>
      </x:c>
      <x:c r="Z21" s="108"/>
      <x:c r="AA21" s="108"/>
      <x:c r="AB21" s="108"/>
      <x:c r="AC21" s="108"/>
      <x:c r="AD21" s="112" t="n">
        <x:f>IFERROR(Y21/$Y$29,0)</x:f>
        <x:v>0.01172662449966775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DATA_KPI3!D10</x:f>
        <x:v>146</x:v>
      </x:c>
      <x:c r="X22" s="109"/>
      <x:c r="Y22" s="109" t="n">
        <x:f>DATA_KPI3!E10</x:f>
        <x:v>18970</x:v>
      </x:c>
      <x:c r="Z22" s="109"/>
      <x:c r="AA22" s="109"/>
      <x:c r="AB22" s="109"/>
      <x:c r="AC22" s="109"/>
      <x:c r="AD22" s="113" t="n">
        <x:f>IFERROR(Y22/$Y$29,0)</x:f>
        <x:v>0.01061073535696147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DATA_KPI3!D11</x:f>
        <x:v>287</x:v>
      </x:c>
      <x:c r="X23" s="108"/>
      <x:c r="Y23" s="108" t="n">
        <x:f>DATA_KPI3!E11</x:f>
        <x:v>50943</x:v>
      </x:c>
      <x:c r="Z23" s="108"/>
      <x:c r="AA23" s="108"/>
      <x:c r="AB23" s="108"/>
      <x:c r="AC23" s="108"/>
      <x:c r="AD23" s="112" t="n">
        <x:f>IFERROR(Y23/$Y$29,0)</x:f>
        <x:v>0.028494606815481716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DATA_KPI3!D12</x:f>
        <x:v>476</x:v>
      </x:c>
      <x:c r="X24" s="109"/>
      <x:c r="Y24" s="109" t="n">
        <x:f>DATA_KPI3!E12</x:f>
        <x:v>110026</x:v>
      </x:c>
      <x:c r="Z24" s="109"/>
      <x:c r="AA24" s="109"/>
      <x:c r="AB24" s="109"/>
      <x:c r="AC24" s="109"/>
      <x:c r="AD24" s="113" t="n">
        <x:f>IFERROR(Y24/$Y$29,0)</x:f>
        <x:v>0.06154226507037653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DATA_KPI3!D13</x:f>
        <x:v>239</x:v>
      </x:c>
      <x:c r="X25" s="108"/>
      <x:c r="Y25" s="108" t="n">
        <x:f>DATA_KPI3!E13</x:f>
        <x:v>58139</x:v>
      </x:c>
      <x:c r="Z25" s="108"/>
      <x:c r="AA25" s="108"/>
      <x:c r="AB25" s="108"/>
      <x:c r="AC25" s="108"/>
      <x:c r="AD25" s="112" t="n">
        <x:f>IFERROR(Y25/$Y$29,0)</x:f>
        <x:v>0.032519638530225776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DATA_KPI3!D14</x:f>
        <x:v>211</x:v>
      </x:c>
      <x:c r="X26" s="109"/>
      <x:c r="Y26" s="109" t="n">
        <x:f>DATA_KPI3!E14</x:f>
        <x:v>50454</x:v>
      </x:c>
      <x:c r="Z26" s="109"/>
      <x:c r="AA26" s="109"/>
      <x:c r="AB26" s="109"/>
      <x:c r="AC26" s="109"/>
      <x:c r="AD26" s="113" t="n">
        <x:f>IFERROR(Y26/$Y$29,0)</x:f>
        <x:v>0.028221088123359727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DATA_KPI3!D15</x:f>
        <x:v>358</x:v>
      </x:c>
      <x:c r="X27" s="108"/>
      <x:c r="Y27" s="108" t="n">
        <x:f>DATA_KPI3!E15</x:f>
        <x:v>69303</x:v>
      </x:c>
      <x:c r="Z27" s="108"/>
      <x:c r="AA27" s="108"/>
      <x:c r="AB27" s="108"/>
      <x:c r="AC27" s="108"/>
      <x:c r="AD27" s="112" t="n">
        <x:f>IFERROR(Y27/$Y$29,0)</x:f>
        <x:v>0.038764142985951544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DATA_KPI3!D16</x:f>
        <x:v>5582</x:v>
      </x:c>
      <x:c r="X28" s="109"/>
      <x:c r="Y28" s="109" t="n">
        <x:f>DATA_KPI3!E16</x:f>
        <x:v>1358675</x:v>
      </x:c>
      <x:c r="Z28" s="109"/>
      <x:c r="AA28" s="109"/>
      <x:c r="AB28" s="109"/>
      <x:c r="AC28" s="109"/>
      <x:c r="AD28" s="113" t="n">
        <x:f>IFERROR(Y28/$Y$29,0)</x:f>
        <x:v>0.7599652536172707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DATA_KPI3_TOTAL!D2</x:f>
        <x:v>7763</x:v>
      </x:c>
      <x:c r="X29" s="122"/>
      <x:c r="Y29" s="122" t="n">
        <x:f>DATA_KPI3_TOTAL!E2</x:f>
        <x:v>1787812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DATA_COMMENTS!B2</x:f>
        <x:v>Average monthly new flow: €3.4M; average balance approximately €470.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DATA_COMMENTS!C2</x:f>
        <x:v>Almost all balances treated in amount, but large volumes are false positives.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DATA_COMMENTS!D2</x:f>
        <x:v>Reported stock €1.8M, down 17% quarter on quarter; review false-positive detection.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DATA_STOCK!C2</x:f>
        <x:v>2166528.21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DATA_STOCK!D2</x:f>
        <x:v>1787811.8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3c8a09d570ff4efb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GERMANY*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DATA_KPI3!D17</x:f>
        <x:v>1162</x:v>
      </x:c>
      <x:c r="X8" s="108"/>
      <x:c r="Y8" s="108" t="n">
        <x:f>DATA_KPI3!E17</x:f>
        <x:v>477</x:v>
      </x:c>
      <x:c r="Z8" s="108"/>
      <x:c r="AA8" s="108"/>
      <x:c r="AB8" s="108"/>
      <x:c r="AC8" s="108"/>
      <x:c r="AD8" s="112" t="n">
        <x:f>IFERROR(Y8/$Y$14,0)</x:f>
        <x:v>0.00013732653168744942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DATA_KPI3!D18</x:f>
        <x:v>2796</x:v>
      </x:c>
      <x:c r="X9" s="109"/>
      <x:c r="Y9" s="109" t="n">
        <x:f>DATA_KPI3!E18</x:f>
        <x:v>15745</x:v>
      </x:c>
      <x:c r="Z9" s="109"/>
      <x:c r="AA9" s="109"/>
      <x:c r="AB9" s="109"/>
      <x:c r="AC9" s="109"/>
      <x:c r="AD9" s="113" t="n">
        <x:f>IFERROR(Y9/$Y$14,0)</x:f>
        <x:v>0.004532927130857214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DATA_KPI3!D19</x:f>
        <x:v>14197</x:v>
      </x:c>
      <x:c r="X10" s="108"/>
      <x:c r="Y10" s="108" t="n">
        <x:f>DATA_KPI3!E19</x:f>
        <x:v>545285</x:v>
      </x:c>
      <x:c r="Z10" s="108"/>
      <x:c r="AA10" s="108"/>
      <x:c r="AB10" s="108"/>
      <x:c r="AC10" s="108"/>
      <x:c r="AD10" s="112" t="n">
        <x:f>IFERROR(Y10/$Y$14,0)</x:f>
        <x:v>0.15698553004442528</x:v>
      </x:c>
      <x:c r="AE10" s="112"/>
    </x:row>
    <x:row r="11" ht="20" customHeight="1">
      <x:c r="R11" s="105" t="str">
        <x:v>100 - 500 €</x:v>
      </x:c>
      <x:c r="S11" s="105"/>
      <x:c r="T11" s="105"/>
      <x:c r="U11" s="105"/>
      <x:c r="V11" s="105"/>
      <x:c r="W11" s="109" t="n">
        <x:f>DATA_KPI3!D20</x:f>
        <x:v>3712</x:v>
      </x:c>
      <x:c r="X11" s="109"/>
      <x:c r="Y11" s="109" t="n">
        <x:f>DATA_KPI3!E20</x:f>
        <x:v>778963</x:v>
      </x:c>
      <x:c r="Z11" s="109"/>
      <x:c r="AA11" s="109"/>
      <x:c r="AB11" s="109"/>
      <x:c r="AC11" s="109"/>
      <x:c r="AD11" s="113" t="n">
        <x:f>IFERROR(Y11/$Y$14,0)</x:f>
        <x:v>0.2242605599640475</x:v>
      </x:c>
      <x:c r="AE11" s="113"/>
    </x:row>
    <x:row r="12" ht="20" customHeight="1">
      <x:c r="R12" s="99" t="str">
        <x:v>500 - 1 000 €</x:v>
      </x:c>
      <x:c r="S12" s="99"/>
      <x:c r="T12" s="99"/>
      <x:c r="U12" s="99"/>
      <x:c r="V12" s="99"/>
      <x:c r="W12" s="108" t="n">
        <x:f>DATA_KPI3!D21</x:f>
        <x:v>575</x:v>
      </x:c>
      <x:c r="X12" s="108"/>
      <x:c r="Y12" s="108" t="n">
        <x:f>DATA_KPI3!E21</x:f>
        <x:v>398611</x:v>
      </x:c>
      <x:c r="Z12" s="108"/>
      <x:c r="AA12" s="108"/>
      <x:c r="AB12" s="108"/>
      <x:c r="AC12" s="108"/>
      <x:c r="AD12" s="112" t="n">
        <x:f>IFERROR(Y12/$Y$14,0)</x:f>
        <x:v>0.11475862918755954</x:v>
      </x:c>
      <x:c r="AE12" s="112"/>
    </x:row>
    <x:row r="13" ht="20" customHeight="1">
      <x:c r="R13" s="105" t="str">
        <x:v>&gt; 1 000 €</x:v>
      </x:c>
      <x:c r="S13" s="105"/>
      <x:c r="T13" s="105"/>
      <x:c r="U13" s="105"/>
      <x:c r="V13" s="105"/>
      <x:c r="W13" s="109" t="n">
        <x:f>DATA_KPI3!D22</x:f>
        <x:v>865</x:v>
      </x:c>
      <x:c r="X13" s="109"/>
      <x:c r="Y13" s="109" t="n">
        <x:f>DATA_KPI3!E22</x:f>
        <x:v>1734392</x:v>
      </x:c>
      <x:c r="Z13" s="109"/>
      <x:c r="AA13" s="109"/>
      <x:c r="AB13" s="109"/>
      <x:c r="AC13" s="109"/>
      <x:c r="AD13" s="113" t="n">
        <x:f>IFERROR(Y13/$Y$14,0)</x:f>
        <x:v>0.499325027141423</x:v>
      </x:c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DATA_KPI3_TOTAL!B3</x:f>
        <x:v>23307</x:v>
      </x:c>
      <x:c r="X14" s="122"/>
      <x:c r="Y14" s="122" t="n">
        <x:f>DATA_KPI3_TOTAL!C3</x:f>
        <x:v>3473473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DATA_KPI3!D23</x:f>
        <x:v>2354</x:v>
      </x:c>
      <x:c r="X19" s="108"/>
      <x:c r="Y19" s="108" t="n">
        <x:f>DATA_KPI3!E23</x:f>
        <x:v>88890</x:v>
      </x:c>
      <x:c r="Z19" s="108"/>
      <x:c r="AA19" s="108"/>
      <x:c r="AB19" s="108"/>
      <x:c r="AC19" s="108"/>
      <x:c r="AD19" s="112" t="n">
        <x:f>IFERROR(Y19/$Y$29,0)</x:f>
        <x:v>0.025591101471063686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DATA_KPI3!D24</x:f>
        <x:v>199</x:v>
      </x:c>
      <x:c r="X20" s="109"/>
      <x:c r="Y20" s="109" t="n">
        <x:f>DATA_KPI3!E24</x:f>
        <x:v>13089</x:v>
      </x:c>
      <x:c r="Z20" s="109"/>
      <x:c r="AA20" s="109"/>
      <x:c r="AB20" s="109"/>
      <x:c r="AC20" s="109"/>
      <x:c r="AD20" s="113" t="n">
        <x:f>IFERROR(Y20/$Y$29,0)</x:f>
        <x:v>0.0037682745770587535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DATA_KPI3!D25</x:f>
        <x:v>400</x:v>
      </x:c>
      <x:c r="X21" s="108"/>
      <x:c r="Y21" s="108" t="n">
        <x:f>DATA_KPI3!E25</x:f>
        <x:v>28105</x:v>
      </x:c>
      <x:c r="Z21" s="108"/>
      <x:c r="AA21" s="108"/>
      <x:c r="AB21" s="108"/>
      <x:c r="AC21" s="108"/>
      <x:c r="AD21" s="112" t="n">
        <x:f>IFERROR(Y21/$Y$29,0)</x:f>
        <x:v>0.008091325310431375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DATA_KPI3!D26</x:f>
        <x:v>359</x:v>
      </x:c>
      <x:c r="X22" s="109"/>
      <x:c r="Y22" s="109" t="n">
        <x:f>DATA_KPI3!E26</x:f>
        <x:v>23138</x:v>
      </x:c>
      <x:c r="Z22" s="109"/>
      <x:c r="AA22" s="109"/>
      <x:c r="AB22" s="109"/>
      <x:c r="AC22" s="109"/>
      <x:c r="AD22" s="113" t="n">
        <x:f>IFERROR(Y22/$Y$29,0)</x:f>
        <x:v>0.006661344423866257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DATA_KPI3!D27</x:f>
        <x:v>388</x:v>
      </x:c>
      <x:c r="X23" s="108"/>
      <x:c r="Y23" s="108" t="n">
        <x:f>DATA_KPI3!E27</x:f>
        <x:v>29819</x:v>
      </x:c>
      <x:c r="Z23" s="108"/>
      <x:c r="AA23" s="108"/>
      <x:c r="AB23" s="108"/>
      <x:c r="AC23" s="108"/>
      <x:c r="AD23" s="112" t="n">
        <x:f>IFERROR(Y23/$Y$29,0)</x:f>
        <x:v>0.008584779556369087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DATA_KPI3!D28</x:f>
        <x:v>540</x:v>
      </x:c>
      <x:c r="X24" s="109"/>
      <x:c r="Y24" s="109" t="n">
        <x:f>DATA_KPI3!E28</x:f>
        <x:v>273897</x:v>
      </x:c>
      <x:c r="Z24" s="109"/>
      <x:c r="AA24" s="109"/>
      <x:c r="AB24" s="109"/>
      <x:c r="AC24" s="109"/>
      <x:c r="AD24" s="113" t="n">
        <x:f>IFERROR(Y24/$Y$29,0)</x:f>
        <x:v>0.0788539309215877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DATA_KPI3!D29</x:f>
        <x:v>1107</x:v>
      </x:c>
      <x:c r="X25" s="108"/>
      <x:c r="Y25" s="108" t="n">
        <x:f>DATA_KPI3!E29</x:f>
        <x:v>222500</x:v>
      </x:c>
      <x:c r="Z25" s="108"/>
      <x:c r="AA25" s="108"/>
      <x:c r="AB25" s="108"/>
      <x:c r="AC25" s="108"/>
      <x:c r="AD25" s="112" t="n">
        <x:f>IFERROR(Y25/$Y$29,0)</x:f>
        <x:v>0.06405692515819182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DATA_KPI3!D30</x:f>
        <x:v>3171</x:v>
      </x:c>
      <x:c r="X26" s="109"/>
      <x:c r="Y26" s="109" t="n">
        <x:f>DATA_KPI3!E30</x:f>
        <x:v>253677</x:v>
      </x:c>
      <x:c r="Z26" s="109"/>
      <x:c r="AA26" s="109"/>
      <x:c r="AB26" s="109"/>
      <x:c r="AC26" s="109"/>
      <x:c r="AD26" s="113" t="n">
        <x:f>IFERROR(Y26/$Y$29,0)</x:f>
        <x:v>0.07303266788024551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DATA_KPI3!D31</x:f>
        <x:v>4704</x:v>
      </x:c>
      <x:c r="X27" s="108"/>
      <x:c r="Y27" s="108" t="n">
        <x:f>DATA_KPI3!E31</x:f>
        <x:v>553548</x:v>
      </x:c>
      <x:c r="Z27" s="108"/>
      <x:c r="AA27" s="108"/>
      <x:c r="AB27" s="108"/>
      <x:c r="AC27" s="108"/>
      <x:c r="AD27" s="112" t="n">
        <x:f>IFERROR(Y27/$Y$29,0)</x:f>
        <x:v>0.15936441711221017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DATA_KPI3!D32</x:f>
        <x:v>10085</x:v>
      </x:c>
      <x:c r="X28" s="109"/>
      <x:c r="Y28" s="109" t="n">
        <x:f>DATA_KPI3!E32</x:f>
        <x:v>1986810</x:v>
      </x:c>
      <x:c r="Z28" s="109"/>
      <x:c r="AA28" s="109"/>
      <x:c r="AB28" s="109"/>
      <x:c r="AC28" s="109"/>
      <x:c r="AD28" s="113" t="n">
        <x:f>IFERROR(Y28/$Y$29,0)</x:f>
        <x:v>0.5719952335889756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DATA_KPI3_TOTAL!D3</x:f>
        <x:v>23307</x:v>
      </x:c>
      <x:c r="X29" s="122"/>
      <x:c r="Y29" s="122" t="n">
        <x:f>DATA_KPI3_TOTAL!E3</x:f>
        <x:v>3473473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DATA_COMMENTS!B3</x:f>
        <x:v>Average monthly inflow approximately €0.8M for Germany; €260 mean balance.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DATA_COMMENTS!C3</x:f>
        <x:v>About 75% treated within 3–6 months in amount versus ~60% in number.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DATA_COMMENTS!D3</x:f>
        <x:v>Germany stock €3.47M. Open question: book-out of aged cases &gt;3 years.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DATA_STOCK!C3</x:f>
        <x:v>4144111.17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DATA_STOCK!D3</x:f>
        <x:v>3473473.18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R13:V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a035fefb3fb7494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AUSTRIA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DATA_KPI3!D33</x:f>
        <x:v>5</x:v>
      </x:c>
      <x:c r="X8" s="108"/>
      <x:c r="Y8" s="108" t="n">
        <x:f>DATA_KPI3!E33</x:f>
        <x:v>1.21</x:v>
      </x:c>
      <x:c r="Z8" s="108"/>
      <x:c r="AA8" s="108"/>
      <x:c r="AB8" s="108"/>
      <x:c r="AC8" s="108"/>
      <x:c r="AD8" s="112" t="n">
        <x:f>IFERROR(Y8/$Y$14,0)</x:f>
        <x:v>0.00010090060040026684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DATA_KPI3!D34</x:f>
        <x:v>19</x:v>
      </x:c>
      <x:c r="X9" s="109"/>
      <x:c r="Y9" s="109" t="n">
        <x:f>DATA_KPI3!E34</x:f>
        <x:v>83.42</x:v>
      </x:c>
      <x:c r="Z9" s="109"/>
      <x:c r="AA9" s="109"/>
      <x:c r="AB9" s="109"/>
      <x:c r="AC9" s="109"/>
      <x:c r="AD9" s="113" t="n">
        <x:f>IFERROR(Y9/$Y$14,0)</x:f>
        <x:v>0.006956304202801868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DATA_KPI3!D35</x:f>
        <x:v>32</x:v>
      </x:c>
      <x:c r="X10" s="108"/>
      <x:c r="Y10" s="108" t="n">
        <x:f>DATA_KPI3!E35</x:f>
        <x:v>1265.6</x:v>
      </x:c>
      <x:c r="Z10" s="108"/>
      <x:c r="AA10" s="108"/>
      <x:c r="AB10" s="108"/>
      <x:c r="AC10" s="108"/>
      <x:c r="AD10" s="112" t="n">
        <x:f>IFERROR(Y10/$Y$14,0)</x:f>
        <x:v>0.10553702468312208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DATA_KPI3!D36</x:f>
        <x:v>14</x:v>
      </x:c>
      <x:c r="X11" s="109"/>
      <x:c r="Y11" s="109" t="n">
        <x:f>DATA_KPI3!E36</x:f>
        <x:v>3254</x:v>
      </x:c>
      <x:c r="Z11" s="109"/>
      <x:c r="AA11" s="109"/>
      <x:c r="AB11" s="109"/>
      <x:c r="AC11" s="109"/>
      <x:c r="AD11" s="113" t="n">
        <x:f>IFERROR(Y11/$Y$14,0)</x:f>
        <x:v>0.2713475650433622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DATA_KPI3!D37</x:f>
        <x:v>4</x:v>
      </x:c>
      <x:c r="X12" s="108"/>
      <x:c r="Y12" s="108" t="n">
        <x:f>DATA_KPI3!E37</x:f>
        <x:v>7388.06</x:v>
      </x:c>
      <x:c r="Z12" s="108"/>
      <x:c r="AA12" s="108"/>
      <x:c r="AB12" s="108"/>
      <x:c r="AC12" s="108"/>
      <x:c r="AD12" s="112" t="n">
        <x:f>IFERROR(Y12/$Y$14,0)</x:f>
        <x:v>0.6160823882588392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DATA_KPI3_TOTAL!B4</x:f>
        <x:v>74</x:v>
      </x:c>
      <x:c r="X14" s="122"/>
      <x:c r="Y14" s="122" t="n">
        <x:f>DATA_KPI3_TOTAL!C4</x:f>
        <x:v>11992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2019</x:v>
      </x:c>
      <x:c r="S19" s="99"/>
      <x:c r="T19" s="99"/>
      <x:c r="U19" s="99"/>
      <x:c r="V19" s="99"/>
      <x:c r="W19" s="108" t="n">
        <x:f>DATA_KPI3!D38</x:f>
        <x:v>1</x:v>
      </x:c>
      <x:c r="X19" s="108"/>
      <x:c r="Y19" s="108" t="n">
        <x:f>DATA_KPI3!E38</x:f>
        <x:v>2314.9</x:v>
      </x:c>
      <x:c r="Z19" s="108"/>
      <x:c r="AA19" s="108"/>
      <x:c r="AB19" s="108"/>
      <x:c r="AC19" s="108"/>
      <x:c r="AD19" s="112" t="n">
        <x:f>IFERROR(Y19/$Y$29,0)</x:f>
        <x:v>0.19303235662246326</x:v>
      </x:c>
      <x:c r="AE19" s="112"/>
    </x:row>
    <x:row r="20" ht="20" customHeight="1">
      <x:c r="R20" s="105" t="str">
        <x:v>2020</x:v>
      </x:c>
      <x:c r="S20" s="105"/>
      <x:c r="T20" s="105"/>
      <x:c r="U20" s="105"/>
      <x:c r="V20" s="105"/>
      <x:c r="W20" s="109" t="n">
        <x:f>DATA_KPI3!D39</x:f>
        <x:v>0</x:v>
      </x:c>
      <x:c r="X20" s="109"/>
      <x:c r="Y20" s="109" t="n">
        <x:f>DATA_KPI3!E39</x:f>
        <x:v>0</x:v>
      </x:c>
      <x:c r="Z20" s="109"/>
      <x:c r="AA20" s="109"/>
      <x:c r="AB20" s="109"/>
      <x:c r="AC20" s="109"/>
      <x:c r="AD20" s="113" t="n">
        <x:f>IFERROR(Y20/$Y$29,0)</x:f>
        <x:v>0</x:v>
      </x:c>
      <x:c r="AE20" s="113"/>
    </x:row>
    <x:row r="21" ht="20" customHeight="1">
      <x:c r="R21" s="99" t="str">
        <x:v>2021</x:v>
      </x:c>
      <x:c r="S21" s="99"/>
      <x:c r="T21" s="99"/>
      <x:c r="U21" s="99"/>
      <x:c r="V21" s="99"/>
      <x:c r="W21" s="108" t="n">
        <x:f>DATA_KPI3!D40</x:f>
        <x:v>1</x:v>
      </x:c>
      <x:c r="X21" s="108"/>
      <x:c r="Y21" s="108" t="n">
        <x:f>DATA_KPI3!E40</x:f>
        <x:v>81.01</x:v>
      </x:c>
      <x:c r="Z21" s="108"/>
      <x:c r="AA21" s="108"/>
      <x:c r="AB21" s="108"/>
      <x:c r="AC21" s="108"/>
      <x:c r="AD21" s="112" t="n">
        <x:f>IFERROR(Y21/$Y$29,0)</x:f>
        <x:v>0.006755173532327854</x:v>
      </x:c>
      <x:c r="AE21" s="112"/>
    </x:row>
    <x:row r="22" ht="20" customHeight="1">
      <x:c r="R22" s="105" t="str">
        <x:v>2022</x:v>
      </x:c>
      <x:c r="S22" s="105"/>
      <x:c r="T22" s="105"/>
      <x:c r="U22" s="105"/>
      <x:c r="V22" s="105"/>
      <x:c r="W22" s="109" t="n">
        <x:f>DATA_KPI3!D41</x:f>
        <x:v>0</x:v>
      </x:c>
      <x:c r="X22" s="109"/>
      <x:c r="Y22" s="109" t="n">
        <x:f>DATA_KPI3!E41</x:f>
        <x:v>0</x:v>
      </x:c>
      <x:c r="Z22" s="109"/>
      <x:c r="AA22" s="109"/>
      <x:c r="AB22" s="109"/>
      <x:c r="AC22" s="109"/>
      <x:c r="AD22" s="113" t="n">
        <x:f>IFERROR(Y22/$Y$29,0)</x:f>
        <x:v>0</x:v>
      </x:c>
      <x:c r="AE22" s="113"/>
    </x:row>
    <x:row r="23" ht="20" customHeight="1">
      <x:c r="R23" s="99" t="str">
        <x:v>2023</x:v>
      </x:c>
      <x:c r="S23" s="99"/>
      <x:c r="T23" s="99"/>
      <x:c r="U23" s="99"/>
      <x:c r="V23" s="99"/>
      <x:c r="W23" s="108" t="n">
        <x:f>DATA_KPI3!D42</x:f>
        <x:v>1</x:v>
      </x:c>
      <x:c r="X23" s="108"/>
      <x:c r="Y23" s="108" t="n">
        <x:f>DATA_KPI3!E42</x:f>
        <x:v>47.06</x:v>
      </x:c>
      <x:c r="Z23" s="108"/>
      <x:c r="AA23" s="108"/>
      <x:c r="AB23" s="108"/>
      <x:c r="AC23" s="108"/>
      <x:c r="AD23" s="112" t="n">
        <x:f>IFERROR(Y23/$Y$29,0)</x:f>
        <x:v>0.003924187957429315</x:v>
      </x:c>
      <x:c r="AE23" s="112"/>
    </x:row>
    <x:row r="24" ht="20" customHeight="1">
      <x:c r="R24" s="105" t="str">
        <x:v>2024</x:v>
      </x:c>
      <x:c r="S24" s="105"/>
      <x:c r="T24" s="105"/>
      <x:c r="U24" s="105"/>
      <x:c r="V24" s="105"/>
      <x:c r="W24" s="109" t="n">
        <x:f>DATA_KPI3!D43</x:f>
        <x:v>3</x:v>
      </x:c>
      <x:c r="X24" s="109"/>
      <x:c r="Y24" s="109" t="n">
        <x:f>DATA_KPI3!E43</x:f>
        <x:v>3734.12</x:v>
      </x:c>
      <x:c r="Z24" s="109"/>
      <x:c r="AA24" s="109"/>
      <x:c r="AB24" s="109"/>
      <x:c r="AC24" s="109"/>
      <x:c r="AD24" s="113" t="n">
        <x:f>IFERROR(Y24/$Y$29,0)</x:f>
        <x:v>0.3113767262132587</x:v>
      </x:c>
      <x:c r="AE24" s="113"/>
    </x:row>
    <x:row r="25" ht="20" customHeight="1">
      <x:c r="R25" s="99" t="str">
        <x:v>2025</x:v>
      </x:c>
      <x:c r="S25" s="99"/>
      <x:c r="T25" s="99"/>
      <x:c r="U25" s="99"/>
      <x:c r="V25" s="99"/>
      <x:c r="W25" s="108" t="n">
        <x:f>DATA_KPI3!D44</x:f>
        <x:v>3</x:v>
      </x:c>
      <x:c r="X25" s="108"/>
      <x:c r="Y25" s="108" t="n">
        <x:f>DATA_KPI3!E44</x:f>
        <x:v>429.88</x:v>
      </x:c>
      <x:c r="Z25" s="108"/>
      <x:c r="AA25" s="108"/>
      <x:c r="AB25" s="108"/>
      <x:c r="AC25" s="108"/>
      <x:c r="AD25" s="112" t="n">
        <x:f>IFERROR(Y25/$Y$29,0)</x:f>
        <x:v>0.035846364622603356</x:v>
      </x:c>
      <x:c r="AE25" s="112"/>
    </x:row>
    <x:row r="26" ht="20" customHeight="1">
      <x:c r="R26" s="105" t="str">
        <x:v>2026</x:v>
      </x:c>
      <x:c r="S26" s="105"/>
      <x:c r="T26" s="105"/>
      <x:c r="U26" s="105"/>
      <x:c r="V26" s="105"/>
      <x:c r="W26" s="109" t="n">
        <x:f>DATA_KPI3!D45</x:f>
        <x:v>65</x:v>
      </x:c>
      <x:c r="X26" s="109"/>
      <x:c r="Y26" s="109" t="n">
        <x:f>DATA_KPI3!E45</x:f>
        <x:v>5385.32</x:v>
      </x:c>
      <x:c r="Z26" s="109"/>
      <x:c r="AA26" s="109"/>
      <x:c r="AB26" s="109"/>
      <x:c r="AC26" s="109"/>
      <x:c r="AD26" s="113" t="n">
        <x:f>IFERROR(Y26/$Y$29,0)</x:f>
        <x:v>0.44906519105191745</x:v>
      </x:c>
      <x:c r="AE26" s="113"/>
    </x:row>
    <x:row r="27" ht="20" customHeight="1">
      <x:c r="R27" s="96"/>
      <x:c r="S27" s="96"/>
      <x:c r="T27" s="96"/>
      <x:c r="U27" s="96"/>
      <x:c r="V27" s="96"/>
      <x:c r="W27" s="108"/>
      <x:c r="X27" s="108"/>
      <x:c r="Y27" s="108"/>
      <x:c r="Z27" s="108"/>
      <x:c r="AA27" s="108"/>
      <x:c r="AB27" s="108"/>
      <x:c r="AC27" s="108"/>
      <x:c r="AD27" s="112"/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DATA_KPI3_TOTAL!D4</x:f>
        <x:v>74</x:v>
      </x:c>
      <x:c r="X29" s="122"/>
      <x:c r="Y29" s="122" t="n">
        <x:f>DATA_KPI3_TOTAL!E4</x:f>
        <x:v>11992.29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DATA_COMMENTS!B4</x:f>
        <x:v>Austria reported separately in this edition; Germany + Austria is the core presentation group.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DATA_COMMENTS!C4</x:f>
        <x:v>Stock €12K, with euro-denominated monthly cohorts and available KPI_3 breakdown.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DATA_COMMENTS!D4</x:f>
        <x:v>Germany and Austria must not be double-counted in consolidated tables.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DATA_STOCK!C4</x:f>
        <x:v>40421.54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DATA_STOCK!D4</x:f>
        <x:v>11992.29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f4c76828cd2a40ab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BELGIUM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DATA_KPI3!D46</x:f>
        <x:v>11</x:v>
      </x:c>
      <x:c r="X8" s="108"/>
      <x:c r="Y8" s="108" t="n">
        <x:f>DATA_KPI3!E46</x:f>
        <x:v>4</x:v>
      </x:c>
      <x:c r="Z8" s="108"/>
      <x:c r="AA8" s="108"/>
      <x:c r="AB8" s="108"/>
      <x:c r="AC8" s="108"/>
      <x:c r="AD8" s="112" t="n">
        <x:f>IFERROR(Y8/$Y$14,0)</x:f>
        <x:v>0.000029268863782707956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DATA_KPI3!D47</x:f>
        <x:v>12</x:v>
      </x:c>
      <x:c r="X9" s="109"/>
      <x:c r="Y9" s="109" t="n">
        <x:f>DATA_KPI3!E47</x:f>
        <x:v>67</x:v>
      </x:c>
      <x:c r="Z9" s="109"/>
      <x:c r="AA9" s="109"/>
      <x:c r="AB9" s="109"/>
      <x:c r="AC9" s="109"/>
      <x:c r="AD9" s="113" t="n">
        <x:f>IFERROR(Y9/$Y$14,0)</x:f>
        <x:v>0.0004902534683603583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DATA_KPI3!D48</x:f>
        <x:v>79</x:v>
      </x:c>
      <x:c r="X10" s="108"/>
      <x:c r="Y10" s="108" t="n">
        <x:f>DATA_KPI3!E48</x:f>
        <x:v>3911</x:v>
      </x:c>
      <x:c r="Z10" s="108"/>
      <x:c r="AA10" s="108"/>
      <x:c r="AB10" s="108"/>
      <x:c r="AC10" s="108"/>
      <x:c r="AD10" s="112" t="n">
        <x:f>IFERROR(Y10/$Y$14,0)</x:f>
        <x:v>0.028617631563542703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DATA_KPI3!D49</x:f>
        <x:v>179</x:v>
      </x:c>
      <x:c r="X11" s="109"/>
      <x:c r="Y11" s="109" t="n">
        <x:f>DATA_KPI3!E49</x:f>
        <x:v>54979</x:v>
      </x:c>
      <x:c r="Z11" s="109"/>
      <x:c r="AA11" s="109"/>
      <x:c r="AB11" s="109"/>
      <x:c r="AC11" s="109"/>
      <x:c r="AD11" s="113" t="n">
        <x:f>IFERROR(Y11/$Y$14,0)</x:f>
        <x:v>0.4022932154773752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DATA_KPI3!D50</x:f>
        <x:v>14</x:v>
      </x:c>
      <x:c r="X12" s="108"/>
      <x:c r="Y12" s="108" t="n">
        <x:f>DATA_KPI3!E50</x:f>
        <x:v>77704</x:v>
      </x:c>
      <x:c r="Z12" s="108"/>
      <x:c r="AA12" s="108"/>
      <x:c r="AB12" s="108"/>
      <x:c r="AC12" s="108"/>
      <x:c r="AD12" s="112" t="n">
        <x:f>IFERROR(Y12/$Y$14,0)</x:f>
        <x:v>0.5685769478428847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DATA_KPI3_TOTAL!B5</x:f>
        <x:v>295</x:v>
      </x:c>
      <x:c r="X14" s="122"/>
      <x:c r="Y14" s="122" t="n">
        <x:f>DATA_KPI3_TOTAL!C5</x:f>
        <x:v>136664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2018</x:v>
      </x:c>
      <x:c r="S19" s="99"/>
      <x:c r="T19" s="99"/>
      <x:c r="U19" s="99"/>
      <x:c r="V19" s="99"/>
      <x:c r="W19" s="108" t="n">
        <x:f>DATA_KPI3!D51</x:f>
        <x:v>4</x:v>
      </x:c>
      <x:c r="X19" s="108"/>
      <x:c r="Y19" s="108" t="n">
        <x:f>DATA_KPI3!E51</x:f>
        <x:v>559</x:v>
      </x:c>
      <x:c r="Z19" s="108"/>
      <x:c r="AA19" s="108"/>
      <x:c r="AB19" s="108"/>
      <x:c r="AC19" s="108"/>
      <x:c r="AD19" s="112" t="n">
        <x:f>IFERROR(Y19/$Y$29,0)</x:f>
        <x:v>0.004090323713633437</x:v>
      </x:c>
      <x:c r="AE19" s="112"/>
    </x:row>
    <x:row r="20" ht="20" customHeight="1">
      <x:c r="R20" s="105" t="str">
        <x:v>2019</x:v>
      </x:c>
      <x:c r="S20" s="105"/>
      <x:c r="T20" s="105"/>
      <x:c r="U20" s="105"/>
      <x:c r="V20" s="105"/>
      <x:c r="W20" s="109" t="n">
        <x:f>DATA_KPI3!D52</x:f>
        <x:v>4</x:v>
      </x:c>
      <x:c r="X20" s="109"/>
      <x:c r="Y20" s="109" t="n">
        <x:f>DATA_KPI3!E52</x:f>
        <x:v>2056</x:v>
      </x:c>
      <x:c r="Z20" s="109"/>
      <x:c r="AA20" s="109"/>
      <x:c r="AB20" s="109"/>
      <x:c r="AC20" s="109"/>
      <x:c r="AD20" s="113" t="n">
        <x:f>IFERROR(Y20/$Y$29,0)</x:f>
        <x:v>0.015044195984311889</x:v>
      </x:c>
      <x:c r="AE20" s="113"/>
    </x:row>
    <x:row r="21" ht="20" customHeight="1">
      <x:c r="R21" s="99" t="str">
        <x:v>2020</x:v>
      </x:c>
      <x:c r="S21" s="99"/>
      <x:c r="T21" s="99"/>
      <x:c r="U21" s="99"/>
      <x:c r="V21" s="99"/>
      <x:c r="W21" s="108" t="n">
        <x:f>DATA_KPI3!D53</x:f>
        <x:v>9</x:v>
      </x:c>
      <x:c r="X21" s="108"/>
      <x:c r="Y21" s="108" t="n">
        <x:f>DATA_KPI3!E53</x:f>
        <x:v>1953</x:v>
      </x:c>
      <x:c r="Z21" s="108"/>
      <x:c r="AA21" s="108"/>
      <x:c r="AB21" s="108"/>
      <x:c r="AC21" s="108"/>
      <x:c r="AD21" s="112" t="n">
        <x:f>IFERROR(Y21/$Y$29,0)</x:f>
        <x:v>0.014290522741907159</x:v>
      </x:c>
      <x:c r="AE21" s="112"/>
    </x:row>
    <x:row r="22" ht="20" customHeight="1">
      <x:c r="R22" s="105" t="str">
        <x:v>2021</x:v>
      </x:c>
      <x:c r="S22" s="105"/>
      <x:c r="T22" s="105"/>
      <x:c r="U22" s="105"/>
      <x:c r="V22" s="105"/>
      <x:c r="W22" s="109" t="n">
        <x:f>DATA_KPI3!D54</x:f>
        <x:v>22</x:v>
      </x:c>
      <x:c r="X22" s="109"/>
      <x:c r="Y22" s="109" t="n">
        <x:f>DATA_KPI3!E54</x:f>
        <x:v>9241</x:v>
      </x:c>
      <x:c r="Z22" s="109"/>
      <x:c r="AA22" s="109"/>
      <x:c r="AB22" s="109"/>
      <x:c r="AC22" s="109"/>
      <x:c r="AD22" s="113" t="n">
        <x:f>IFERROR(Y22/$Y$29,0)</x:f>
        <x:v>0.06761839255400105</x:v>
      </x:c>
      <x:c r="AE22" s="113"/>
    </x:row>
    <x:row r="23" ht="20" customHeight="1">
      <x:c r="R23" s="99" t="str">
        <x:v>2022</x:v>
      </x:c>
      <x:c r="S23" s="99"/>
      <x:c r="T23" s="99"/>
      <x:c r="U23" s="99"/>
      <x:c r="V23" s="99"/>
      <x:c r="W23" s="108" t="n">
        <x:f>DATA_KPI3!D55</x:f>
        <x:v>11</x:v>
      </x:c>
      <x:c r="X23" s="108"/>
      <x:c r="Y23" s="108" t="n">
        <x:f>DATA_KPI3!E55</x:f>
        <x:v>2958</x:v>
      </x:c>
      <x:c r="Z23" s="108"/>
      <x:c r="AA23" s="108"/>
      <x:c r="AB23" s="108"/>
      <x:c r="AC23" s="108"/>
      <x:c r="AD23" s="112" t="n">
        <x:f>IFERROR(Y23/$Y$29,0)</x:f>
        <x:v>0.021644324767312532</x:v>
      </x:c>
      <x:c r="AE23" s="112"/>
    </x:row>
    <x:row r="24" ht="20" customHeight="1">
      <x:c r="R24" s="105" t="str">
        <x:v>2023</x:v>
      </x:c>
      <x:c r="S24" s="105"/>
      <x:c r="T24" s="105"/>
      <x:c r="U24" s="105"/>
      <x:c r="V24" s="105"/>
      <x:c r="W24" s="109" t="n">
        <x:f>DATA_KPI3!D56</x:f>
        <x:v>4</x:v>
      </x:c>
      <x:c r="X24" s="109"/>
      <x:c r="Y24" s="109" t="n">
        <x:f>DATA_KPI3!E56</x:f>
        <x:v>841</x:v>
      </x:c>
      <x:c r="Z24" s="109"/>
      <x:c r="AA24" s="109"/>
      <x:c r="AB24" s="109"/>
      <x:c r="AC24" s="109"/>
      <x:c r="AD24" s="113" t="n">
        <x:f>IFERROR(Y24/$Y$29,0)</x:f>
        <x:v>0.006153778610314347</x:v>
      </x:c>
      <x:c r="AE24" s="113"/>
    </x:row>
    <x:row r="25" ht="20" customHeight="1">
      <x:c r="R25" s="99" t="str">
        <x:v>2024</x:v>
      </x:c>
      <x:c r="S25" s="99"/>
      <x:c r="T25" s="99"/>
      <x:c r="U25" s="99"/>
      <x:c r="V25" s="99"/>
      <x:c r="W25" s="108" t="n">
        <x:f>DATA_KPI3!D57</x:f>
        <x:v>2</x:v>
      </x:c>
      <x:c r="X25" s="108"/>
      <x:c r="Y25" s="108" t="n">
        <x:f>DATA_KPI3!E57</x:f>
        <x:v>5209</x:v>
      </x:c>
      <x:c r="Z25" s="108"/>
      <x:c r="AA25" s="108"/>
      <x:c r="AB25" s="108"/>
      <x:c r="AC25" s="108"/>
      <x:c r="AD25" s="112" t="n">
        <x:f>IFERROR(Y25/$Y$29,0)</x:f>
        <x:v>0.03811537786103143</x:v>
      </x:c>
      <x:c r="AE25" s="112"/>
    </x:row>
    <x:row r="26" ht="20" customHeight="1">
      <x:c r="R26" s="105" t="str">
        <x:v>2025</x:v>
      </x:c>
      <x:c r="S26" s="105"/>
      <x:c r="T26" s="105"/>
      <x:c r="U26" s="105"/>
      <x:c r="V26" s="105"/>
      <x:c r="W26" s="109" t="n">
        <x:f>DATA_KPI3!D58</x:f>
        <x:v>4</x:v>
      </x:c>
      <x:c r="X26" s="109"/>
      <x:c r="Y26" s="109" t="n">
        <x:f>DATA_KPI3!E58</x:f>
        <x:v>1688</x:v>
      </x:c>
      <x:c r="Z26" s="109"/>
      <x:c r="AA26" s="109"/>
      <x:c r="AB26" s="109"/>
      <x:c r="AC26" s="109"/>
      <x:c r="AD26" s="113" t="n">
        <x:f>IFERROR(Y26/$Y$29,0)</x:f>
        <x:v>0.012351460516302757</x:v>
      </x:c>
      <x:c r="AE26" s="113"/>
    </x:row>
    <x:row r="27" ht="20" customHeight="1">
      <x:c r="R27" s="99" t="str">
        <x:v>2026</x:v>
      </x:c>
      <x:c r="S27" s="99"/>
      <x:c r="T27" s="99"/>
      <x:c r="U27" s="99"/>
      <x:c r="V27" s="99"/>
      <x:c r="W27" s="108" t="n">
        <x:f>DATA_KPI3!D59</x:f>
        <x:v>235</x:v>
      </x:c>
      <x:c r="X27" s="108"/>
      <x:c r="Y27" s="108" t="n">
        <x:f>DATA_KPI3!E59</x:f>
        <x:v>112161</x:v>
      </x:c>
      <x:c r="Z27" s="108"/>
      <x:c r="AA27" s="108"/>
      <x:c r="AB27" s="108"/>
      <x:c r="AC27" s="108"/>
      <x:c r="AD27" s="112" t="n">
        <x:f>IFERROR(Y27/$Y$29,0)</x:f>
        <x:v>0.8207062576830767</x:v>
      </x:c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DATA_KPI3_TOTAL!D5</x:f>
        <x:v>295</x:v>
      </x:c>
      <x:c r="X29" s="122"/>
      <x:c r="Y29" s="122" t="n">
        <x:f>DATA_KPI3_TOTAL!E5</x:f>
        <x:v>136664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DATA_COMMENTS!B5</x:f>
        <x:v>Average monthly new flow approximately €0.1M, mean amount €470.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DATA_COMMENTS!C5</x:f>
        <x:v>Nearly all positive balances processed within 3–6 months in amount and number.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DATA_COMMENTS!D5</x:f>
        <x:v>Stock €0.14M, down 42% vs the preceding quarter.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DATA_STOCK!C5</x:f>
        <x:v>237187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DATA_STOCK!D5</x:f>
        <x:v>136664.22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090e84b328b94a7f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ITALY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DATA_KPI3!D60</x:f>
        <x:v>18778</x:v>
      </x:c>
      <x:c r="X8" s="108"/>
      <x:c r="Y8" s="108" t="n">
        <x:f>DATA_KPI3!E60</x:f>
        <x:v>8558</x:v>
      </x:c>
      <x:c r="Z8" s="108"/>
      <x:c r="AA8" s="108"/>
      <x:c r="AB8" s="108"/>
      <x:c r="AC8" s="108"/>
      <x:c r="AD8" s="112" t="n">
        <x:f>IFERROR(Y8/$Y$14,0)</x:f>
        <x:v>0.0028307332022379926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DATA_KPI3!D61</x:f>
        <x:v>75068</x:v>
      </x:c>
      <x:c r="X9" s="109"/>
      <x:c r="Y9" s="109" t="n">
        <x:f>DATA_KPI3!E61</x:f>
        <x:v>205306</x:v>
      </x:c>
      <x:c r="Z9" s="109"/>
      <x:c r="AA9" s="109"/>
      <x:c r="AB9" s="109"/>
      <x:c r="AC9" s="109"/>
      <x:c r="AD9" s="113" t="n">
        <x:f>IFERROR(Y9/$Y$14,0)</x:f>
        <x:v>0.0679091505981156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DATA_KPI3!D62</x:f>
        <x:v>8379</x:v>
      </x:c>
      <x:c r="X10" s="108"/>
      <x:c r="Y10" s="108" t="n">
        <x:f>DATA_KPI3!E62</x:f>
        <x:v>310582</x:v>
      </x:c>
      <x:c r="Z10" s="108"/>
      <x:c r="AA10" s="108"/>
      <x:c r="AB10" s="108"/>
      <x:c r="AC10" s="108"/>
      <x:c r="AD10" s="112" t="n">
        <x:f>IFERROR(Y10/$Y$14,0)</x:f>
        <x:v>0.10273133669285817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DATA_KPI3!D63</x:f>
        <x:v>5882</x:v>
      </x:c>
      <x:c r="X11" s="109"/>
      <x:c r="Y11" s="109" t="n">
        <x:f>DATA_KPI3!E63</x:f>
        <x:v>1654928</x:v>
      </x:c>
      <x:c r="Z11" s="109"/>
      <x:c r="AA11" s="109"/>
      <x:c r="AB11" s="109"/>
      <x:c r="AC11" s="109"/>
      <x:c r="AD11" s="113" t="n">
        <x:f>IFERROR(Y11/$Y$14,0)</x:f>
        <x:v>0.5474012195505161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DATA_KPI3!D64</x:f>
        <x:v>366</x:v>
      </x:c>
      <x:c r="X12" s="108"/>
      <x:c r="Y12" s="108" t="n">
        <x:f>DATA_KPI3!E64</x:f>
        <x:v>843871</x:v>
      </x:c>
      <x:c r="Z12" s="108"/>
      <x:c r="AA12" s="108"/>
      <x:c r="AB12" s="108"/>
      <x:c r="AC12" s="108"/>
      <x:c r="AD12" s="112" t="n">
        <x:f>IFERROR(Y12/$Y$14,0)</x:f>
        <x:v>0.27912755995627214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DATA_KPI3_TOTAL!B6</x:f>
        <x:v>108473</x:v>
      </x:c>
      <x:c r="X14" s="122"/>
      <x:c r="Y14" s="122" t="n">
        <x:f>DATA_KPI3_TOTAL!C6</x:f>
        <x:v>3023245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DATA_KPI3!D65</x:f>
        <x:v>8231</x:v>
      </x:c>
      <x:c r="X19" s="108"/>
      <x:c r="Y19" s="108" t="n">
        <x:f>DATA_KPI3!E65</x:f>
        <x:v>527268</x:v>
      </x:c>
      <x:c r="Z19" s="108"/>
      <x:c r="AA19" s="108"/>
      <x:c r="AB19" s="108"/>
      <x:c r="AC19" s="108"/>
      <x:c r="AD19" s="112" t="n">
        <x:f>IFERROR(Y19/$Y$29,0)</x:f>
        <x:v>0.17440465460126453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DATA_KPI3!D66</x:f>
        <x:v>6209</x:v>
      </x:c>
      <x:c r="X20" s="109"/>
      <x:c r="Y20" s="109" t="n">
        <x:f>DATA_KPI3!E66</x:f>
        <x:v>112892</x:v>
      </x:c>
      <x:c r="Z20" s="109"/>
      <x:c r="AA20" s="109"/>
      <x:c r="AB20" s="109"/>
      <x:c r="AC20" s="109"/>
      <x:c r="AD20" s="113" t="n">
        <x:f>IFERROR(Y20/$Y$29,0)</x:f>
        <x:v>0.03734133356707776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DATA_KPI3!D67</x:f>
        <x:v>15777</x:v>
      </x:c>
      <x:c r="X21" s="108"/>
      <x:c r="Y21" s="108" t="n">
        <x:f>DATA_KPI3!E67</x:f>
        <x:v>170983</x:v>
      </x:c>
      <x:c r="Z21" s="108"/>
      <x:c r="AA21" s="108"/>
      <x:c r="AB21" s="108"/>
      <x:c r="AC21" s="108"/>
      <x:c r="AD21" s="112" t="n">
        <x:f>IFERROR(Y21/$Y$29,0)</x:f>
        <x:v>0.05655611768149786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DATA_KPI3!D68</x:f>
        <x:v>15829</x:v>
      </x:c>
      <x:c r="X22" s="109"/>
      <x:c r="Y22" s="109" t="n">
        <x:f>DATA_KPI3!E68</x:f>
        <x:v>199362</x:v>
      </x:c>
      <x:c r="Z22" s="109"/>
      <x:c r="AA22" s="109"/>
      <x:c r="AB22" s="109"/>
      <x:c r="AC22" s="109"/>
      <x:c r="AD22" s="113" t="n">
        <x:f>IFERROR(Y22/$Y$29,0)</x:f>
        <x:v>0.06594305125783718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DATA_KPI3!D69</x:f>
        <x:v>12963</x:v>
      </x:c>
      <x:c r="X23" s="108"/>
      <x:c r="Y23" s="108" t="n">
        <x:f>DATA_KPI3!E69</x:f>
        <x:v>147913</x:v>
      </x:c>
      <x:c r="Z23" s="108"/>
      <x:c r="AA23" s="108"/>
      <x:c r="AB23" s="108"/>
      <x:c r="AC23" s="108"/>
      <x:c r="AD23" s="112" t="n">
        <x:f>IFERROR(Y23/$Y$29,0)</x:f>
        <x:v>0.04892524423260437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DATA_KPI3!D70</x:f>
        <x:v>10844</x:v>
      </x:c>
      <x:c r="X24" s="109"/>
      <x:c r="Y24" s="109" t="n">
        <x:f>DATA_KPI3!E70</x:f>
        <x:v>135893</x:v>
      </x:c>
      <x:c r="Z24" s="109"/>
      <x:c r="AA24" s="109"/>
      <x:c r="AB24" s="109"/>
      <x:c r="AC24" s="109"/>
      <x:c r="AD24" s="113" t="n">
        <x:f>IFERROR(Y24/$Y$29,0)</x:f>
        <x:v>0.04494938385741149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DATA_KPI3!D71</x:f>
        <x:v>11955</x:v>
      </x:c>
      <x:c r="X25" s="108"/>
      <x:c r="Y25" s="108" t="n">
        <x:f>DATA_KPI3!E71</x:f>
        <x:v>163480</x:v>
      </x:c>
      <x:c r="Z25" s="108"/>
      <x:c r="AA25" s="108"/>
      <x:c r="AB25" s="108"/>
      <x:c r="AC25" s="108"/>
      <x:c r="AD25" s="112" t="n">
        <x:f>IFERROR(Y25/$Y$29,0)</x:f>
        <x:v>0.05407434726593445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DATA_KPI3!D72</x:f>
        <x:v>12805</x:v>
      </x:c>
      <x:c r="X26" s="109"/>
      <x:c r="Y26" s="109" t="n">
        <x:f>DATA_KPI3!E72</x:f>
        <x:v>290503</x:v>
      </x:c>
      <x:c r="Z26" s="109"/>
      <x:c r="AA26" s="109"/>
      <x:c r="AB26" s="109"/>
      <x:c r="AC26" s="109"/>
      <x:c r="AD26" s="113" t="n">
        <x:f>IFERROR(Y26/$Y$29,0)</x:f>
        <x:v>0.09608979755196817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DATA_KPI3!D73</x:f>
        <x:v>8118</x:v>
      </x:c>
      <x:c r="X27" s="108"/>
      <x:c r="Y27" s="108" t="n">
        <x:f>DATA_KPI3!E73</x:f>
        <x:v>360502</x:v>
      </x:c>
      <x:c r="Z27" s="108"/>
      <x:c r="AA27" s="108"/>
      <x:c r="AB27" s="108"/>
      <x:c r="AC27" s="108"/>
      <x:c r="AD27" s="112" t="n">
        <x:f>IFERROR(Y27/$Y$29,0)</x:f>
        <x:v>0.11924339575522327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DATA_KPI3!D74</x:f>
        <x:v>5742</x:v>
      </x:c>
      <x:c r="X28" s="109"/>
      <x:c r="Y28" s="109" t="n">
        <x:f>DATA_KPI3!E74</x:f>
        <x:v>914449</x:v>
      </x:c>
      <x:c r="Z28" s="109"/>
      <x:c r="AA28" s="109"/>
      <x:c r="AB28" s="109"/>
      <x:c r="AC28" s="109"/>
      <x:c r="AD28" s="113" t="n">
        <x:f>IFERROR(Y28/$Y$29,0)</x:f>
        <x:v>0.3024726742291809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DATA_KPI3_TOTAL!D6</x:f>
        <x:v>108473</x:v>
      </x:c>
      <x:c r="X29" s="122"/>
      <x:c r="Y29" s="122" t="n">
        <x:f>DATA_KPI3_TOTAL!E6</x:f>
        <x:v>3023245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44" t="str">
        <x:v>Corrected using historical Q2 KPI_3: 108,473 contracts / €3,023,245.</x:v>
      </x:c>
      <x:c r="S30" s="144"/>
      <x:c r="T30" s="144"/>
      <x:c r="U30" s="144"/>
      <x:c r="V30" s="144"/>
      <x:c r="W30" s="144"/>
      <x:c r="X30" s="144"/>
      <x:c r="Y30" s="144"/>
      <x:c r="Z30" s="144"/>
      <x:c r="AA30" s="144"/>
      <x:c r="AB30" s="144"/>
      <x:c r="AC30" s="144"/>
      <x:c r="AD30" s="144"/>
      <x:c r="AE30" s="144"/>
      <x:c r="AF30" s="144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44"/>
      <x:c r="S31" s="144"/>
      <x:c r="T31" s="144"/>
      <x:c r="U31" s="144"/>
      <x:c r="V31" s="144"/>
      <x:c r="W31" s="144"/>
      <x:c r="X31" s="144"/>
      <x:c r="Y31" s="144"/>
      <x:c r="Z31" s="144"/>
      <x:c r="AA31" s="144"/>
      <x:c r="AB31" s="144"/>
      <x:c r="AC31" s="144"/>
      <x:c r="AD31" s="144"/>
      <x:c r="AE31" s="144"/>
      <x:c r="AF31" s="144"/>
    </x:row>
    <x:row r="32" ht="20" customHeight="1"/>
    <x:row r="33" ht="20" customHeight="1">
      <x:c r="C33" s="135" t="str">
        <x:f>DATA_COMMENTS!B6</x:f>
        <x:v>Refund process begins in month one; &lt;€1 is automatically refunded where IBAN is available.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DATA_COMMENTS!C6</x:f>
        <x:v>Refund to public authority after 10 months; six-month amount treatment ~98%.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DATA_COMMENTS!D6</x:f>
        <x:v>Correct original stock: €3.02M / 108,473 contracts. The example file had incorrect Italy figures.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DATA_STOCK!C6</x:f>
        <x:v>3049033.32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DATA_STOCK!D6</x:f>
        <x:v>3023244.63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61d03f6120a64b1a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PORTUGAL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DATA_KPI3!D75</x:f>
        <x:v>4094</x:v>
      </x:c>
      <x:c r="X8" s="108"/>
      <x:c r="Y8" s="108" t="n">
        <x:f>DATA_KPI3!E75</x:f>
        <x:v>1230</x:v>
      </x:c>
      <x:c r="Z8" s="108"/>
      <x:c r="AA8" s="108"/>
      <x:c r="AB8" s="108"/>
      <x:c r="AC8" s="108"/>
      <x:c r="AD8" s="112" t="n">
        <x:f>IFERROR(Y8/$Y$14,0)</x:f>
        <x:v>0.002072755399696333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DATA_KPI3!D76</x:f>
        <x:v>3459</x:v>
      </x:c>
      <x:c r="X9" s="109"/>
      <x:c r="Y9" s="109" t="n">
        <x:f>DATA_KPI3!E76</x:f>
        <x:v>14166</x:v>
      </x:c>
      <x:c r="Z9" s="109"/>
      <x:c r="AA9" s="109"/>
      <x:c r="AB9" s="109"/>
      <x:c r="AC9" s="109"/>
      <x:c r="AD9" s="113" t="n">
        <x:f>IFERROR(Y9/$Y$14,0)</x:f>
        <x:v>0.023872075603331912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DATA_KPI3!D77</x:f>
        <x:v>4817</x:v>
      </x:c>
      <x:c r="X10" s="108"/>
      <x:c r="Y10" s="108" t="n">
        <x:f>DATA_KPI3!E77</x:f>
        <x:v>176203</x:v>
      </x:c>
      <x:c r="Z10" s="108"/>
      <x:c r="AA10" s="108"/>
      <x:c r="AB10" s="108"/>
      <x:c r="AC10" s="108"/>
      <x:c r="AD10" s="112" t="n">
        <x:f>IFERROR(Y10/$Y$14,0)</x:f>
        <x:v>0.2969314794249536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DATA_KPI3!D78</x:f>
        <x:v>1230</x:v>
      </x:c>
      <x:c r="X11" s="109"/>
      <x:c r="Y11" s="109" t="n">
        <x:f>DATA_KPI3!E78</x:f>
        <x:v>301838</x:v>
      </x:c>
      <x:c r="Z11" s="109"/>
      <x:c r="AA11" s="109"/>
      <x:c r="AB11" s="109"/>
      <x:c r="AC11" s="109"/>
      <x:c r="AD11" s="113" t="n">
        <x:f>IFERROR(Y11/$Y$14,0)</x:f>
        <x:v>0.5086474344175136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DATA_KPI3!D79</x:f>
        <x:v>41</x:v>
      </x:c>
      <x:c r="X12" s="108"/>
      <x:c r="Y12" s="108" t="n">
        <x:f>DATA_KPI3!E79</x:f>
        <x:v>99975</x:v>
      </x:c>
      <x:c r="Z12" s="108"/>
      <x:c r="AA12" s="108"/>
      <x:c r="AB12" s="108"/>
      <x:c r="AC12" s="108"/>
      <x:c r="AD12" s="112" t="n">
        <x:f>IFERROR(Y12/$Y$14,0)</x:f>
        <x:v>0.16847456998751292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DATA_KPI3_TOTAL!B7</x:f>
        <x:v>13641</x:v>
      </x:c>
      <x:c r="X14" s="122"/>
      <x:c r="Y14" s="122" t="n">
        <x:f>DATA_KPI3_TOTAL!C7</x:f>
        <x:v>593413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2024</x:v>
      </x:c>
      <x:c r="S19" s="99"/>
      <x:c r="T19" s="99"/>
      <x:c r="U19" s="99"/>
      <x:c r="V19" s="99"/>
      <x:c r="W19" s="108" t="n">
        <x:f>DATA_KPI3!D83</x:f>
        <x:v>140</x:v>
      </x:c>
      <x:c r="X19" s="108"/>
      <x:c r="Y19" s="108" t="n">
        <x:f>DATA_KPI3!E83</x:f>
        <x:v>9595</x:v>
      </x:c>
      <x:c r="Z19" s="108"/>
      <x:c r="AA19" s="108"/>
      <x:c r="AB19" s="108"/>
      <x:c r="AC19" s="108"/>
      <x:c r="AD19" s="112" t="n">
        <x:f>IFERROR(Y19/$Y$29,0)</x:f>
        <x:v>0.01616917728462302</x:v>
      </x:c>
      <x:c r="AE19" s="112"/>
    </x:row>
    <x:row r="20" ht="20" customHeight="1">
      <x:c r="R20" s="105" t="str">
        <x:v>2025</x:v>
      </x:c>
      <x:c r="S20" s="105"/>
      <x:c r="T20" s="105"/>
      <x:c r="U20" s="105"/>
      <x:c r="V20" s="105"/>
      <x:c r="W20" s="109" t="n">
        <x:f>DATA_KPI3!D81</x:f>
        <x:v>2163</x:v>
      </x:c>
      <x:c r="X20" s="109"/>
      <x:c r="Y20" s="109" t="n">
        <x:f>DATA_KPI3!E81</x:f>
        <x:v>106201</x:v>
      </x:c>
      <x:c r="Z20" s="109"/>
      <x:c r="AA20" s="109"/>
      <x:c r="AB20" s="109"/>
      <x:c r="AC20" s="109"/>
      <x:c r="AD20" s="113" t="n">
        <x:f>IFERROR(Y20/$Y$29,0)</x:f>
        <x:v>0.17896641967735794</x:v>
      </x:c>
      <x:c r="AE20" s="113"/>
    </x:row>
    <x:row r="21" ht="20" customHeight="1">
      <x:c r="R21" s="99" t="str">
        <x:v>2026</x:v>
      </x:c>
      <x:c r="S21" s="99"/>
      <x:c r="T21" s="99"/>
      <x:c r="U21" s="99"/>
      <x:c r="V21" s="99"/>
      <x:c r="W21" s="108" t="n">
        <x:f>DATA_KPI3!D82</x:f>
        <x:v>11338</x:v>
      </x:c>
      <x:c r="X21" s="108"/>
      <x:c r="Y21" s="108" t="n">
        <x:f>DATA_KPI3!E82</x:f>
        <x:v>477617</x:v>
      </x:c>
      <x:c r="Z21" s="108"/>
      <x:c r="AA21" s="108"/>
      <x:c r="AB21" s="108"/>
      <x:c r="AC21" s="108"/>
      <x:c r="AD21" s="112" t="n">
        <x:f>IFERROR(Y21/$Y$29,0)</x:f>
        <x:v>0.8048644030380191</x:v>
      </x:c>
      <x:c r="AE21" s="112"/>
    </x:row>
    <x:row r="22" ht="20" customHeight="1">
      <x:c r="R22" s="105"/>
      <x:c r="S22" s="105"/>
      <x:c r="T22" s="105"/>
      <x:c r="U22" s="105"/>
      <x:c r="V22" s="105"/>
      <x:c r="W22" s="109"/>
      <x:c r="X22" s="109"/>
      <x:c r="Y22" s="109"/>
      <x:c r="Z22" s="109"/>
      <x:c r="AA22" s="109"/>
      <x:c r="AB22" s="109"/>
      <x:c r="AC22" s="109"/>
      <x:c r="AD22" s="113"/>
      <x:c r="AE22" s="113"/>
    </x:row>
    <x:row r="23" ht="20" customHeight="1">
      <x:c r="R23" s="96"/>
      <x:c r="S23" s="96"/>
      <x:c r="T23" s="96"/>
      <x:c r="U23" s="96"/>
      <x:c r="V23" s="96"/>
      <x:c r="W23" s="108"/>
      <x:c r="X23" s="108"/>
      <x:c r="Y23" s="108"/>
      <x:c r="Z23" s="108"/>
      <x:c r="AA23" s="108"/>
      <x:c r="AB23" s="108"/>
      <x:c r="AC23" s="108"/>
      <x:c r="AD23" s="112"/>
      <x:c r="AE23" s="112"/>
    </x:row>
    <x:row r="24" ht="20" customHeight="1">
      <x:c r="R24" s="102"/>
      <x:c r="S24" s="102"/>
      <x:c r="T24" s="102"/>
      <x:c r="U24" s="102"/>
      <x:c r="V24" s="102"/>
      <x:c r="W24" s="109"/>
      <x:c r="X24" s="109"/>
      <x:c r="Y24" s="109"/>
      <x:c r="Z24" s="109"/>
      <x:c r="AA24" s="109"/>
      <x:c r="AB24" s="109"/>
      <x:c r="AC24" s="109"/>
      <x:c r="AD24" s="113"/>
      <x:c r="AE24" s="113"/>
    </x:row>
    <x:row r="25" ht="20" customHeight="1">
      <x:c r="R25" s="96"/>
      <x:c r="S25" s="96"/>
      <x:c r="T25" s="96"/>
      <x:c r="U25" s="96"/>
      <x:c r="V25" s="96"/>
      <x:c r="W25" s="108"/>
      <x:c r="X25" s="108"/>
      <x:c r="Y25" s="108"/>
      <x:c r="Z25" s="108"/>
      <x:c r="AA25" s="108"/>
      <x:c r="AB25" s="108"/>
      <x:c r="AC25" s="108"/>
      <x:c r="AD25" s="112"/>
      <x:c r="AE25" s="112"/>
    </x:row>
    <x:row r="26" ht="20" customHeight="1">
      <x:c r="R26" s="102"/>
      <x:c r="S26" s="102"/>
      <x:c r="T26" s="102"/>
      <x:c r="U26" s="102"/>
      <x:c r="V26" s="102"/>
      <x:c r="W26" s="109"/>
      <x:c r="X26" s="109"/>
      <x:c r="Y26" s="109"/>
      <x:c r="Z26" s="109"/>
      <x:c r="AA26" s="109"/>
      <x:c r="AB26" s="109"/>
      <x:c r="AC26" s="109"/>
      <x:c r="AD26" s="113"/>
      <x:c r="AE26" s="113"/>
    </x:row>
    <x:row r="27" ht="20" customHeight="1">
      <x:c r="R27" s="96"/>
      <x:c r="S27" s="96"/>
      <x:c r="T27" s="96"/>
      <x:c r="U27" s="96"/>
      <x:c r="V27" s="96"/>
      <x:c r="W27" s="108"/>
      <x:c r="X27" s="108"/>
      <x:c r="Y27" s="108"/>
      <x:c r="Z27" s="108"/>
      <x:c r="AA27" s="108"/>
      <x:c r="AB27" s="108"/>
      <x:c r="AC27" s="108"/>
      <x:c r="AD27" s="112"/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DATA_KPI3_TOTAL!D7</x:f>
        <x:v>13641</x:v>
      </x:c>
      <x:c r="X29" s="122"/>
      <x:c r="Y29" s="122" t="n">
        <x:f>DATA_KPI3_TOTAL!E7</x:f>
        <x:v>593413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Source vintage 2024 duplicated in the store; one instance excluded from reporting.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DATA_COMMENTS!B7</x:f>
        <x:v>Reporting adjustment excludes card balances less than two months old.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DATA_COMMENTS!C7</x:f>
        <x:v>High false-positive volume. Approximately full treatment in amount after six months, but ~60% by count.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DATA_COMMENTS!D7</x:f>
        <x:v>Stock €0.59M (+9% versus Q1); false-positive detection requires attention.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DATA_STOCK!C7</x:f>
        <x:v>544257.88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DATA_STOCK!D7</x:f>
        <x:v>593413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W24:X24"/>
    <x:mergeCell ref="Y24:AC24"/>
    <x:mergeCell ref="AD24:AE24"/>
    <x:mergeCell ref="W25:X25"/>
    <x:mergeCell ref="Y25:AC25"/>
    <x:mergeCell ref="AD25:AE25"/>
    <x:mergeCell ref="W26:X26"/>
    <x:mergeCell ref="Y26:AC26"/>
    <x:mergeCell ref="AD26:AE26"/>
    <x:mergeCell ref="W27:X27"/>
    <x:mergeCell ref="Y27:AC27"/>
    <x:mergeCell ref="AD27:AE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fb9f6a4b32314b4e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FRANCE*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DATA_KPI3!D84</x:f>
        <x:v>2280</x:v>
      </x:c>
      <x:c r="X8" s="108"/>
      <x:c r="Y8" s="108" t="n">
        <x:f>DATA_KPI3!E84</x:f>
        <x:v>611</x:v>
      </x:c>
      <x:c r="Z8" s="108"/>
      <x:c r="AA8" s="108"/>
      <x:c r="AB8" s="108"/>
      <x:c r="AC8" s="108"/>
      <x:c r="AD8" s="112" t="n">
        <x:f>IFERROR(Y8/$Y$14,0)</x:f>
        <x:v>0.00018417000066614682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DATA_KPI3!D85</x:f>
        <x:v>1773</x:v>
      </x:c>
      <x:c r="X9" s="109"/>
      <x:c r="Y9" s="109" t="n">
        <x:f>DATA_KPI3!E85</x:f>
        <x:v>7665</x:v>
      </x:c>
      <x:c r="Z9" s="109"/>
      <x:c r="AA9" s="109"/>
      <x:c r="AB9" s="109"/>
      <x:c r="AC9" s="109"/>
      <x:c r="AD9" s="113" t="n">
        <x:f>IFERROR(Y9/$Y$14,0)</x:f>
        <x:v>0.0023104141654762935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DATA_KPI3!D86</x:f>
        <x:v>4974</x:v>
      </x:c>
      <x:c r="X10" s="108"/>
      <x:c r="Y10" s="108" t="n">
        <x:f>DATA_KPI3!E86</x:f>
        <x:v>241529</x:v>
      </x:c>
      <x:c r="Z10" s="108"/>
      <x:c r="AA10" s="108"/>
      <x:c r="AB10" s="108"/>
      <x:c r="AC10" s="108"/>
      <x:c r="AD10" s="112" t="n">
        <x:f>IFERROR(Y10/$Y$14,0)</x:f>
        <x:v>0.07280261226005527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DATA_KPI3!D87</x:f>
        <x:v>5181</x:v>
      </x:c>
      <x:c r="X11" s="109"/>
      <x:c r="Y11" s="109" t="n">
        <x:f>DATA_KPI3!E87</x:f>
        <x:v>1478164</x:v>
      </x:c>
      <x:c r="Z11" s="109"/>
      <x:c r="AA11" s="109"/>
      <x:c r="AB11" s="109"/>
      <x:c r="AC11" s="109"/>
      <x:c r="AD11" s="113" t="n">
        <x:f>IFERROR(Y11/$Y$14,0)</x:f>
        <x:v>0.44555395231534245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DATA_KPI3!D88</x:f>
        <x:v>608</x:v>
      </x:c>
      <x:c r="X12" s="108"/>
      <x:c r="Y12" s="108" t="n">
        <x:f>DATA_KPI3!E88</x:f>
        <x:v>1589619</x:v>
      </x:c>
      <x:c r="Z12" s="108"/>
      <x:c r="AA12" s="108"/>
      <x:c r="AB12" s="108"/>
      <x:c r="AC12" s="108"/>
      <x:c r="AD12" s="112" t="n">
        <x:f>IFERROR(Y12/$Y$14,0)</x:f>
        <x:v>0.4791491526823562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DATA_KPI3_TOTAL!B8</x:f>
        <x:v>14816</x:v>
      </x:c>
      <x:c r="X14" s="122"/>
      <x:c r="Y14" s="122" t="n">
        <x:f>DATA_KPI3_TOTAL!C8</x:f>
        <x:v>3317587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DATA_KPI3!D89</x:f>
        <x:v>264</x:v>
      </x:c>
      <x:c r="X19" s="108"/>
      <x:c r="Y19" s="108" t="n">
        <x:f>DATA_KPI3!E89</x:f>
        <x:v>42586</x:v>
      </x:c>
      <x:c r="Z19" s="108"/>
      <x:c r="AA19" s="108"/>
      <x:c r="AB19" s="108"/>
      <x:c r="AC19" s="108"/>
      <x:c r="AD19" s="112" t="n">
        <x:f>IFERROR(Y19/$Y$29,0)</x:f>
        <x:v>0.012836438049702992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DATA_KPI3!D90</x:f>
        <x:v>4</x:v>
      </x:c>
      <x:c r="X20" s="109"/>
      <x:c r="Y20" s="109" t="n">
        <x:f>DATA_KPI3!E90</x:f>
        <x:v>5395</x:v>
      </x:c>
      <x:c r="Z20" s="109"/>
      <x:c r="AA20" s="109"/>
      <x:c r="AB20" s="109"/>
      <x:c r="AC20" s="109"/>
      <x:c r="AD20" s="113" t="n">
        <x:f>IFERROR(Y20/$Y$29,0)</x:f>
        <x:v>0.0016261819207755517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DATA_KPI3!D91</x:f>
        <x:v>6</x:v>
      </x:c>
      <x:c r="X21" s="108"/>
      <x:c r="Y21" s="108" t="n">
        <x:f>DATA_KPI3!E91</x:f>
        <x:v>2361</x:v>
      </x:c>
      <x:c r="Z21" s="108"/>
      <x:c r="AA21" s="108"/>
      <x:c r="AB21" s="108"/>
      <x:c r="AC21" s="108"/>
      <x:c r="AD21" s="112" t="n">
        <x:f>IFERROR(Y21/$Y$29,0)</x:f>
        <x:v>0.0007116618192680403</x:v>
      </x:c>
      <x:c r="AE21" s="112"/>
    </x:row>
    <x:row r="22" ht="20" customHeight="1">
      <x:c r="R22" s="105" t="str">
        <x:v>2021</x:v>
      </x:c>
      <x:c r="S22" s="105"/>
      <x:c r="T22" s="105"/>
      <x:c r="U22" s="105"/>
      <x:c r="V22" s="105"/>
      <x:c r="W22" s="109" t="n">
        <x:f>DATA_KPI3!D92</x:f>
        <x:v>1</x:v>
      </x:c>
      <x:c r="X22" s="109"/>
      <x:c r="Y22" s="109" t="n">
        <x:f>DATA_KPI3!E92</x:f>
        <x:v>1</x:v>
      </x:c>
      <x:c r="Z22" s="109"/>
      <x:c r="AA22" s="109"/>
      <x:c r="AB22" s="109"/>
      <x:c r="AC22" s="109"/>
      <x:c r="AD22" s="113" t="n">
        <x:f>IFERROR(Y22/$Y$29,0)</x:f>
        <x:v>3.014238963439391e-7</x:v>
      </x:c>
      <x:c r="AE22" s="113"/>
    </x:row>
    <x:row r="23" ht="20" customHeight="1">
      <x:c r="R23" s="99" t="str">
        <x:v>2023</x:v>
      </x:c>
      <x:c r="S23" s="99"/>
      <x:c r="T23" s="99"/>
      <x:c r="U23" s="99"/>
      <x:c r="V23" s="99"/>
      <x:c r="W23" s="108" t="n">
        <x:f>DATA_KPI3!D93</x:f>
        <x:v>1</x:v>
      </x:c>
      <x:c r="X23" s="108"/>
      <x:c r="Y23" s="108" t="n">
        <x:f>DATA_KPI3!E93</x:f>
        <x:v>963</x:v>
      </x:c>
      <x:c r="Z23" s="108"/>
      <x:c r="AA23" s="108"/>
      <x:c r="AB23" s="108"/>
      <x:c r="AC23" s="108"/>
      <x:c r="AD23" s="112" t="n">
        <x:f>IFERROR(Y23/$Y$29,0)</x:f>
        <x:v>0.00029027121217921337</x:v>
      </x:c>
      <x:c r="AE23" s="112"/>
    </x:row>
    <x:row r="24" ht="20" customHeight="1">
      <x:c r="R24" s="105" t="str">
        <x:v>2024</x:v>
      </x:c>
      <x:c r="S24" s="105"/>
      <x:c r="T24" s="105"/>
      <x:c r="U24" s="105"/>
      <x:c r="V24" s="105"/>
      <x:c r="W24" s="109" t="n">
        <x:f>DATA_KPI3!D94</x:f>
        <x:v>21</x:v>
      </x:c>
      <x:c r="X24" s="109"/>
      <x:c r="Y24" s="109" t="n">
        <x:f>DATA_KPI3!E94</x:f>
        <x:v>30040</x:v>
      </x:c>
      <x:c r="Z24" s="109"/>
      <x:c r="AA24" s="109"/>
      <x:c r="AB24" s="109"/>
      <x:c r="AC24" s="109"/>
      <x:c r="AD24" s="113" t="n">
        <x:f>IFERROR(Y24/$Y$29,0)</x:f>
        <x:v>0.009054773846171931</x:v>
      </x:c>
      <x:c r="AE24" s="113"/>
    </x:row>
    <x:row r="25" ht="20" customHeight="1">
      <x:c r="R25" s="99" t="str">
        <x:v>2025</x:v>
      </x:c>
      <x:c r="S25" s="99"/>
      <x:c r="T25" s="99"/>
      <x:c r="U25" s="99"/>
      <x:c r="V25" s="99"/>
      <x:c r="W25" s="108" t="n">
        <x:f>DATA_KPI3!D95</x:f>
        <x:v>970</x:v>
      </x:c>
      <x:c r="X25" s="108"/>
      <x:c r="Y25" s="108" t="n">
        <x:f>DATA_KPI3!E95</x:f>
        <x:v>267461</x:v>
      </x:c>
      <x:c r="Z25" s="108"/>
      <x:c r="AA25" s="108"/>
      <x:c r="AB25" s="108"/>
      <x:c r="AC25" s="108"/>
      <x:c r="AD25" s="112" t="n">
        <x:f>IFERROR(Y25/$Y$29,0)</x:f>
        <x:v>0.08061913674004631</x:v>
      </x:c>
      <x:c r="AE25" s="112"/>
    </x:row>
    <x:row r="26" ht="20" customHeight="1">
      <x:c r="R26" s="105" t="str">
        <x:v>2026</x:v>
      </x:c>
      <x:c r="S26" s="105"/>
      <x:c r="T26" s="105"/>
      <x:c r="U26" s="105"/>
      <x:c r="V26" s="105"/>
      <x:c r="W26" s="109" t="n">
        <x:f>DATA_KPI3!D96</x:f>
        <x:v>13549</x:v>
      </x:c>
      <x:c r="X26" s="109"/>
      <x:c r="Y26" s="109" t="n">
        <x:f>DATA_KPI3!E96</x:f>
        <x:v>2968779</x:v>
      </x:c>
      <x:c r="Z26" s="109"/>
      <x:c r="AA26" s="109"/>
      <x:c r="AB26" s="109"/>
      <x:c r="AC26" s="109"/>
      <x:c r="AD26" s="113" t="n">
        <x:f>IFERROR(Y26/$Y$29,0)</x:f>
        <x:v>0.8948609335640633</x:v>
      </x:c>
      <x:c r="AE26" s="113"/>
    </x:row>
    <x:row r="27" ht="20" customHeight="1">
      <x:c r="R27" s="96"/>
      <x:c r="S27" s="96"/>
      <x:c r="T27" s="96"/>
      <x:c r="U27" s="96"/>
      <x:c r="V27" s="96"/>
      <x:c r="W27" s="108"/>
      <x:c r="X27" s="108"/>
      <x:c r="Y27" s="108"/>
      <x:c r="Z27" s="108"/>
      <x:c r="AA27" s="108"/>
      <x:c r="AB27" s="108"/>
      <x:c r="AC27" s="108"/>
      <x:c r="AD27" s="112"/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DATA_KPI3_TOTAL!D8</x:f>
        <x:v>14816</x:v>
      </x:c>
      <x:c r="X29" s="122"/>
      <x:c r="Y29" s="122" t="n">
        <x:f>DATA_KPI3_TOTAL!E8</x:f>
        <x:v>3317587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DATA_COMMENTS!B8</x:f>
        <x:v>Average monthly new flow approximately €1.6M; average balance ~€230.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DATA_COMMENTS!C8</x:f>
        <x:v>Close to 100% amount treatment after 3–6 months and ~95% by count.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DATA_COMMENTS!D8</x:f>
        <x:v>Stock €3.3M; historical pending balances eventually transferred to Caisse des dépôts.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DATA_STOCK!C8</x:f>
        <x:v>3908020.9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DATA_STOCK!D8</x:f>
        <x:v>3317586.72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32272be0c7dc4db8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UK in £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GBP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£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DATA_KPI3!D97</x:f>
        <x:v>998098</x:v>
      </x:c>
      <x:c r="X8" s="108"/>
      <x:c r="Y8" s="108" t="n">
        <x:f>DATA_KPI3!E97</x:f>
        <x:v>-190563</x:v>
      </x:c>
      <x:c r="Z8" s="108"/>
      <x:c r="AA8" s="108"/>
      <x:c r="AB8" s="108"/>
      <x:c r="AC8" s="108"/>
      <x:c r="AD8" s="112" t="n">
        <x:f>IFERROR(Y8/$Y$14,0)</x:f>
        <x:v>-0.07796529175359003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DATA_KPI3!D98</x:f>
        <x:v>14278</x:v>
      </x:c>
      <x:c r="X9" s="109"/>
      <x:c r="Y9" s="109" t="n">
        <x:f>DATA_KPI3!E98</x:f>
        <x:v>65482</x:v>
      </x:c>
      <x:c r="Z9" s="109"/>
      <x:c r="AA9" s="109"/>
      <x:c r="AB9" s="109"/>
      <x:c r="AC9" s="109"/>
      <x:c r="AD9" s="113" t="n">
        <x:f>IFERROR(Y9/$Y$14,0)</x:f>
        <x:v>0.026790737103260246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DATA_KPI3!D99</x:f>
        <x:v>15298</x:v>
      </x:c>
      <x:c r="X10" s="108"/>
      <x:c r="Y10" s="108" t="n">
        <x:f>DATA_KPI3!E99</x:f>
        <x:v>540040</x:v>
      </x:c>
      <x:c r="Z10" s="108"/>
      <x:c r="AA10" s="108"/>
      <x:c r="AB10" s="108"/>
      <x:c r="AC10" s="108"/>
      <x:c r="AD10" s="112" t="n">
        <x:f>IFERROR(Y10/$Y$14,0)</x:f>
        <x:v>0.22094727811069703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DATA_KPI3!D100</x:f>
        <x:v>3141</x:v>
      </x:c>
      <x:c r="X11" s="109"/>
      <x:c r="Y11" s="109" t="n">
        <x:f>DATA_KPI3!E100</x:f>
        <x:v>869367</x:v>
      </x:c>
      <x:c r="Z11" s="109"/>
      <x:c r="AA11" s="109"/>
      <x:c r="AB11" s="109"/>
      <x:c r="AC11" s="109"/>
      <x:c r="AD11" s="113" t="n">
        <x:f>IFERROR(Y11/$Y$14,0)</x:f>
        <x:v>0.35568526836764375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DATA_KPI3!D101</x:f>
        <x:v>431</x:v>
      </x:c>
      <x:c r="X12" s="108"/>
      <x:c r="Y12" s="108" t="n">
        <x:f>DATA_KPI3!E101</x:f>
        <x:v>1159877</x:v>
      </x:c>
      <x:c r="Z12" s="108"/>
      <x:c r="AA12" s="108"/>
      <x:c r="AB12" s="108"/>
      <x:c r="AC12" s="108"/>
      <x:c r="AD12" s="112" t="n">
        <x:f>IFERROR(Y12/$Y$14,0)</x:f>
        <x:v>0.474542008171989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DATA_KPI3_TOTAL!B9</x:f>
        <x:v>1031246</x:v>
      </x:c>
      <x:c r="X14" s="122"/>
      <x:c r="Y14" s="122" t="n">
        <x:f>DATA_KPI3_TOTAL!C9</x:f>
        <x:v>2444203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£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DATA_KPI3!D102</x:f>
        <x:v>1321</x:v>
      </x:c>
      <x:c r="X19" s="108"/>
      <x:c r="Y19" s="108" t="n">
        <x:f>DATA_KPI3!E102</x:f>
        <x:v>68632</x:v>
      </x:c>
      <x:c r="Z19" s="108"/>
      <x:c r="AA19" s="108"/>
      <x:c r="AB19" s="108"/>
      <x:c r="AC19" s="108"/>
      <x:c r="AD19" s="112" t="n">
        <x:f>IFERROR(Y19/$Y$29,0)</x:f>
        <x:v>0.02807950076159795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DATA_KPI3!D103</x:f>
        <x:v>817</x:v>
      </x:c>
      <x:c r="X20" s="109"/>
      <x:c r="Y20" s="109" t="n">
        <x:f>DATA_KPI3!E103</x:f>
        <x:v>84026</x:v>
      </x:c>
      <x:c r="Z20" s="109"/>
      <x:c r="AA20" s="109"/>
      <x:c r="AB20" s="109"/>
      <x:c r="AC20" s="109"/>
      <x:c r="AD20" s="113" t="n">
        <x:f>IFERROR(Y20/$Y$29,0)</x:f>
        <x:v>0.03437766830332832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DATA_KPI3!D104</x:f>
        <x:v>953</x:v>
      </x:c>
      <x:c r="X21" s="108"/>
      <x:c r="Y21" s="108" t="n">
        <x:f>DATA_KPI3!E104</x:f>
        <x:v>100521</x:v>
      </x:c>
      <x:c r="Z21" s="108"/>
      <x:c r="AA21" s="108"/>
      <x:c r="AB21" s="108"/>
      <x:c r="AC21" s="108"/>
      <x:c r="AD21" s="112" t="n">
        <x:f>IFERROR(Y21/$Y$29,0)</x:f>
        <x:v>0.041126289428496735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DATA_KPI3!D105</x:f>
        <x:v>752</x:v>
      </x:c>
      <x:c r="X22" s="109"/>
      <x:c r="Y22" s="109" t="n">
        <x:f>DATA_KPI3!E105</x:f>
        <x:v>75096</x:v>
      </x:c>
      <x:c r="Z22" s="109"/>
      <x:c r="AA22" s="109"/>
      <x:c r="AB22" s="109"/>
      <x:c r="AC22" s="109"/>
      <x:c r="AD22" s="113" t="n">
        <x:f>IFERROR(Y22/$Y$29,0)</x:f>
        <x:v>0.03072412561477095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DATA_KPI3!D106</x:f>
        <x:v>727</x:v>
      </x:c>
      <x:c r="X23" s="108"/>
      <x:c r="Y23" s="108" t="n">
        <x:f>DATA_KPI3!E106</x:f>
        <x:v>86007</x:v>
      </x:c>
      <x:c r="Z23" s="108"/>
      <x:c r="AA23" s="108"/>
      <x:c r="AB23" s="108"/>
      <x:c r="AC23" s="108"/>
      <x:c r="AD23" s="112" t="n">
        <x:f>IFERROR(Y23/$Y$29,0)</x:f>
        <x:v>0.035188157448460704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DATA_KPI3!D107</x:f>
        <x:v>1294</x:v>
      </x:c>
      <x:c r="X24" s="109"/>
      <x:c r="Y24" s="109" t="n">
        <x:f>DATA_KPI3!E107</x:f>
        <x:v>114129</x:v>
      </x:c>
      <x:c r="Z24" s="109"/>
      <x:c r="AA24" s="109"/>
      <x:c r="AB24" s="109"/>
      <x:c r="AC24" s="109"/>
      <x:c r="AD24" s="113" t="n">
        <x:f>IFERROR(Y24/$Y$29,0)</x:f>
        <x:v>0.04669374843251563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DATA_KPI3!D108</x:f>
        <x:v>3920</x:v>
      </x:c>
      <x:c r="X25" s="108"/>
      <x:c r="Y25" s="108" t="n">
        <x:f>DATA_KPI3!E108</x:f>
        <x:v>206814</x:v>
      </x:c>
      <x:c r="Z25" s="108"/>
      <x:c r="AA25" s="108"/>
      <x:c r="AB25" s="108"/>
      <x:c r="AC25" s="108"/>
      <x:c r="AD25" s="112" t="n">
        <x:f>IFERROR(Y25/$Y$29,0)</x:f>
        <x:v>0.08461408483665228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DATA_KPI3!D109</x:f>
        <x:v>10012</x:v>
      </x:c>
      <x:c r="X26" s="109"/>
      <x:c r="Y26" s="109" t="n">
        <x:f>DATA_KPI3!E109</x:f>
        <x:v>759953</x:v>
      </x:c>
      <x:c r="Z26" s="109"/>
      <x:c r="AA26" s="109"/>
      <x:c r="AB26" s="109"/>
      <x:c r="AC26" s="109"/>
      <x:c r="AD26" s="113" t="n">
        <x:f>IFERROR(Y26/$Y$29,0)</x:f>
        <x:v>0.31092057410943363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DATA_KPI3!D110</x:f>
        <x:v>16647</x:v>
      </x:c>
      <x:c r="X27" s="108"/>
      <x:c r="Y27" s="108" t="n">
        <x:f>DATA_KPI3!E110</x:f>
        <x:v>626510</x:v>
      </x:c>
      <x:c r="Z27" s="108"/>
      <x:c r="AA27" s="108"/>
      <x:c r="AB27" s="108"/>
      <x:c r="AC27" s="108"/>
      <x:c r="AD27" s="112" t="n">
        <x:f>IFERROR(Y27/$Y$29,0)</x:f>
        <x:v>0.25632486336036736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DATA_KPI3!D111</x:f>
        <x:v>14520</x:v>
      </x:c>
      <x:c r="X28" s="109"/>
      <x:c r="Y28" s="109" t="n">
        <x:f>DATA_KPI3!E111</x:f>
        <x:v>322515</x:v>
      </x:c>
      <x:c r="Z28" s="109"/>
      <x:c r="AA28" s="109"/>
      <x:c r="AB28" s="109"/>
      <x:c r="AC28" s="109"/>
      <x:c r="AD28" s="113" t="n">
        <x:f>IFERROR(Y28/$Y$29,0)</x:f>
        <x:v>0.13195098770437644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DATA_KPI3_TOTAL!D9</x:f>
        <x:v>50963</x:v>
      </x:c>
      <x:c r="X29" s="122"/>
      <x:c r="Y29" s="122" t="n">
        <x:f>DATA_KPI3_TOTAL!E9</x:f>
        <x:v>2444203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51" t="str">
        <x:v>SOURCE ALERT — KPI_3 contract totals do not reconcile.</x:v>
      </x:c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  <x:c r="AC30" s="151"/>
      <x:c r="AD30" s="151"/>
      <x:c r="AE30" s="151"/>
      <x:c r="AF30" s="151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  <x:c r="AC31" s="151"/>
      <x:c r="AD31" s="151"/>
      <x:c r="AE31" s="151"/>
      <x:c r="AF31" s="151"/>
    </x:row>
    <x:row r="32" ht="20" customHeight="1"/>
    <x:row r="33" ht="20" customHeight="1">
      <x:c r="C33" s="135" t="str">
        <x:f>DATA_COMMENTS!B9</x:f>
        <x:v>Loans included since January 2026.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DATA_COMMENTS!C9</x:f>
        <x:v>Approximately 70% of amount treated after six months; cleaning planned for October 2026.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DATA_COMMENTS!D9</x:f>
        <x:v>Q2 stock ~£2.4M in local reporting; the supplied KPI_3 band counts conflict with vintages.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DATA_STOCK!C9</x:f>
        <x:v>2874735.6081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DATA_STOCK!D9</x:f>
        <x:v>2836661.6548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4afef614faf8494e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SOUTH AFRICA in ZAR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ZAR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ZAR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0 - 1 €</x:v>
      </x:c>
      <x:c r="S8" s="99"/>
      <x:c r="T8" s="99"/>
      <x:c r="U8" s="99"/>
      <x:c r="V8" s="99"/>
      <x:c r="W8" s="108" t="n">
        <x:f>DATA_KPI3!D112</x:f>
        <x:v>71052</x:v>
      </x:c>
      <x:c r="X8" s="108"/>
      <x:c r="Y8" s="108" t="n">
        <x:f>DATA_KPI3!E112</x:f>
        <x:v>31178863.209999945</x:v>
      </x:c>
      <x:c r="Z8" s="108"/>
      <x:c r="AA8" s="108"/>
      <x:c r="AB8" s="108"/>
      <x:c r="AC8" s="108"/>
      <x:c r="AD8" s="112" t="n">
        <x:f>IFERROR(Y8/$Y$14,0)</x:f>
        <x:v>1</x:v>
      </x:c>
      <x:c r="AE8" s="112"/>
    </x:row>
    <x:row r="9" ht="20" customHeight="1">
      <x:c r="R9" s="105" t="str">
        <x:v>1 - 10 €</x:v>
      </x:c>
      <x:c r="S9" s="105"/>
      <x:c r="T9" s="105"/>
      <x:c r="U9" s="105"/>
      <x:c r="V9" s="105"/>
      <x:c r="W9" s="109" t="n">
        <x:f>DATA_KPI3!D113</x:f>
        <x:v>0</x:v>
      </x:c>
      <x:c r="X9" s="109"/>
      <x:c r="Y9" s="109" t="n">
        <x:f>DATA_KPI3!E113</x:f>
        <x:v>0</x:v>
      </x:c>
      <x:c r="Z9" s="109"/>
      <x:c r="AA9" s="109"/>
      <x:c r="AB9" s="109"/>
      <x:c r="AC9" s="109"/>
      <x:c r="AD9" s="113" t="n">
        <x:f>IFERROR(Y9/$Y$14,0)</x:f>
        <x:v>0</x:v>
      </x:c>
      <x:c r="AE9" s="113"/>
    </x:row>
    <x:row r="10" ht="20" customHeight="1">
      <x:c r="R10" s="99" t="str">
        <x:v>10 - 100 €</x:v>
      </x:c>
      <x:c r="S10" s="99"/>
      <x:c r="T10" s="99"/>
      <x:c r="U10" s="99"/>
      <x:c r="V10" s="99"/>
      <x:c r="W10" s="108" t="n">
        <x:f>DATA_KPI3!D114</x:f>
        <x:v>0</x:v>
      </x:c>
      <x:c r="X10" s="108"/>
      <x:c r="Y10" s="108" t="n">
        <x:f>DATA_KPI3!E114</x:f>
        <x:v>0</x:v>
      </x:c>
      <x:c r="Z10" s="108"/>
      <x:c r="AA10" s="108"/>
      <x:c r="AB10" s="108"/>
      <x:c r="AC10" s="108"/>
      <x:c r="AD10" s="112" t="n">
        <x:f>IFERROR(Y10/$Y$14,0)</x:f>
        <x:v>0</x:v>
      </x:c>
      <x:c r="AE10" s="112"/>
    </x:row>
    <x:row r="11" ht="20" customHeight="1">
      <x:c r="R11" s="105" t="str">
        <x:v>100 - 1 000 €</x:v>
      </x:c>
      <x:c r="S11" s="105"/>
      <x:c r="T11" s="105"/>
      <x:c r="U11" s="105"/>
      <x:c r="V11" s="105"/>
      <x:c r="W11" s="109" t="n">
        <x:f>DATA_KPI3!D115</x:f>
        <x:v>0</x:v>
      </x:c>
      <x:c r="X11" s="109"/>
      <x:c r="Y11" s="109" t="n">
        <x:f>DATA_KPI3!E115</x:f>
        <x:v>0</x:v>
      </x:c>
      <x:c r="Z11" s="109"/>
      <x:c r="AA11" s="109"/>
      <x:c r="AB11" s="109"/>
      <x:c r="AC11" s="109"/>
      <x:c r="AD11" s="113" t="n">
        <x:f>IFERROR(Y11/$Y$14,0)</x:f>
        <x:v>0</x:v>
      </x:c>
      <x:c r="AE11" s="113"/>
    </x:row>
    <x:row r="12" ht="20" customHeight="1">
      <x:c r="R12" s="99" t="str">
        <x:v>&gt; 1 000 €</x:v>
      </x:c>
      <x:c r="S12" s="99"/>
      <x:c r="T12" s="99"/>
      <x:c r="U12" s="99"/>
      <x:c r="V12" s="99"/>
      <x:c r="W12" s="108" t="n">
        <x:f>DATA_KPI3!D116</x:f>
        <x:v>0</x:v>
      </x:c>
      <x:c r="X12" s="108"/>
      <x:c r="Y12" s="108" t="n">
        <x:f>DATA_KPI3!E116</x:f>
        <x:v>0</x:v>
      </x:c>
      <x:c r="Z12" s="108"/>
      <x:c r="AA12" s="108"/>
      <x:c r="AB12" s="108"/>
      <x:c r="AC12" s="108"/>
      <x:c r="AD12" s="112" t="n">
        <x:f>IFERROR(Y12/$Y$14,0)</x:f>
        <x:v>0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DATA_KPI3_TOTAL!B10</x:f>
        <x:v>71052</x:v>
      </x:c>
      <x:c r="X14" s="122"/>
      <x:c r="Y14" s="122" t="n">
        <x:f>DATA_KPI3_TOTAL!C10</x:f>
        <x:v>31178863.209999945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ZAR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2019</x:v>
      </x:c>
      <x:c r="S19" s="99"/>
      <x:c r="T19" s="99"/>
      <x:c r="U19" s="99"/>
      <x:c r="V19" s="99"/>
      <x:c r="W19" s="108" t="n">
        <x:f>DATA_KPI3!D117</x:f>
        <x:v>199</x:v>
      </x:c>
      <x:c r="X19" s="108"/>
      <x:c r="Y19" s="108" t="n">
        <x:f>DATA_KPI3!E117</x:f>
        <x:v>751149.81</x:v>
      </x:c>
      <x:c r="Z19" s="108"/>
      <x:c r="AA19" s="108"/>
      <x:c r="AB19" s="108"/>
      <x:c r="AC19" s="108"/>
      <x:c r="AD19" s="112" t="n">
        <x:f>IFERROR(Y19/$Y$29,0)</x:f>
        <x:v>0.024091635571853894</x:v>
      </x:c>
      <x:c r="AE19" s="112"/>
    </x:row>
    <x:row r="20" ht="20" customHeight="1">
      <x:c r="R20" s="105" t="str">
        <x:v>2019</x:v>
      </x:c>
      <x:c r="S20" s="105"/>
      <x:c r="T20" s="105"/>
      <x:c r="U20" s="105"/>
      <x:c r="V20" s="105"/>
      <x:c r="W20" s="109" t="n">
        <x:f>DATA_KPI3!D118</x:f>
        <x:v>82</x:v>
      </x:c>
      <x:c r="X20" s="109"/>
      <x:c r="Y20" s="109" t="n">
        <x:f>DATA_KPI3!E118</x:f>
        <x:v>227540</x:v>
      </x:c>
      <x:c r="Z20" s="109"/>
      <x:c r="AA20" s="109"/>
      <x:c r="AB20" s="109"/>
      <x:c r="AC20" s="109"/>
      <x:c r="AD20" s="113" t="n">
        <x:f>IFERROR(Y20/$Y$29,0)</x:f>
        <x:v>0.0072978927572645395</x:v>
      </x:c>
      <x:c r="AE20" s="113"/>
    </x:row>
    <x:row r="21" ht="20" customHeight="1">
      <x:c r="R21" s="99" t="str">
        <x:v>2020</x:v>
      </x:c>
      <x:c r="S21" s="99"/>
      <x:c r="T21" s="99"/>
      <x:c r="U21" s="99"/>
      <x:c r="V21" s="99"/>
      <x:c r="W21" s="108" t="n">
        <x:f>DATA_KPI3!D119</x:f>
        <x:v>577</x:v>
      </x:c>
      <x:c r="X21" s="108"/>
      <x:c r="Y21" s="108" t="n">
        <x:f>DATA_KPI3!E119</x:f>
        <x:v>1055811.67</x:v>
      </x:c>
      <x:c r="Z21" s="108"/>
      <x:c r="AA21" s="108"/>
      <x:c r="AB21" s="108"/>
      <x:c r="AC21" s="108"/>
      <x:c r="AD21" s="112" t="n">
        <x:f>IFERROR(Y21/$Y$29,0)</x:f>
        <x:v>0.033863058537085246</x:v>
      </x:c>
      <x:c r="AE21" s="112"/>
    </x:row>
    <x:row r="22" ht="20" customHeight="1">
      <x:c r="R22" s="105" t="str">
        <x:v>2021</x:v>
      </x:c>
      <x:c r="S22" s="105"/>
      <x:c r="T22" s="105"/>
      <x:c r="U22" s="105"/>
      <x:c r="V22" s="105"/>
      <x:c r="W22" s="109" t="n">
        <x:f>DATA_KPI3!D120</x:f>
        <x:v>3490</x:v>
      </x:c>
      <x:c r="X22" s="109"/>
      <x:c r="Y22" s="109" t="n">
        <x:f>DATA_KPI3!E120</x:f>
        <x:v>1891299.92</x:v>
      </x:c>
      <x:c r="Z22" s="109"/>
      <x:c r="AA22" s="109"/>
      <x:c r="AB22" s="109"/>
      <x:c r="AC22" s="109"/>
      <x:c r="AD22" s="113" t="n">
        <x:f>IFERROR(Y22/$Y$29,0)</x:f>
        <x:v>0.06065968176137383</x:v>
      </x:c>
      <x:c r="AE22" s="113"/>
    </x:row>
    <x:row r="23" ht="20" customHeight="1">
      <x:c r="R23" s="99" t="str">
        <x:v>2022</x:v>
      </x:c>
      <x:c r="S23" s="99"/>
      <x:c r="T23" s="99"/>
      <x:c r="U23" s="99"/>
      <x:c r="V23" s="99"/>
      <x:c r="W23" s="108" t="n">
        <x:f>DATA_KPI3!D121</x:f>
        <x:v>3177</x:v>
      </x:c>
      <x:c r="X23" s="108"/>
      <x:c r="Y23" s="108" t="n">
        <x:f>DATA_KPI3!E121</x:f>
        <x:v>1803180.89</x:v>
      </x:c>
      <x:c r="Z23" s="108"/>
      <x:c r="AA23" s="108"/>
      <x:c r="AB23" s="108"/>
      <x:c r="AC23" s="108"/>
      <x:c r="AD23" s="112" t="n">
        <x:f>IFERROR(Y23/$Y$29,0)</x:f>
        <x:v>0.05783343920703536</x:v>
      </x:c>
      <x:c r="AE23" s="112"/>
    </x:row>
    <x:row r="24" ht="20" customHeight="1">
      <x:c r="R24" s="105" t="str">
        <x:v>2023</x:v>
      </x:c>
      <x:c r="S24" s="105"/>
      <x:c r="T24" s="105"/>
      <x:c r="U24" s="105"/>
      <x:c r="V24" s="105"/>
      <x:c r="W24" s="109" t="n">
        <x:f>DATA_KPI3!D122</x:f>
        <x:v>4518</x:v>
      </x:c>
      <x:c r="X24" s="109"/>
      <x:c r="Y24" s="109" t="n">
        <x:f>DATA_KPI3!E122</x:f>
        <x:v>2617980.37999999</x:v>
      </x:c>
      <x:c r="Z24" s="109"/>
      <x:c r="AA24" s="109"/>
      <x:c r="AB24" s="109"/>
      <x:c r="AC24" s="109"/>
      <x:c r="AD24" s="113" t="n">
        <x:f>IFERROR(Y24/$Y$29,0)</x:f>
        <x:v>0.08396651161933108</x:v>
      </x:c>
      <x:c r="AE24" s="113"/>
    </x:row>
    <x:row r="25" ht="20" customHeight="1">
      <x:c r="R25" s="99" t="str">
        <x:v>2024</x:v>
      </x:c>
      <x:c r="S25" s="99"/>
      <x:c r="T25" s="99"/>
      <x:c r="U25" s="99"/>
      <x:c r="V25" s="99"/>
      <x:c r="W25" s="108" t="n">
        <x:f>DATA_KPI3!D123</x:f>
        <x:v>6481</x:v>
      </x:c>
      <x:c r="X25" s="108"/>
      <x:c r="Y25" s="108" t="n">
        <x:f>DATA_KPI3!E123</x:f>
        <x:v>3470230.67</x:v>
      </x:c>
      <x:c r="Z25" s="108"/>
      <x:c r="AA25" s="108"/>
      <x:c r="AB25" s="108"/>
      <x:c r="AC25" s="108"/>
      <x:c r="AD25" s="112" t="n">
        <x:f>IFERROR(Y25/$Y$29,0)</x:f>
        <x:v>0.11130074392471771</x:v>
      </x:c>
      <x:c r="AE25" s="112"/>
    </x:row>
    <x:row r="26" ht="20" customHeight="1">
      <x:c r="R26" s="105" t="str">
        <x:v>2025</x:v>
      </x:c>
      <x:c r="S26" s="105"/>
      <x:c r="T26" s="105"/>
      <x:c r="U26" s="105"/>
      <x:c r="V26" s="105"/>
      <x:c r="W26" s="109" t="n">
        <x:f>DATA_KPI3!D124</x:f>
        <x:v>13904</x:v>
      </x:c>
      <x:c r="X26" s="109"/>
      <x:c r="Y26" s="109" t="n">
        <x:f>DATA_KPI3!E124</x:f>
        <x:v>7308977.3999999</x:v>
      </x:c>
      <x:c r="Z26" s="109"/>
      <x:c r="AA26" s="109"/>
      <x:c r="AB26" s="109"/>
      <x:c r="AC26" s="109"/>
      <x:c r="AD26" s="113" t="n">
        <x:f>IFERROR(Y26/$Y$29,0)</x:f>
        <x:v>0.23442090722716655</x:v>
      </x:c>
      <x:c r="AE26" s="113"/>
    </x:row>
    <x:row r="27" ht="20" customHeight="1">
      <x:c r="R27" s="99" t="str">
        <x:v>2026</x:v>
      </x:c>
      <x:c r="S27" s="99"/>
      <x:c r="T27" s="99"/>
      <x:c r="U27" s="99"/>
      <x:c r="V27" s="99"/>
      <x:c r="W27" s="108" t="n">
        <x:f>DATA_KPI3!D125</x:f>
        <x:v>38624</x:v>
      </x:c>
      <x:c r="X27" s="108"/>
      <x:c r="Y27" s="108" t="n">
        <x:f>DATA_KPI3!E125</x:f>
        <x:v>12052692.47</x:v>
      </x:c>
      <x:c r="Z27" s="108"/>
      <x:c r="AA27" s="108"/>
      <x:c r="AB27" s="108"/>
      <x:c r="AC27" s="108"/>
      <x:c r="AD27" s="112" t="n">
        <x:f>IFERROR(Y27/$Y$29,0)</x:f>
        <x:v>0.38656612939417184</x:v>
      </x:c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DATA_KPI3_TOTAL!D10</x:f>
        <x:v>71052</x:v>
      </x:c>
      <x:c r="X29" s="122"/>
      <x:c r="Y29" s="122" t="n">
        <x:f>DATA_KPI3_TOTAL!E10</x:f>
        <x:v>31178863.20999989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51" t="str">
        <x:v>SOURCE ALERT — source amount brackets appear misclassified.</x:v>
      </x:c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  <x:c r="AC30" s="151"/>
      <x:c r="AD30" s="151"/>
      <x:c r="AE30" s="151"/>
      <x:c r="AF30" s="151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  <x:c r="AC31" s="151"/>
      <x:c r="AD31" s="151"/>
      <x:c r="AE31" s="151"/>
      <x:c r="AF31" s="151"/>
    </x:row>
    <x:row r="32" ht="20" customHeight="1"/>
    <x:row r="33" ht="20" customHeight="1">
      <x:c r="C33" s="135" t="str">
        <x:f>DATA_COMMENTS!B10</x:f>
        <x:v>Average monthly new flow ~3.6M ZAR, ~190 ZAR per contract.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DATA_COMMENTS!C10</x:f>
        <x:v>65% treated after six months in amount; approximately 85% by count.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DATA_COMMENTS!D10</x:f>
        <x:v>Stock ~31.2M ZAR pending; Q2 amount-band classification requires correction.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DATA_STOCK!C10</x:f>
        <x:v>1954760.7895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DATA_STOCK!D10</x:f>
        <x:v>1905080.9288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0fec3059716a4f0b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ROMANIA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C7" s="158" t="str">
        <x:v>No comparable KPI_2 monthly-flow series is available. Quarter-end stock comparison is shown below.</x:v>
      </x:c>
      <x:c r="D7" s="158"/>
      <x:c r="E7" s="158"/>
      <x:c r="F7" s="158"/>
      <x:c r="G7" s="158"/>
      <x:c r="H7" s="158"/>
      <x:c r="I7" s="158"/>
      <x:c r="J7" s="158"/>
      <x:c r="K7" s="158"/>
      <x:c r="L7" s="158"/>
      <x:c r="M7" s="158"/>
      <x:c r="N7" s="158"/>
      <x:c r="O7" s="158"/>
      <x:c r="P7" s="158"/>
      <x:c r="Q7" s="158"/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C8" s="158"/>
      <x:c r="D8" s="158"/>
      <x:c r="E8" s="158"/>
      <x:c r="F8" s="158"/>
      <x:c r="G8" s="158"/>
      <x:c r="H8" s="158"/>
      <x:c r="I8" s="158"/>
      <x:c r="J8" s="158"/>
      <x:c r="K8" s="158"/>
      <x:c r="L8" s="158"/>
      <x:c r="M8" s="158"/>
      <x:c r="N8" s="158"/>
      <x:c r="O8" s="158"/>
      <x:c r="P8" s="158"/>
      <x:c r="Q8" s="158"/>
      <x:c r="R8" s="96"/>
      <x:c r="S8" s="96"/>
      <x:c r="T8" s="96"/>
      <x:c r="U8" s="96"/>
      <x:c r="V8" s="96"/>
      <x:c r="W8" s="108"/>
      <x:c r="X8" s="108"/>
      <x:c r="Y8" s="108"/>
      <x:c r="Z8" s="108"/>
      <x:c r="AA8" s="108"/>
      <x:c r="AB8" s="108"/>
      <x:c r="AC8" s="108"/>
      <x:c r="AD8" s="112"/>
      <x:c r="AE8" s="112"/>
    </x:row>
    <x:row r="9" ht="20" customHeight="1">
      <x:c r="C9" s="158"/>
      <x:c r="D9" s="158"/>
      <x:c r="E9" s="158"/>
      <x:c r="F9" s="158"/>
      <x:c r="G9" s="158"/>
      <x:c r="H9" s="158"/>
      <x:c r="I9" s="158"/>
      <x:c r="J9" s="158"/>
      <x:c r="K9" s="158"/>
      <x:c r="L9" s="158"/>
      <x:c r="M9" s="158"/>
      <x:c r="N9" s="158"/>
      <x:c r="O9" s="158"/>
      <x:c r="P9" s="158"/>
      <x:c r="Q9" s="158"/>
      <x:c r="R9" s="102"/>
      <x:c r="S9" s="102"/>
      <x:c r="T9" s="102"/>
      <x:c r="U9" s="102"/>
      <x:c r="V9" s="102"/>
      <x:c r="W9" s="109"/>
      <x:c r="X9" s="109"/>
      <x:c r="Y9" s="109"/>
      <x:c r="Z9" s="109"/>
      <x:c r="AA9" s="109"/>
      <x:c r="AB9" s="109"/>
      <x:c r="AC9" s="109"/>
      <x:c r="AD9" s="113"/>
      <x:c r="AE9" s="113"/>
    </x:row>
    <x:row r="10" ht="20" customHeight="1">
      <x:c r="C10" s="158"/>
      <x:c r="D10" s="158"/>
      <x:c r="E10" s="158"/>
      <x:c r="F10" s="158"/>
      <x:c r="G10" s="158"/>
      <x:c r="H10" s="158"/>
      <x:c r="I10" s="158"/>
      <x:c r="J10" s="158"/>
      <x:c r="K10" s="158"/>
      <x:c r="L10" s="158"/>
      <x:c r="M10" s="158"/>
      <x:c r="N10" s="158"/>
      <x:c r="O10" s="158"/>
      <x:c r="P10" s="158"/>
      <x:c r="Q10" s="158"/>
      <x:c r="R10" s="96"/>
      <x:c r="S10" s="96"/>
      <x:c r="T10" s="96"/>
      <x:c r="U10" s="96"/>
      <x:c r="V10" s="96"/>
      <x:c r="W10" s="108"/>
      <x:c r="X10" s="108"/>
      <x:c r="Y10" s="108"/>
      <x:c r="Z10" s="108"/>
      <x:c r="AA10" s="108"/>
      <x:c r="AB10" s="108"/>
      <x:c r="AC10" s="108"/>
      <x:c r="AD10" s="112"/>
      <x:c r="AE10" s="112"/>
    </x:row>
    <x:row r="11" ht="20" customHeight="1">
      <x:c r="C11" s="164" t="str">
        <x:v>KPI_1 / KPI_2 / KPI_3 in nonstandard format. No manufactured monthly processing chart.</x:v>
      </x:c>
      <x:c r="D11" s="164"/>
      <x:c r="E11" s="164"/>
      <x:c r="F11" s="164"/>
      <x:c r="G11" s="164"/>
      <x:c r="H11" s="164"/>
      <x:c r="I11" s="164"/>
      <x:c r="J11" s="164"/>
      <x:c r="K11" s="164"/>
      <x:c r="L11" s="164"/>
      <x:c r="M11" s="164"/>
      <x:c r="N11" s="164"/>
      <x:c r="O11" s="164"/>
      <x:c r="P11" s="164"/>
      <x:c r="Q11" s="164"/>
      <x:c r="R11" s="102"/>
      <x:c r="S11" s="102"/>
      <x:c r="T11" s="102"/>
      <x:c r="U11" s="102"/>
      <x:c r="V11" s="102"/>
      <x:c r="W11" s="109"/>
      <x:c r="X11" s="109"/>
      <x:c r="Y11" s="109"/>
      <x:c r="Z11" s="109"/>
      <x:c r="AA11" s="109"/>
      <x:c r="AB11" s="109"/>
      <x:c r="AC11" s="109"/>
      <x:c r="AD11" s="113"/>
      <x:c r="AE11" s="113"/>
    </x:row>
    <x:row r="12" ht="20" customHeight="1"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4"/>
      <x:c r="Q12" s="164"/>
      <x:c r="R12" s="96"/>
      <x:c r="S12" s="96"/>
      <x:c r="T12" s="96"/>
      <x:c r="U12" s="96"/>
      <x:c r="V12" s="96"/>
      <x:c r="W12" s="108"/>
      <x:c r="X12" s="108"/>
      <x:c r="Y12" s="108"/>
      <x:c r="Z12" s="108"/>
      <x:c r="AA12" s="108"/>
      <x:c r="AB12" s="108"/>
      <x:c r="AC12" s="108"/>
      <x:c r="AD12" s="112"/>
      <x:c r="AE12" s="112"/>
    </x:row>
    <x:row r="13" ht="20" customHeight="1">
      <x:c r="C13" s="164"/>
      <x:c r="D13" s="164"/>
      <x:c r="E13" s="164"/>
      <x:c r="F13" s="164"/>
      <x:c r="G13" s="164"/>
      <x:c r="H13" s="164"/>
      <x:c r="I13" s="164"/>
      <x:c r="J13" s="164"/>
      <x:c r="K13" s="164"/>
      <x:c r="L13" s="164"/>
      <x:c r="M13" s="164"/>
      <x:c r="N13" s="164"/>
      <x:c r="O13" s="164"/>
      <x:c r="P13" s="164"/>
      <x:c r="Q13" s="164"/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SUM(W8:W13)</x:f>
        <x:v>0</x:v>
      </x:c>
      <x:c r="X14" s="122"/>
      <x:c r="Y14" s="122" t="n">
        <x:f>SUM(Y8:Y13)</x:f>
        <x:v>0</x:v>
      </x:c>
      <x:c r="Z14" s="122"/>
      <x:c r="AA14" s="122"/>
      <x:c r="AB14" s="122"/>
      <x:c r="AC14" s="122"/>
      <x:c r="AD14" s="123" t="n">
        <x:f>IF(Y14&gt;0,1,0)</x:f>
        <x:v>0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6"/>
      <x:c r="S19" s="96"/>
      <x:c r="T19" s="96"/>
      <x:c r="U19" s="96"/>
      <x:c r="V19" s="96"/>
      <x:c r="W19" s="108"/>
      <x:c r="X19" s="108"/>
      <x:c r="Y19" s="108"/>
      <x:c r="Z19" s="108"/>
      <x:c r="AA19" s="108"/>
      <x:c r="AB19" s="108"/>
      <x:c r="AC19" s="108"/>
      <x:c r="AD19" s="112"/>
      <x:c r="AE19" s="112"/>
    </x:row>
    <x:row r="20" ht="20" customHeight="1">
      <x:c r="R20" s="102"/>
      <x:c r="S20" s="102"/>
      <x:c r="T20" s="102"/>
      <x:c r="U20" s="102"/>
      <x:c r="V20" s="102"/>
      <x:c r="W20" s="109"/>
      <x:c r="X20" s="109"/>
      <x:c r="Y20" s="109"/>
      <x:c r="Z20" s="109"/>
      <x:c r="AA20" s="109"/>
      <x:c r="AB20" s="109"/>
      <x:c r="AC20" s="109"/>
      <x:c r="AD20" s="113"/>
      <x:c r="AE20" s="113"/>
    </x:row>
    <x:row r="21" ht="20" customHeight="1">
      <x:c r="R21" s="96"/>
      <x:c r="S21" s="96"/>
      <x:c r="T21" s="96"/>
      <x:c r="U21" s="96"/>
      <x:c r="V21" s="96"/>
      <x:c r="W21" s="108"/>
      <x:c r="X21" s="108"/>
      <x:c r="Y21" s="108"/>
      <x:c r="Z21" s="108"/>
      <x:c r="AA21" s="108"/>
      <x:c r="AB21" s="108"/>
      <x:c r="AC21" s="108"/>
      <x:c r="AD21" s="112"/>
      <x:c r="AE21" s="112"/>
    </x:row>
    <x:row r="22" ht="20" customHeight="1">
      <x:c r="R22" s="102"/>
      <x:c r="S22" s="102"/>
      <x:c r="T22" s="102"/>
      <x:c r="U22" s="102"/>
      <x:c r="V22" s="102"/>
      <x:c r="W22" s="109"/>
      <x:c r="X22" s="109"/>
      <x:c r="Y22" s="109"/>
      <x:c r="Z22" s="109"/>
      <x:c r="AA22" s="109"/>
      <x:c r="AB22" s="109"/>
      <x:c r="AC22" s="109"/>
      <x:c r="AD22" s="113"/>
      <x:c r="AE22" s="113"/>
    </x:row>
    <x:row r="23" ht="20" customHeight="1">
      <x:c r="R23" s="96"/>
      <x:c r="S23" s="96"/>
      <x:c r="T23" s="96"/>
      <x:c r="U23" s="96"/>
      <x:c r="V23" s="96"/>
      <x:c r="W23" s="108"/>
      <x:c r="X23" s="108"/>
      <x:c r="Y23" s="108"/>
      <x:c r="Z23" s="108"/>
      <x:c r="AA23" s="108"/>
      <x:c r="AB23" s="108"/>
      <x:c r="AC23" s="108"/>
      <x:c r="AD23" s="112"/>
      <x:c r="AE23" s="112"/>
    </x:row>
    <x:row r="24" ht="20" customHeight="1">
      <x:c r="R24" s="102"/>
      <x:c r="S24" s="102"/>
      <x:c r="T24" s="102"/>
      <x:c r="U24" s="102"/>
      <x:c r="V24" s="102"/>
      <x:c r="W24" s="109"/>
      <x:c r="X24" s="109"/>
      <x:c r="Y24" s="109"/>
      <x:c r="Z24" s="109"/>
      <x:c r="AA24" s="109"/>
      <x:c r="AB24" s="109"/>
      <x:c r="AC24" s="109"/>
      <x:c r="AD24" s="113"/>
      <x:c r="AE24" s="113"/>
    </x:row>
    <x:row r="25" ht="20" customHeight="1">
      <x:c r="R25" s="96"/>
      <x:c r="S25" s="96"/>
      <x:c r="T25" s="96"/>
      <x:c r="U25" s="96"/>
      <x:c r="V25" s="96"/>
      <x:c r="W25" s="108"/>
      <x:c r="X25" s="108"/>
      <x:c r="Y25" s="108"/>
      <x:c r="Z25" s="108"/>
      <x:c r="AA25" s="108"/>
      <x:c r="AB25" s="108"/>
      <x:c r="AC25" s="108"/>
      <x:c r="AD25" s="112"/>
      <x:c r="AE25" s="112"/>
    </x:row>
    <x:row r="26" ht="20" customHeight="1">
      <x:c r="R26" s="102"/>
      <x:c r="S26" s="102"/>
      <x:c r="T26" s="102"/>
      <x:c r="U26" s="102"/>
      <x:c r="V26" s="102"/>
      <x:c r="W26" s="109"/>
      <x:c r="X26" s="109"/>
      <x:c r="Y26" s="109"/>
      <x:c r="Z26" s="109"/>
      <x:c r="AA26" s="109"/>
      <x:c r="AB26" s="109"/>
      <x:c r="AC26" s="109"/>
      <x:c r="AD26" s="113"/>
      <x:c r="AE26" s="113"/>
    </x:row>
    <x:row r="27" ht="20" customHeight="1">
      <x:c r="R27" s="96"/>
      <x:c r="S27" s="96"/>
      <x:c r="T27" s="96"/>
      <x:c r="U27" s="96"/>
      <x:c r="V27" s="96"/>
      <x:c r="W27" s="108"/>
      <x:c r="X27" s="108"/>
      <x:c r="Y27" s="108"/>
      <x:c r="Z27" s="108"/>
      <x:c r="AA27" s="108"/>
      <x:c r="AB27" s="108"/>
      <x:c r="AC27" s="108"/>
      <x:c r="AD27" s="112"/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SUM(W19:W28)</x:f>
        <x:v>0</x:v>
      </x:c>
      <x:c r="X29" s="122"/>
      <x:c r="Y29" s="122" t="n">
        <x:f>SUM(Y19:Y28)</x:f>
        <x:v>0</x:v>
      </x:c>
      <x:c r="Z29" s="122"/>
      <x:c r="AA29" s="122"/>
      <x:c r="AB29" s="122"/>
      <x:c r="AC29" s="122"/>
      <x:c r="AD29" s="123" t="n">
        <x:f>IF(Y29&gt;0,1,0)</x:f>
        <x:v>0</x:v>
      </x:c>
      <x:c r="AE29" s="123"/>
    </x:row>
    <x:row r="30" ht="20" customHeight="1">
      <x:c r="R30" s="151" t="str">
        <x:v>No standard KPI_3 supplied for this country. Stock comparison only.</x:v>
      </x:c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  <x:c r="AC30" s="151"/>
      <x:c r="AD30" s="151"/>
      <x:c r="AE30" s="151"/>
      <x:c r="AF30" s="151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  <x:c r="AC31" s="151"/>
      <x:c r="AD31" s="151"/>
      <x:c r="AE31" s="151"/>
      <x:c r="AF31" s="151"/>
    </x:row>
    <x:row r="32" ht="20" customHeight="1"/>
    <x:row r="33" ht="20" customHeight="1">
      <x:c r="C33" s="135" t="str">
        <x:f>DATA_COMMENTS!B11</x:f>
        <x:v>Special-format source: comparable Q1 and Q2 stock figures only in this edition.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DATA_COMMENTS!C11</x:f>
        <x:v>KPI_2 rolling monthly flows and KPI_3 stock splits are not validated for the common layout.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DATA_COMMENTS!D11</x:f>
        <x:v>Quarter-on-quarter movement is based on the historical store, not reconstructed KPI pages.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DATA_STOCK!C11</x:f>
        <x:v>53725.4016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DATA_STOCK!D11</x:f>
        <x:v>48887.5186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W9:X9"/>
    <x:mergeCell ref="Y9:AC9"/>
    <x:mergeCell ref="AD9:AE9"/>
    <x:mergeCell ref="W10:X10"/>
    <x:mergeCell ref="Y10:AC10"/>
    <x:mergeCell ref="AD10:AE10"/>
    <x:mergeCell ref="W11:X11"/>
    <x:mergeCell ref="Y11:AC11"/>
    <x:mergeCell ref="AD11:AE11"/>
    <x:mergeCell ref="W12:X12"/>
    <x:mergeCell ref="Y12:AC12"/>
    <x:mergeCell ref="AD12:AE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W20:X20"/>
    <x:mergeCell ref="Y20:AC20"/>
    <x:mergeCell ref="AD20:AE20"/>
    <x:mergeCell ref="W21:X21"/>
    <x:mergeCell ref="Y21:AC21"/>
    <x:mergeCell ref="AD21:AE21"/>
    <x:mergeCell ref="W22:X22"/>
    <x:mergeCell ref="Y22:AC22"/>
    <x:mergeCell ref="AD22:AE22"/>
    <x:mergeCell ref="W23:X23"/>
    <x:mergeCell ref="Y23:AC23"/>
    <x:mergeCell ref="AD23:AE23"/>
    <x:mergeCell ref="W24:X24"/>
    <x:mergeCell ref="Y24:AC24"/>
    <x:mergeCell ref="AD24:AE24"/>
    <x:mergeCell ref="W25:X25"/>
    <x:mergeCell ref="Y25:AC25"/>
    <x:mergeCell ref="AD25:AE25"/>
    <x:mergeCell ref="W26:X26"/>
    <x:mergeCell ref="Y26:AC26"/>
    <x:mergeCell ref="AD26:AE26"/>
    <x:mergeCell ref="W27:X27"/>
    <x:mergeCell ref="Y27:AC27"/>
    <x:mergeCell ref="AD27:AE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7:Q10"/>
    <x:mergeCell ref="C31:Q31"/>
    <x:mergeCell ref="C33:AE34"/>
    <x:mergeCell ref="C35:AE36"/>
    <x:mergeCell ref="C37:AE38"/>
    <x:mergeCell ref="C40:O40"/>
    <x:mergeCell ref="P40:R40"/>
    <x:mergeCell ref="S40:AA40"/>
    <x:mergeCell ref="AB40:AE40"/>
    <x:mergeCell ref="C11:Q1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BRAZIL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EUR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C7" s="158" t="str">
        <x:v>No comparable KPI_2 monthly-flow series is available. Quarter-end stock comparison is shown below.</x:v>
      </x:c>
      <x:c r="D7" s="158"/>
      <x:c r="E7" s="158"/>
      <x:c r="F7" s="158"/>
      <x:c r="G7" s="158"/>
      <x:c r="H7" s="158"/>
      <x:c r="I7" s="158"/>
      <x:c r="J7" s="158"/>
      <x:c r="K7" s="158"/>
      <x:c r="L7" s="158"/>
      <x:c r="M7" s="158"/>
      <x:c r="N7" s="158"/>
      <x:c r="O7" s="158"/>
      <x:c r="P7" s="158"/>
      <x:c r="Q7" s="158"/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€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C8" s="158"/>
      <x:c r="D8" s="158"/>
      <x:c r="E8" s="158"/>
      <x:c r="F8" s="158"/>
      <x:c r="G8" s="158"/>
      <x:c r="H8" s="158"/>
      <x:c r="I8" s="158"/>
      <x:c r="J8" s="158"/>
      <x:c r="K8" s="158"/>
      <x:c r="L8" s="158"/>
      <x:c r="M8" s="158"/>
      <x:c r="N8" s="158"/>
      <x:c r="O8" s="158"/>
      <x:c r="P8" s="158"/>
      <x:c r="Q8" s="158"/>
      <x:c r="R8" s="96"/>
      <x:c r="S8" s="96"/>
      <x:c r="T8" s="96"/>
      <x:c r="U8" s="96"/>
      <x:c r="V8" s="96"/>
      <x:c r="W8" s="108"/>
      <x:c r="X8" s="108"/>
      <x:c r="Y8" s="108"/>
      <x:c r="Z8" s="108"/>
      <x:c r="AA8" s="108"/>
      <x:c r="AB8" s="108"/>
      <x:c r="AC8" s="108"/>
      <x:c r="AD8" s="112"/>
      <x:c r="AE8" s="112"/>
    </x:row>
    <x:row r="9" ht="20" customHeight="1">
      <x:c r="C9" s="158"/>
      <x:c r="D9" s="158"/>
      <x:c r="E9" s="158"/>
      <x:c r="F9" s="158"/>
      <x:c r="G9" s="158"/>
      <x:c r="H9" s="158"/>
      <x:c r="I9" s="158"/>
      <x:c r="J9" s="158"/>
      <x:c r="K9" s="158"/>
      <x:c r="L9" s="158"/>
      <x:c r="M9" s="158"/>
      <x:c r="N9" s="158"/>
      <x:c r="O9" s="158"/>
      <x:c r="P9" s="158"/>
      <x:c r="Q9" s="158"/>
      <x:c r="R9" s="102"/>
      <x:c r="S9" s="102"/>
      <x:c r="T9" s="102"/>
      <x:c r="U9" s="102"/>
      <x:c r="V9" s="102"/>
      <x:c r="W9" s="109"/>
      <x:c r="X9" s="109"/>
      <x:c r="Y9" s="109"/>
      <x:c r="Z9" s="109"/>
      <x:c r="AA9" s="109"/>
      <x:c r="AB9" s="109"/>
      <x:c r="AC9" s="109"/>
      <x:c r="AD9" s="113"/>
      <x:c r="AE9" s="113"/>
    </x:row>
    <x:row r="10" ht="20" customHeight="1">
      <x:c r="C10" s="158"/>
      <x:c r="D10" s="158"/>
      <x:c r="E10" s="158"/>
      <x:c r="F10" s="158"/>
      <x:c r="G10" s="158"/>
      <x:c r="H10" s="158"/>
      <x:c r="I10" s="158"/>
      <x:c r="J10" s="158"/>
      <x:c r="K10" s="158"/>
      <x:c r="L10" s="158"/>
      <x:c r="M10" s="158"/>
      <x:c r="N10" s="158"/>
      <x:c r="O10" s="158"/>
      <x:c r="P10" s="158"/>
      <x:c r="Q10" s="158"/>
      <x:c r="R10" s="96"/>
      <x:c r="S10" s="96"/>
      <x:c r="T10" s="96"/>
      <x:c r="U10" s="96"/>
      <x:c r="V10" s="96"/>
      <x:c r="W10" s="108"/>
      <x:c r="X10" s="108"/>
      <x:c r="Y10" s="108"/>
      <x:c r="Z10" s="108"/>
      <x:c r="AA10" s="108"/>
      <x:c r="AB10" s="108"/>
      <x:c r="AC10" s="108"/>
      <x:c r="AD10" s="112"/>
      <x:c r="AE10" s="112"/>
    </x:row>
    <x:row r="11" ht="20" customHeight="1">
      <x:c r="C11" s="164" t="str">
        <x:v>KPI_1 / KPI_2 / KPI_3 in nonstandard format. No manufactured monthly processing chart.</x:v>
      </x:c>
      <x:c r="D11" s="164"/>
      <x:c r="E11" s="164"/>
      <x:c r="F11" s="164"/>
      <x:c r="G11" s="164"/>
      <x:c r="H11" s="164"/>
      <x:c r="I11" s="164"/>
      <x:c r="J11" s="164"/>
      <x:c r="K11" s="164"/>
      <x:c r="L11" s="164"/>
      <x:c r="M11" s="164"/>
      <x:c r="N11" s="164"/>
      <x:c r="O11" s="164"/>
      <x:c r="P11" s="164"/>
      <x:c r="Q11" s="164"/>
      <x:c r="R11" s="102"/>
      <x:c r="S11" s="102"/>
      <x:c r="T11" s="102"/>
      <x:c r="U11" s="102"/>
      <x:c r="V11" s="102"/>
      <x:c r="W11" s="109"/>
      <x:c r="X11" s="109"/>
      <x:c r="Y11" s="109"/>
      <x:c r="Z11" s="109"/>
      <x:c r="AA11" s="109"/>
      <x:c r="AB11" s="109"/>
      <x:c r="AC11" s="109"/>
      <x:c r="AD11" s="113"/>
      <x:c r="AE11" s="113"/>
    </x:row>
    <x:row r="12" ht="20" customHeight="1"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4"/>
      <x:c r="Q12" s="164"/>
      <x:c r="R12" s="96"/>
      <x:c r="S12" s="96"/>
      <x:c r="T12" s="96"/>
      <x:c r="U12" s="96"/>
      <x:c r="V12" s="96"/>
      <x:c r="W12" s="108"/>
      <x:c r="X12" s="108"/>
      <x:c r="Y12" s="108"/>
      <x:c r="Z12" s="108"/>
      <x:c r="AA12" s="108"/>
      <x:c r="AB12" s="108"/>
      <x:c r="AC12" s="108"/>
      <x:c r="AD12" s="112"/>
      <x:c r="AE12" s="112"/>
    </x:row>
    <x:row r="13" ht="20" customHeight="1">
      <x:c r="C13" s="164"/>
      <x:c r="D13" s="164"/>
      <x:c r="E13" s="164"/>
      <x:c r="F13" s="164"/>
      <x:c r="G13" s="164"/>
      <x:c r="H13" s="164"/>
      <x:c r="I13" s="164"/>
      <x:c r="J13" s="164"/>
      <x:c r="K13" s="164"/>
      <x:c r="L13" s="164"/>
      <x:c r="M13" s="164"/>
      <x:c r="N13" s="164"/>
      <x:c r="O13" s="164"/>
      <x:c r="P13" s="164"/>
      <x:c r="Q13" s="164"/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SUM(W8:W13)</x:f>
        <x:v>0</x:v>
      </x:c>
      <x:c r="X14" s="122"/>
      <x:c r="Y14" s="122" t="n">
        <x:f>SUM(Y8:Y13)</x:f>
        <x:v>0</x:v>
      </x:c>
      <x:c r="Z14" s="122"/>
      <x:c r="AA14" s="122"/>
      <x:c r="AB14" s="122"/>
      <x:c r="AC14" s="122"/>
      <x:c r="AD14" s="123" t="n">
        <x:f>IF(Y14&gt;0,1,0)</x:f>
        <x:v>0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€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6"/>
      <x:c r="S19" s="96"/>
      <x:c r="T19" s="96"/>
      <x:c r="U19" s="96"/>
      <x:c r="V19" s="96"/>
      <x:c r="W19" s="108"/>
      <x:c r="X19" s="108"/>
      <x:c r="Y19" s="108"/>
      <x:c r="Z19" s="108"/>
      <x:c r="AA19" s="108"/>
      <x:c r="AB19" s="108"/>
      <x:c r="AC19" s="108"/>
      <x:c r="AD19" s="112"/>
      <x:c r="AE19" s="112"/>
    </x:row>
    <x:row r="20" ht="20" customHeight="1">
      <x:c r="R20" s="102"/>
      <x:c r="S20" s="102"/>
      <x:c r="T20" s="102"/>
      <x:c r="U20" s="102"/>
      <x:c r="V20" s="102"/>
      <x:c r="W20" s="109"/>
      <x:c r="X20" s="109"/>
      <x:c r="Y20" s="109"/>
      <x:c r="Z20" s="109"/>
      <x:c r="AA20" s="109"/>
      <x:c r="AB20" s="109"/>
      <x:c r="AC20" s="109"/>
      <x:c r="AD20" s="113"/>
      <x:c r="AE20" s="113"/>
    </x:row>
    <x:row r="21" ht="20" customHeight="1">
      <x:c r="R21" s="96"/>
      <x:c r="S21" s="96"/>
      <x:c r="T21" s="96"/>
      <x:c r="U21" s="96"/>
      <x:c r="V21" s="96"/>
      <x:c r="W21" s="108"/>
      <x:c r="X21" s="108"/>
      <x:c r="Y21" s="108"/>
      <x:c r="Z21" s="108"/>
      <x:c r="AA21" s="108"/>
      <x:c r="AB21" s="108"/>
      <x:c r="AC21" s="108"/>
      <x:c r="AD21" s="112"/>
      <x:c r="AE21" s="112"/>
    </x:row>
    <x:row r="22" ht="20" customHeight="1">
      <x:c r="R22" s="102"/>
      <x:c r="S22" s="102"/>
      <x:c r="T22" s="102"/>
      <x:c r="U22" s="102"/>
      <x:c r="V22" s="102"/>
      <x:c r="W22" s="109"/>
      <x:c r="X22" s="109"/>
      <x:c r="Y22" s="109"/>
      <x:c r="Z22" s="109"/>
      <x:c r="AA22" s="109"/>
      <x:c r="AB22" s="109"/>
      <x:c r="AC22" s="109"/>
      <x:c r="AD22" s="113"/>
      <x:c r="AE22" s="113"/>
    </x:row>
    <x:row r="23" ht="20" customHeight="1">
      <x:c r="R23" s="96"/>
      <x:c r="S23" s="96"/>
      <x:c r="T23" s="96"/>
      <x:c r="U23" s="96"/>
      <x:c r="V23" s="96"/>
      <x:c r="W23" s="108"/>
      <x:c r="X23" s="108"/>
      <x:c r="Y23" s="108"/>
      <x:c r="Z23" s="108"/>
      <x:c r="AA23" s="108"/>
      <x:c r="AB23" s="108"/>
      <x:c r="AC23" s="108"/>
      <x:c r="AD23" s="112"/>
      <x:c r="AE23" s="112"/>
    </x:row>
    <x:row r="24" ht="20" customHeight="1">
      <x:c r="R24" s="102"/>
      <x:c r="S24" s="102"/>
      <x:c r="T24" s="102"/>
      <x:c r="U24" s="102"/>
      <x:c r="V24" s="102"/>
      <x:c r="W24" s="109"/>
      <x:c r="X24" s="109"/>
      <x:c r="Y24" s="109"/>
      <x:c r="Z24" s="109"/>
      <x:c r="AA24" s="109"/>
      <x:c r="AB24" s="109"/>
      <x:c r="AC24" s="109"/>
      <x:c r="AD24" s="113"/>
      <x:c r="AE24" s="113"/>
    </x:row>
    <x:row r="25" ht="20" customHeight="1">
      <x:c r="R25" s="96"/>
      <x:c r="S25" s="96"/>
      <x:c r="T25" s="96"/>
      <x:c r="U25" s="96"/>
      <x:c r="V25" s="96"/>
      <x:c r="W25" s="108"/>
      <x:c r="X25" s="108"/>
      <x:c r="Y25" s="108"/>
      <x:c r="Z25" s="108"/>
      <x:c r="AA25" s="108"/>
      <x:c r="AB25" s="108"/>
      <x:c r="AC25" s="108"/>
      <x:c r="AD25" s="112"/>
      <x:c r="AE25" s="112"/>
    </x:row>
    <x:row r="26" ht="20" customHeight="1">
      <x:c r="R26" s="102"/>
      <x:c r="S26" s="102"/>
      <x:c r="T26" s="102"/>
      <x:c r="U26" s="102"/>
      <x:c r="V26" s="102"/>
      <x:c r="W26" s="109"/>
      <x:c r="X26" s="109"/>
      <x:c r="Y26" s="109"/>
      <x:c r="Z26" s="109"/>
      <x:c r="AA26" s="109"/>
      <x:c r="AB26" s="109"/>
      <x:c r="AC26" s="109"/>
      <x:c r="AD26" s="113"/>
      <x:c r="AE26" s="113"/>
    </x:row>
    <x:row r="27" ht="20" customHeight="1">
      <x:c r="R27" s="96"/>
      <x:c r="S27" s="96"/>
      <x:c r="T27" s="96"/>
      <x:c r="U27" s="96"/>
      <x:c r="V27" s="96"/>
      <x:c r="W27" s="108"/>
      <x:c r="X27" s="108"/>
      <x:c r="Y27" s="108"/>
      <x:c r="Z27" s="108"/>
      <x:c r="AA27" s="108"/>
      <x:c r="AB27" s="108"/>
      <x:c r="AC27" s="108"/>
      <x:c r="AD27" s="112"/>
      <x:c r="AE27" s="112"/>
    </x:row>
    <x:row r="28" ht="20" customHeight="1">
      <x:c r="R28" s="102"/>
      <x:c r="S28" s="102"/>
      <x:c r="T28" s="102"/>
      <x:c r="U28" s="102"/>
      <x:c r="V28" s="102"/>
      <x:c r="W28" s="109"/>
      <x:c r="X28" s="109"/>
      <x:c r="Y28" s="109"/>
      <x:c r="Z28" s="109"/>
      <x:c r="AA28" s="109"/>
      <x:c r="AB28" s="109"/>
      <x:c r="AC28" s="109"/>
      <x:c r="AD28" s="113"/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SUM(W19:W28)</x:f>
        <x:v>0</x:v>
      </x:c>
      <x:c r="X29" s="122"/>
      <x:c r="Y29" s="122" t="n">
        <x:f>SUM(Y19:Y28)</x:f>
        <x:v>0</x:v>
      </x:c>
      <x:c r="Z29" s="122"/>
      <x:c r="AA29" s="122"/>
      <x:c r="AB29" s="122"/>
      <x:c r="AC29" s="122"/>
      <x:c r="AD29" s="123" t="n">
        <x:f>IF(Y29&gt;0,1,0)</x:f>
        <x:v>0</x:v>
      </x:c>
      <x:c r="AE29" s="123"/>
    </x:row>
    <x:row r="30" ht="20" customHeight="1">
      <x:c r="R30" s="151" t="str">
        <x:v>No standard KPI_3 supplied for this country. Stock comparison only.</x:v>
      </x:c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  <x:c r="AC30" s="151"/>
      <x:c r="AD30" s="151"/>
      <x:c r="AE30" s="151"/>
      <x:c r="AF30" s="151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  <x:c r="AC31" s="151"/>
      <x:c r="AD31" s="151"/>
      <x:c r="AE31" s="151"/>
      <x:c r="AF31" s="151"/>
    </x:row>
    <x:row r="32" ht="20" customHeight="1"/>
    <x:row r="33" ht="20" customHeight="1">
      <x:c r="C33" s="135" t="str">
        <x:f>DATA_COMMENTS!B12</x:f>
        <x:v>Specific Brazilian reporting rules; FGO transfer caused a substantial Q2 stock reduction.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DATA_COMMENTS!C12</x:f>
        <x:v>Q1 and Q2 consolidated stock are sourced from the original Q2 synthesis.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DATA_COMMENTS!D12</x:f>
        <x:v>Ordinary KPI_2/KPI_3 presentations are not invented for this country.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DATA_STOCK!C12</x:f>
        <x:v>8543463.1717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DATA_STOCK!D12</x:f>
        <x:v>3784195.42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W9:X9"/>
    <x:mergeCell ref="Y9:AC9"/>
    <x:mergeCell ref="AD9:AE9"/>
    <x:mergeCell ref="W10:X10"/>
    <x:mergeCell ref="Y10:AC10"/>
    <x:mergeCell ref="AD10:AE10"/>
    <x:mergeCell ref="W11:X11"/>
    <x:mergeCell ref="Y11:AC11"/>
    <x:mergeCell ref="AD11:AE11"/>
    <x:mergeCell ref="W12:X12"/>
    <x:mergeCell ref="Y12:AC12"/>
    <x:mergeCell ref="AD12:AE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W20:X20"/>
    <x:mergeCell ref="Y20:AC20"/>
    <x:mergeCell ref="AD20:AE20"/>
    <x:mergeCell ref="W21:X21"/>
    <x:mergeCell ref="Y21:AC21"/>
    <x:mergeCell ref="AD21:AE21"/>
    <x:mergeCell ref="W22:X22"/>
    <x:mergeCell ref="Y22:AC22"/>
    <x:mergeCell ref="AD22:AE22"/>
    <x:mergeCell ref="W23:X23"/>
    <x:mergeCell ref="Y23:AC23"/>
    <x:mergeCell ref="AD23:AE23"/>
    <x:mergeCell ref="W24:X24"/>
    <x:mergeCell ref="Y24:AC24"/>
    <x:mergeCell ref="AD24:AE24"/>
    <x:mergeCell ref="W25:X25"/>
    <x:mergeCell ref="Y25:AC25"/>
    <x:mergeCell ref="AD25:AE25"/>
    <x:mergeCell ref="W26:X26"/>
    <x:mergeCell ref="Y26:AC26"/>
    <x:mergeCell ref="AD26:AE26"/>
    <x:mergeCell ref="W27:X27"/>
    <x:mergeCell ref="Y27:AC27"/>
    <x:mergeCell ref="AD27:AE27"/>
    <x:mergeCell ref="W28:X28"/>
    <x:mergeCell ref="Y28:AC28"/>
    <x:mergeCell ref="AD28:AE28"/>
    <x:mergeCell ref="W29:X29"/>
    <x:mergeCell ref="Y29:AC29"/>
    <x:mergeCell ref="AD29:AE29"/>
    <x:mergeCell ref="R29:V29"/>
    <x:mergeCell ref="R30:AF31"/>
    <x:mergeCell ref="C7:Q10"/>
    <x:mergeCell ref="C31:Q31"/>
    <x:mergeCell ref="C33:AE34"/>
    <x:mergeCell ref="C35:AE36"/>
    <x:mergeCell ref="C37:AE38"/>
    <x:mergeCell ref="C40:O40"/>
    <x:mergeCell ref="P40:R40"/>
    <x:mergeCell ref="S40:AA40"/>
    <x:mergeCell ref="AB40:AE40"/>
    <x:mergeCell ref="C11:Q1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DENMARK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DKK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DKK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0 - 7,5 Kr</x:v>
      </x:c>
      <x:c r="S8" s="99"/>
      <x:c r="T8" s="99"/>
      <x:c r="U8" s="99"/>
      <x:c r="V8" s="99"/>
      <x:c r="W8" s="108" t="n">
        <x:f>DATA_KPI3!D126</x:f>
        <x:v>135</x:v>
      </x:c>
      <x:c r="X8" s="108"/>
      <x:c r="Y8" s="108" t="n">
        <x:f>DATA_KPI3!E126</x:f>
        <x:v>313.4800000000001</x:v>
      </x:c>
      <x:c r="Z8" s="108"/>
      <x:c r="AA8" s="108"/>
      <x:c r="AB8" s="108"/>
      <x:c r="AC8" s="108"/>
      <x:c r="AD8" s="112" t="n">
        <x:f>IFERROR(Y8/$Y$14,0)</x:f>
        <x:v>0.0017196037626562824</x:v>
      </x:c>
      <x:c r="AE8" s="112"/>
    </x:row>
    <x:row r="9" ht="20" customHeight="1">
      <x:c r="R9" s="105" t="str">
        <x:v>7,5 - 75 Kr</x:v>
      </x:c>
      <x:c r="S9" s="105"/>
      <x:c r="T9" s="105"/>
      <x:c r="U9" s="105"/>
      <x:c r="V9" s="105"/>
      <x:c r="W9" s="109" t="n">
        <x:f>DATA_KPI3!D127</x:f>
        <x:v>205</x:v>
      </x:c>
      <x:c r="X9" s="109"/>
      <x:c r="Y9" s="109" t="n">
        <x:f>DATA_KPI3!E127</x:f>
        <x:v>6945.040000000003</x:v>
      </x:c>
      <x:c r="Z9" s="109"/>
      <x:c r="AA9" s="109"/>
      <x:c r="AB9" s="109"/>
      <x:c r="AC9" s="109"/>
      <x:c r="AD9" s="113" t="n">
        <x:f>IFERROR(Y9/$Y$14,0)</x:f>
        <x:v>0.03809722124473137</x:v>
      </x:c>
      <x:c r="AE9" s="113"/>
    </x:row>
    <x:row r="10" ht="20" customHeight="1">
      <x:c r="R10" s="99" t="str">
        <x:v>75 - 747 Kr</x:v>
      </x:c>
      <x:c r="S10" s="99"/>
      <x:c r="T10" s="99"/>
      <x:c r="U10" s="99"/>
      <x:c r="V10" s="99"/>
      <x:c r="W10" s="108" t="n">
        <x:f>DATA_KPI3!D128</x:f>
        <x:v>300</x:v>
      </x:c>
      <x:c r="X10" s="108"/>
      <x:c r="Y10" s="108" t="n">
        <x:f>DATA_KPI3!E128</x:f>
        <x:v>78102.59999999999</x:v>
      </x:c>
      <x:c r="Z10" s="108"/>
      <x:c r="AA10" s="108"/>
      <x:c r="AB10" s="108"/>
      <x:c r="AC10" s="108"/>
      <x:c r="AD10" s="112" t="n">
        <x:f>IFERROR(Y10/$Y$14,0)</x:f>
        <x:v>0.42843411009709875</x:v>
      </x:c>
      <x:c r="AE10" s="112"/>
    </x:row>
    <x:row r="11" ht="20" customHeight="1">
      <x:c r="R11" s="105" t="str">
        <x:v>747 - 7474 Kr</x:v>
      </x:c>
      <x:c r="S11" s="105"/>
      <x:c r="T11" s="105"/>
      <x:c r="U11" s="105"/>
      <x:c r="V11" s="105"/>
      <x:c r="W11" s="109" t="n">
        <x:f>DATA_KPI3!D129</x:f>
        <x:v>51</x:v>
      </x:c>
      <x:c r="X11" s="109"/>
      <x:c r="Y11" s="109" t="n">
        <x:f>DATA_KPI3!E129</x:f>
        <x:v>83888.11999999998</x:v>
      </x:c>
      <x:c r="Z11" s="109"/>
      <x:c r="AA11" s="109"/>
      <x:c r="AB11" s="109"/>
      <x:c r="AC11" s="109"/>
      <x:c r="AD11" s="113" t="n">
        <x:f>IFERROR(Y11/$Y$14,0)</x:f>
        <x:v>0.4601707502684754</x:v>
      </x:c>
      <x:c r="AE11" s="113"/>
    </x:row>
    <x:row r="12" ht="20" customHeight="1">
      <x:c r="R12" s="99" t="str">
        <x:v>&gt;7474 Kr</x:v>
      </x:c>
      <x:c r="S12" s="99"/>
      <x:c r="T12" s="99"/>
      <x:c r="U12" s="99"/>
      <x:c r="V12" s="99"/>
      <x:c r="W12" s="108" t="n">
        <x:f>DATA_KPI3!D130</x:f>
        <x:v>1</x:v>
      </x:c>
      <x:c r="X12" s="108"/>
      <x:c r="Y12" s="108" t="n">
        <x:f>DATA_KPI3!E130</x:f>
        <x:v>13048.57</x:v>
      </x:c>
      <x:c r="Z12" s="108"/>
      <x:c r="AA12" s="108"/>
      <x:c r="AB12" s="108"/>
      <x:c r="AC12" s="108"/>
      <x:c r="AD12" s="112" t="n">
        <x:f>IFERROR(Y12/$Y$14,0)</x:f>
        <x:v>0.07157831462703804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DATA_KPI3_TOTAL!B13</x:f>
        <x:v>692</x:v>
      </x:c>
      <x:c r="X14" s="122"/>
      <x:c r="Y14" s="122" t="n">
        <x:f>DATA_KPI3_TOTAL!C13</x:f>
        <x:v>182297.81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DKK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DATA_KPI3!D131</x:f>
        <x:v>0</x:v>
      </x:c>
      <x:c r="X19" s="108"/>
      <x:c r="Y19" s="108" t="n">
        <x:f>DATA_KPI3!E131</x:f>
        <x:v>0</x:v>
      </x:c>
      <x:c r="Z19" s="108"/>
      <x:c r="AA19" s="108"/>
      <x:c r="AB19" s="108"/>
      <x:c r="AC19" s="108"/>
      <x:c r="AD19" s="112" t="n">
        <x:f>IFERROR(Y19/$Y$29,0)</x:f>
        <x:v>0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DATA_KPI3!D132</x:f>
        <x:v>0</x:v>
      </x:c>
      <x:c r="X20" s="109"/>
      <x:c r="Y20" s="109" t="n">
        <x:f>DATA_KPI3!E132</x:f>
        <x:v>0</x:v>
      </x:c>
      <x:c r="Z20" s="109"/>
      <x:c r="AA20" s="109"/>
      <x:c r="AB20" s="109"/>
      <x:c r="AC20" s="109"/>
      <x:c r="AD20" s="113" t="n">
        <x:f>IFERROR(Y20/$Y$29,0)</x:f>
        <x:v>0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DATA_KPI3!D133</x:f>
        <x:v>0</x:v>
      </x:c>
      <x:c r="X21" s="108"/>
      <x:c r="Y21" s="108" t="n">
        <x:f>DATA_KPI3!E133</x:f>
        <x:v>0</x:v>
      </x:c>
      <x:c r="Z21" s="108"/>
      <x:c r="AA21" s="108"/>
      <x:c r="AB21" s="108"/>
      <x:c r="AC21" s="108"/>
      <x:c r="AD21" s="112" t="n">
        <x:f>IFERROR(Y21/$Y$29,0)</x:f>
        <x:v>0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DATA_KPI3!D134</x:f>
        <x:v>0</x:v>
      </x:c>
      <x:c r="X22" s="109"/>
      <x:c r="Y22" s="109" t="n">
        <x:f>DATA_KPI3!E134</x:f>
        <x:v>0</x:v>
      </x:c>
      <x:c r="Z22" s="109"/>
      <x:c r="AA22" s="109"/>
      <x:c r="AB22" s="109"/>
      <x:c r="AC22" s="109"/>
      <x:c r="AD22" s="113" t="n">
        <x:f>IFERROR(Y22/$Y$29,0)</x:f>
        <x:v>0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DATA_KPI3!D135</x:f>
        <x:v>0</x:v>
      </x:c>
      <x:c r="X23" s="108"/>
      <x:c r="Y23" s="108" t="n">
        <x:f>DATA_KPI3!E135</x:f>
        <x:v>0</x:v>
      </x:c>
      <x:c r="Z23" s="108"/>
      <x:c r="AA23" s="108"/>
      <x:c r="AB23" s="108"/>
      <x:c r="AC23" s="108"/>
      <x:c r="AD23" s="112" t="n">
        <x:f>IFERROR(Y23/$Y$29,0)</x:f>
        <x:v>0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DATA_KPI3!D136</x:f>
        <x:v>0</x:v>
      </x:c>
      <x:c r="X24" s="109"/>
      <x:c r="Y24" s="109" t="n">
        <x:f>DATA_KPI3!E136</x:f>
        <x:v>0</x:v>
      </x:c>
      <x:c r="Z24" s="109"/>
      <x:c r="AA24" s="109"/>
      <x:c r="AB24" s="109"/>
      <x:c r="AC24" s="109"/>
      <x:c r="AD24" s="113" t="n">
        <x:f>IFERROR(Y24/$Y$29,0)</x:f>
        <x:v>0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DATA_KPI3!D137</x:f>
        <x:v>0</x:v>
      </x:c>
      <x:c r="X25" s="108"/>
      <x:c r="Y25" s="108" t="n">
        <x:f>DATA_KPI3!E137</x:f>
        <x:v>0</x:v>
      </x:c>
      <x:c r="Z25" s="108"/>
      <x:c r="AA25" s="108"/>
      <x:c r="AB25" s="108"/>
      <x:c r="AC25" s="108"/>
      <x:c r="AD25" s="112" t="n">
        <x:f>IFERROR(Y25/$Y$29,0)</x:f>
        <x:v>0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DATA_KPI3!D138</x:f>
        <x:v>0</x:v>
      </x:c>
      <x:c r="X26" s="109"/>
      <x:c r="Y26" s="109" t="n">
        <x:f>DATA_KPI3!E138</x:f>
        <x:v>0</x:v>
      </x:c>
      <x:c r="Z26" s="109"/>
      <x:c r="AA26" s="109"/>
      <x:c r="AB26" s="109"/>
      <x:c r="AC26" s="109"/>
      <x:c r="AD26" s="113" t="n">
        <x:f>IFERROR(Y26/$Y$29,0)</x:f>
        <x:v>0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DATA_KPI3!D139</x:f>
        <x:v>0</x:v>
      </x:c>
      <x:c r="X27" s="108"/>
      <x:c r="Y27" s="108" t="n">
        <x:f>DATA_KPI3!E139</x:f>
        <x:v>0</x:v>
      </x:c>
      <x:c r="Z27" s="108"/>
      <x:c r="AA27" s="108"/>
      <x:c r="AB27" s="108"/>
      <x:c r="AC27" s="108"/>
      <x:c r="AD27" s="112" t="n">
        <x:f>IFERROR(Y27/$Y$29,0)</x:f>
        <x:v>0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DATA_KPI3!D140</x:f>
        <x:v>692</x:v>
      </x:c>
      <x:c r="X28" s="109"/>
      <x:c r="Y28" s="109" t="n">
        <x:f>DATA_KPI3!E140</x:f>
        <x:v>182297.8099999999</x:v>
      </x:c>
      <x:c r="Z28" s="109"/>
      <x:c r="AA28" s="109"/>
      <x:c r="AB28" s="109"/>
      <x:c r="AC28" s="109"/>
      <x:c r="AD28" s="113" t="n">
        <x:f>IFERROR(Y28/$Y$29,0)</x:f>
        <x:v>1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DATA_KPI3_TOTAL!D13</x:f>
        <x:v>692</x:v>
      </x:c>
      <x:c r="X29" s="122"/>
      <x:c r="Y29" s="122" t="n">
        <x:f>DATA_KPI3_TOTAL!E13</x:f>
        <x:v>182297.8099999999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DATA_COMMENTS!B13</x:f>
        <x:v>Nordic KPI_2 and KPI_3 source imported individually from NORDICS.xlsx.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DATA_COMMENTS!C13</x:f>
        <x:v>Outstanding stock reported separately from waiting accounts for CSR disbursement.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DATA_COMMENTS!D13</x:f>
        <x:v>Waiting accounts must not be counted twice in stock or in reporting vintages.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DATA_STOCK!C13</x:f>
        <x:v>3203.2179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DATA_STOCK!D13</x:f>
        <x:v>24388.7401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c41426715b7e470f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NORWAY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NOK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NOK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0 - 11,3 Kr</x:v>
      </x:c>
      <x:c r="S8" s="99"/>
      <x:c r="T8" s="99"/>
      <x:c r="U8" s="99"/>
      <x:c r="V8" s="99"/>
      <x:c r="W8" s="108" t="n">
        <x:f>DATA_KPI3!D141</x:f>
        <x:v>215</x:v>
      </x:c>
      <x:c r="X8" s="108"/>
      <x:c r="Y8" s="108" t="n">
        <x:f>DATA_KPI3!E141</x:f>
        <x:v>900.8400000000005</x:v>
      </x:c>
      <x:c r="Z8" s="108"/>
      <x:c r="AA8" s="108"/>
      <x:c r="AB8" s="108"/>
      <x:c r="AC8" s="108"/>
      <x:c r="AD8" s="112" t="n">
        <x:f>IFERROR(Y8/$Y$14,0)</x:f>
        <x:v>0.007368951294605416</x:v>
      </x:c>
      <x:c r="AE8" s="112"/>
    </x:row>
    <x:row r="9" ht="20" customHeight="1">
      <x:c r="R9" s="105" t="str">
        <x:v>11,3 - 113 Kr</x:v>
      </x:c>
      <x:c r="S9" s="105"/>
      <x:c r="T9" s="105"/>
      <x:c r="U9" s="105"/>
      <x:c r="V9" s="105"/>
      <x:c r="W9" s="109" t="n">
        <x:f>DATA_KPI3!D142</x:f>
        <x:v>118</x:v>
      </x:c>
      <x:c r="X9" s="109"/>
      <x:c r="Y9" s="109" t="n">
        <x:f>DATA_KPI3!E142</x:f>
        <x:v>4661.589999999999</x:v>
      </x:c>
      <x:c r="Z9" s="109"/>
      <x:c r="AA9" s="109"/>
      <x:c r="AB9" s="109"/>
      <x:c r="AC9" s="109"/>
      <x:c r="AD9" s="113" t="n">
        <x:f>IFERROR(Y9/$Y$14,0)</x:f>
        <x:v>0.03813222066673287</x:v>
      </x:c>
      <x:c r="AE9" s="113"/>
    </x:row>
    <x:row r="10" ht="20" customHeight="1">
      <x:c r="R10" s="99" t="str">
        <x:v>113 - 1131 Kr</x:v>
      </x:c>
      <x:c r="S10" s="99"/>
      <x:c r="T10" s="99"/>
      <x:c r="U10" s="99"/>
      <x:c r="V10" s="99"/>
      <x:c r="W10" s="108" t="n">
        <x:f>DATA_KPI3!D143</x:f>
        <x:v>108</x:v>
      </x:c>
      <x:c r="X10" s="108"/>
      <x:c r="Y10" s="108" t="n">
        <x:f>DATA_KPI3!E143</x:f>
        <x:v>46587.51</x:v>
      </x:c>
      <x:c r="Z10" s="108"/>
      <x:c r="AA10" s="108"/>
      <x:c r="AB10" s="108"/>
      <x:c r="AC10" s="108"/>
      <x:c r="AD10" s="112" t="n">
        <x:f>IFERROR(Y10/$Y$14,0)</x:f>
        <x:v>0.38108997394314487</x:v>
      </x:c>
      <x:c r="AE10" s="112"/>
    </x:row>
    <x:row r="11" ht="20" customHeight="1">
      <x:c r="R11" s="105" t="str">
        <x:v>1131 - 11311 Kr</x:v>
      </x:c>
      <x:c r="S11" s="105"/>
      <x:c r="T11" s="105"/>
      <x:c r="U11" s="105"/>
      <x:c r="V11" s="105"/>
      <x:c r="W11" s="109" t="n">
        <x:f>DATA_KPI3!D144</x:f>
        <x:v>20</x:v>
      </x:c>
      <x:c r="X11" s="109"/>
      <x:c r="Y11" s="109" t="n">
        <x:f>DATA_KPI3!E144</x:f>
        <x:v>70098.11999999998</x:v>
      </x:c>
      <x:c r="Z11" s="109"/>
      <x:c r="AA11" s="109"/>
      <x:c r="AB11" s="109"/>
      <x:c r="AC11" s="109"/>
      <x:c r="AD11" s="113" t="n">
        <x:f>IFERROR(Y11/$Y$14,0)</x:f>
        <x:v>0.5734088540955169</x:v>
      </x:c>
      <x:c r="AE11" s="113"/>
    </x:row>
    <x:row r="12" ht="20" customHeight="1">
      <x:c r="R12" s="99" t="str">
        <x:v>&gt;11311 Kr</x:v>
      </x:c>
      <x:c r="S12" s="99"/>
      <x:c r="T12" s="99"/>
      <x:c r="U12" s="99"/>
      <x:c r="V12" s="99"/>
      <x:c r="W12" s="108" t="n">
        <x:f>DATA_KPI3!D145</x:f>
        <x:v>0</x:v>
      </x:c>
      <x:c r="X12" s="108"/>
      <x:c r="Y12" s="108" t="n">
        <x:f>DATA_KPI3!E145</x:f>
        <x:v>0</x:v>
      </x:c>
      <x:c r="Z12" s="108"/>
      <x:c r="AA12" s="108"/>
      <x:c r="AB12" s="108"/>
      <x:c r="AC12" s="108"/>
      <x:c r="AD12" s="112" t="n">
        <x:f>IFERROR(Y12/$Y$14,0)</x:f>
        <x:v>0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DATA_KPI3_TOTAL!B14</x:f>
        <x:v>461</x:v>
      </x:c>
      <x:c r="X14" s="122"/>
      <x:c r="Y14" s="122" t="n">
        <x:f>DATA_KPI3_TOTAL!C14</x:f>
        <x:v>122248.05999999998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NOK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DATA_KPI3!D146</x:f>
        <x:v>0</x:v>
      </x:c>
      <x:c r="X19" s="108"/>
      <x:c r="Y19" s="108" t="n">
        <x:f>DATA_KPI3!E146</x:f>
        <x:v>0</x:v>
      </x:c>
      <x:c r="Z19" s="108"/>
      <x:c r="AA19" s="108"/>
      <x:c r="AB19" s="108"/>
      <x:c r="AC19" s="108"/>
      <x:c r="AD19" s="112" t="n">
        <x:f>IFERROR(Y19/$Y$29,0)</x:f>
        <x:v>0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DATA_KPI3!D147</x:f>
        <x:v>0</x:v>
      </x:c>
      <x:c r="X20" s="109"/>
      <x:c r="Y20" s="109" t="n">
        <x:f>DATA_KPI3!E147</x:f>
        <x:v>0</x:v>
      </x:c>
      <x:c r="Z20" s="109"/>
      <x:c r="AA20" s="109"/>
      <x:c r="AB20" s="109"/>
      <x:c r="AC20" s="109"/>
      <x:c r="AD20" s="113" t="n">
        <x:f>IFERROR(Y20/$Y$29,0)</x:f>
        <x:v>0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DATA_KPI3!D148</x:f>
        <x:v>0</x:v>
      </x:c>
      <x:c r="X21" s="108"/>
      <x:c r="Y21" s="108" t="n">
        <x:f>DATA_KPI3!E148</x:f>
        <x:v>0</x:v>
      </x:c>
      <x:c r="Z21" s="108"/>
      <x:c r="AA21" s="108"/>
      <x:c r="AB21" s="108"/>
      <x:c r="AC21" s="108"/>
      <x:c r="AD21" s="112" t="n">
        <x:f>IFERROR(Y21/$Y$29,0)</x:f>
        <x:v>0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DATA_KPI3!D149</x:f>
        <x:v>0</x:v>
      </x:c>
      <x:c r="X22" s="109"/>
      <x:c r="Y22" s="109" t="n">
        <x:f>DATA_KPI3!E149</x:f>
        <x:v>0</x:v>
      </x:c>
      <x:c r="Z22" s="109"/>
      <x:c r="AA22" s="109"/>
      <x:c r="AB22" s="109"/>
      <x:c r="AC22" s="109"/>
      <x:c r="AD22" s="113" t="n">
        <x:f>IFERROR(Y22/$Y$29,0)</x:f>
        <x:v>0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DATA_KPI3!D150</x:f>
        <x:v>0</x:v>
      </x:c>
      <x:c r="X23" s="108"/>
      <x:c r="Y23" s="108" t="n">
        <x:f>DATA_KPI3!E150</x:f>
        <x:v>0</x:v>
      </x:c>
      <x:c r="Z23" s="108"/>
      <x:c r="AA23" s="108"/>
      <x:c r="AB23" s="108"/>
      <x:c r="AC23" s="108"/>
      <x:c r="AD23" s="112" t="n">
        <x:f>IFERROR(Y23/$Y$29,0)</x:f>
        <x:v>0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DATA_KPI3!D151</x:f>
        <x:v>0</x:v>
      </x:c>
      <x:c r="X24" s="109"/>
      <x:c r="Y24" s="109" t="n">
        <x:f>DATA_KPI3!E151</x:f>
        <x:v>0</x:v>
      </x:c>
      <x:c r="Z24" s="109"/>
      <x:c r="AA24" s="109"/>
      <x:c r="AB24" s="109"/>
      <x:c r="AC24" s="109"/>
      <x:c r="AD24" s="113" t="n">
        <x:f>IFERROR(Y24/$Y$29,0)</x:f>
        <x:v>0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DATA_KPI3!D152</x:f>
        <x:v>0</x:v>
      </x:c>
      <x:c r="X25" s="108"/>
      <x:c r="Y25" s="108" t="n">
        <x:f>DATA_KPI3!E152</x:f>
        <x:v>0</x:v>
      </x:c>
      <x:c r="Z25" s="108"/>
      <x:c r="AA25" s="108"/>
      <x:c r="AB25" s="108"/>
      <x:c r="AC25" s="108"/>
      <x:c r="AD25" s="112" t="n">
        <x:f>IFERROR(Y25/$Y$29,0)</x:f>
        <x:v>0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DATA_KPI3!D153</x:f>
        <x:v>0</x:v>
      </x:c>
      <x:c r="X26" s="109"/>
      <x:c r="Y26" s="109" t="n">
        <x:f>DATA_KPI3!E153</x:f>
        <x:v>0</x:v>
      </x:c>
      <x:c r="Z26" s="109"/>
      <x:c r="AA26" s="109"/>
      <x:c r="AB26" s="109"/>
      <x:c r="AC26" s="109"/>
      <x:c r="AD26" s="113" t="n">
        <x:f>IFERROR(Y26/$Y$29,0)</x:f>
        <x:v>0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DATA_KPI3!D154</x:f>
        <x:v>0</x:v>
      </x:c>
      <x:c r="X27" s="108"/>
      <x:c r="Y27" s="108" t="n">
        <x:f>DATA_KPI3!E154</x:f>
        <x:v>0</x:v>
      </x:c>
      <x:c r="Z27" s="108"/>
      <x:c r="AA27" s="108"/>
      <x:c r="AB27" s="108"/>
      <x:c r="AC27" s="108"/>
      <x:c r="AD27" s="112" t="n">
        <x:f>IFERROR(Y27/$Y$29,0)</x:f>
        <x:v>0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DATA_KPI3!D155</x:f>
        <x:v>461</x:v>
      </x:c>
      <x:c r="X28" s="109"/>
      <x:c r="Y28" s="109" t="n">
        <x:f>DATA_KPI3!E155</x:f>
        <x:v>122248.06</x:v>
      </x:c>
      <x:c r="Z28" s="109"/>
      <x:c r="AA28" s="109"/>
      <x:c r="AB28" s="109"/>
      <x:c r="AC28" s="109"/>
      <x:c r="AD28" s="113" t="n">
        <x:f>IFERROR(Y28/$Y$29,0)</x:f>
        <x:v>1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DATA_KPI3_TOTAL!D14</x:f>
        <x:v>461</x:v>
      </x:c>
      <x:c r="X29" s="122"/>
      <x:c r="Y29" s="122" t="n">
        <x:f>DATA_KPI3_TOTAL!E14</x:f>
        <x:v>122248.06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DATA_COMMENTS!B14</x:f>
        <x:v>Nordic KPI_2 and KPI_3 source imported individually from NORDICS.xlsx.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DATA_COMMENTS!C14</x:f>
        <x:v>Outstanding stock reported separately from waiting accounts for CSR disbursement.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DATA_COMMENTS!D14</x:f>
        <x:v>Waiting accounts must not be counted twice in stock or in reporting vintages.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DATA_STOCK!C14</x:f>
        <x:v>13198.213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DATA_STOCK!D14</x:f>
        <x:v>10807.6386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005b38532ff44cae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18"/>
      <x:c r="C2" s="21" t="str">
        <x:v>SWEDEN</x:v>
      </x:c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</x:row>
    <x:row r="3" ht="22" customHeight="1">
      <x:c r="B3" s="18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 ht="22" customHeight="1">
      <x:c r="B4" s="18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 ht="20" customHeight="1">
      <x:c r="C5" s="81" t="str">
        <x:v>Q2 2026   |   Stock at 30 June   |   Currency: SEK</x:v>
      </x:c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6" t="str">
        <x:v>STOCK OF POSITIVE BALANCES  •  Q2 2026</x:v>
      </x:c>
      <x:c r="S5" s="86"/>
      <x:c r="T5" s="86"/>
      <x:c r="U5" s="86"/>
      <x:c r="V5" s="86"/>
      <x:c r="W5" s="86"/>
      <x:c r="X5" s="86"/>
      <x:c r="Y5" s="86"/>
      <x:c r="Z5" s="86"/>
      <x:c r="AA5" s="86"/>
      <x:c r="AB5" s="86"/>
      <x:c r="AC5" s="86"/>
      <x:c r="AD5" s="86"/>
      <x:c r="AE5" s="86"/>
      <x:c r="AF5" s="86"/>
    </x:row>
    <x:row r="6" ht="20" customHeight="1">
      <x:c r="R6" s="86"/>
      <x:c r="S6" s="86"/>
      <x:c r="T6" s="86"/>
      <x:c r="U6" s="86"/>
      <x:c r="V6" s="86"/>
      <x:c r="W6" s="86"/>
      <x:c r="X6" s="86"/>
      <x:c r="Y6" s="86"/>
      <x:c r="Z6" s="86"/>
      <x:c r="AA6" s="86"/>
      <x:c r="AB6" s="86"/>
      <x:c r="AC6" s="86"/>
      <x:c r="AD6" s="86"/>
      <x:c r="AE6" s="86"/>
      <x:c r="AF6" s="86"/>
    </x:row>
    <x:row r="7" ht="20" customHeight="1">
      <x:c r="R7" s="92" t="str">
        <x:v>Breakdown</x:v>
      </x:c>
      <x:c r="S7" s="92"/>
      <x:c r="T7" s="92"/>
      <x:c r="U7" s="92"/>
      <x:c r="V7" s="92"/>
      <x:c r="W7" s="92" t="str">
        <x:v>Contracts</x:v>
      </x:c>
      <x:c r="X7" s="92"/>
      <x:c r="Y7" s="92" t="str">
        <x:v>Amount SEK</x:v>
      </x:c>
      <x:c r="Z7" s="92"/>
      <x:c r="AA7" s="92"/>
      <x:c r="AB7" s="92"/>
      <x:c r="AC7" s="92"/>
      <x:c r="AD7" s="92" t="str">
        <x:v>% amount</x:v>
      </x:c>
      <x:c r="AE7" s="92"/>
    </x:row>
    <x:row r="8" ht="20" customHeight="1">
      <x:c r="R8" s="99" t="str">
        <x:v>0 - 11,1 Kr</x:v>
      </x:c>
      <x:c r="S8" s="99"/>
      <x:c r="T8" s="99"/>
      <x:c r="U8" s="99"/>
      <x:c r="V8" s="99"/>
      <x:c r="W8" s="108" t="n">
        <x:f>DATA_KPI3!D156</x:f>
        <x:v>161</x:v>
      </x:c>
      <x:c r="X8" s="108"/>
      <x:c r="Y8" s="108" t="n">
        <x:f>DATA_KPI3!E156</x:f>
        <x:v>263.21999999999997</x:v>
      </x:c>
      <x:c r="Z8" s="108"/>
      <x:c r="AA8" s="108"/>
      <x:c r="AB8" s="108"/>
      <x:c r="AC8" s="108"/>
      <x:c r="AD8" s="112" t="n">
        <x:f>IFERROR(Y8/$Y$14,0)</x:f>
        <x:v>0.0016803701334094639</x:v>
      </x:c>
      <x:c r="AE8" s="112"/>
    </x:row>
    <x:row r="9" ht="20" customHeight="1">
      <x:c r="R9" s="105" t="str">
        <x:v>11,1 - 111 Kr</x:v>
      </x:c>
      <x:c r="S9" s="105"/>
      <x:c r="T9" s="105"/>
      <x:c r="U9" s="105"/>
      <x:c r="V9" s="105"/>
      <x:c r="W9" s="109" t="n">
        <x:f>DATA_KPI3!D157</x:f>
        <x:v>119</x:v>
      </x:c>
      <x:c r="X9" s="109"/>
      <x:c r="Y9" s="109" t="n">
        <x:f>DATA_KPI3!E157</x:f>
        <x:v>6340.86</x:v>
      </x:c>
      <x:c r="Z9" s="109"/>
      <x:c r="AA9" s="109"/>
      <x:c r="AB9" s="109"/>
      <x:c r="AC9" s="109"/>
      <x:c r="AD9" s="113" t="n">
        <x:f>IFERROR(Y9/$Y$14,0)</x:f>
        <x:v>0.040479415561624245</x:v>
      </x:c>
      <x:c r="AE9" s="113"/>
    </x:row>
    <x:row r="10" ht="20" customHeight="1">
      <x:c r="R10" s="99" t="str">
        <x:v>111 - 1109 Kr</x:v>
      </x:c>
      <x:c r="S10" s="99"/>
      <x:c r="T10" s="99"/>
      <x:c r="U10" s="99"/>
      <x:c r="V10" s="99"/>
      <x:c r="W10" s="108" t="n">
        <x:f>DATA_KPI3!D158</x:f>
        <x:v>175</x:v>
      </x:c>
      <x:c r="X10" s="108"/>
      <x:c r="Y10" s="108" t="n">
        <x:f>DATA_KPI3!E158</x:f>
        <x:v>65226.56999999998</x:v>
      </x:c>
      <x:c r="Z10" s="108"/>
      <x:c r="AA10" s="108"/>
      <x:c r="AB10" s="108"/>
      <x:c r="AC10" s="108"/>
      <x:c r="AD10" s="112" t="n">
        <x:f>IFERROR(Y10/$Y$14,0)</x:f>
        <x:v>0.416399894129404</x:v>
      </x:c>
      <x:c r="AE10" s="112"/>
    </x:row>
    <x:row r="11" ht="20" customHeight="1">
      <x:c r="R11" s="105" t="str">
        <x:v>1109 - 11094 Kr</x:v>
      </x:c>
      <x:c r="S11" s="105"/>
      <x:c r="T11" s="105"/>
      <x:c r="U11" s="105"/>
      <x:c r="V11" s="105"/>
      <x:c r="W11" s="109" t="n">
        <x:f>DATA_KPI3!D159</x:f>
        <x:v>32</x:v>
      </x:c>
      <x:c r="X11" s="109"/>
      <x:c r="Y11" s="109" t="n">
        <x:f>DATA_KPI3!E159</x:f>
        <x:v>84813.40999999996</x:v>
      </x:c>
      <x:c r="Z11" s="109"/>
      <x:c r="AA11" s="109"/>
      <x:c r="AB11" s="109"/>
      <x:c r="AC11" s="109"/>
      <x:c r="AD11" s="113" t="n">
        <x:f>IFERROR(Y11/$Y$14,0)</x:f>
        <x:v>0.5414403201755623</x:v>
      </x:c>
      <x:c r="AE11" s="113"/>
    </x:row>
    <x:row r="12" ht="20" customHeight="1">
      <x:c r="R12" s="99" t="str">
        <x:v>&gt;11094 Kr</x:v>
      </x:c>
      <x:c r="S12" s="99"/>
      <x:c r="T12" s="99"/>
      <x:c r="U12" s="99"/>
      <x:c r="V12" s="99"/>
      <x:c r="W12" s="108" t="n">
        <x:f>DATA_KPI3!D160</x:f>
        <x:v>0</x:v>
      </x:c>
      <x:c r="X12" s="108"/>
      <x:c r="Y12" s="108" t="n">
        <x:f>DATA_KPI3!E160</x:f>
        <x:v>0</x:v>
      </x:c>
      <x:c r="Z12" s="108"/>
      <x:c r="AA12" s="108"/>
      <x:c r="AB12" s="108"/>
      <x:c r="AC12" s="108"/>
      <x:c r="AD12" s="112" t="n">
        <x:f>IFERROR(Y12/$Y$14,0)</x:f>
        <x:v>0</x:v>
      </x:c>
      <x:c r="AE12" s="112"/>
    </x:row>
    <x:row r="13" ht="20" customHeight="1">
      <x:c r="R13" s="102"/>
      <x:c r="S13" s="102"/>
      <x:c r="T13" s="102"/>
      <x:c r="U13" s="102"/>
      <x:c r="V13" s="102"/>
      <x:c r="W13" s="109"/>
      <x:c r="X13" s="109"/>
      <x:c r="Y13" s="109"/>
      <x:c r="Z13" s="109"/>
      <x:c r="AA13" s="109"/>
      <x:c r="AB13" s="109"/>
      <x:c r="AC13" s="109"/>
      <x:c r="AD13" s="113"/>
      <x:c r="AE13" s="113"/>
    </x:row>
    <x:row r="14" ht="20" customHeight="1">
      <x:c r="R14" s="118" t="str">
        <x:v>TOTAL</x:v>
      </x:c>
      <x:c r="S14" s="118"/>
      <x:c r="T14" s="118"/>
      <x:c r="U14" s="118"/>
      <x:c r="V14" s="118"/>
      <x:c r="W14" s="122" t="n">
        <x:f>DATA_KPI3_TOTAL!B15</x:f>
        <x:v>487</x:v>
      </x:c>
      <x:c r="X14" s="122"/>
      <x:c r="Y14" s="122" t="n">
        <x:f>DATA_KPI3_TOTAL!C15</x:f>
        <x:v>156644.05999999994</x:v>
      </x:c>
      <x:c r="Z14" s="122"/>
      <x:c r="AA14" s="122"/>
      <x:c r="AB14" s="122"/>
      <x:c r="AC14" s="122"/>
      <x:c r="AD14" s="123" t="n">
        <x:f>IF(Y14&gt;0,1,0)</x:f>
        <x:v>1</x:v>
      </x:c>
      <x:c r="AE14" s="123"/>
    </x:row>
    <x:row r="15" ht="20" customHeight="1"/>
    <x:row r="16" ht="20" customHeight="1">
      <x:c r="R16" s="86" t="str">
        <x:v>BY DATE OF POSITIVE BALANCE</x:v>
      </x:c>
      <x:c r="S16" s="86"/>
      <x:c r="T16" s="86"/>
      <x:c r="U16" s="86"/>
      <x:c r="V16" s="86"/>
      <x:c r="W16" s="86"/>
      <x:c r="X16" s="86"/>
      <x:c r="Y16" s="86"/>
      <x:c r="Z16" s="86"/>
      <x:c r="AA16" s="86"/>
      <x:c r="AB16" s="86"/>
      <x:c r="AC16" s="86"/>
      <x:c r="AD16" s="86"/>
      <x:c r="AE16" s="86"/>
      <x:c r="AF16" s="86"/>
    </x:row>
    <x:row r="17" ht="20" customHeight="1">
      <x:c r="R17" s="86"/>
      <x:c r="S17" s="86"/>
      <x:c r="T17" s="86"/>
      <x:c r="U17" s="86"/>
      <x:c r="V17" s="86"/>
      <x:c r="W17" s="86"/>
      <x:c r="X17" s="86"/>
      <x:c r="Y17" s="86"/>
      <x:c r="Z17" s="86"/>
      <x:c r="AA17" s="86"/>
      <x:c r="AB17" s="86"/>
      <x:c r="AC17" s="86"/>
      <x:c r="AD17" s="86"/>
      <x:c r="AE17" s="86"/>
      <x:c r="AF17" s="86"/>
    </x:row>
    <x:row r="18" ht="20" customHeight="1">
      <x:c r="R18" s="92" t="str">
        <x:v>Vintage</x:v>
      </x:c>
      <x:c r="S18" s="92"/>
      <x:c r="T18" s="92"/>
      <x:c r="U18" s="92"/>
      <x:c r="V18" s="92"/>
      <x:c r="W18" s="92" t="str">
        <x:v>Contracts</x:v>
      </x:c>
      <x:c r="X18" s="92"/>
      <x:c r="Y18" s="92" t="str">
        <x:v>Amount SEK</x:v>
      </x:c>
      <x:c r="Z18" s="92"/>
      <x:c r="AA18" s="92"/>
      <x:c r="AB18" s="92"/>
      <x:c r="AC18" s="92"/>
      <x:c r="AD18" s="92" t="str">
        <x:v>% amount</x:v>
      </x:c>
      <x:c r="AE18" s="92"/>
    </x:row>
    <x:row r="19" ht="20" customHeight="1">
      <x:c r="R19" s="99" t="str">
        <x:v>&lt; 2018</x:v>
      </x:c>
      <x:c r="S19" s="99"/>
      <x:c r="T19" s="99"/>
      <x:c r="U19" s="99"/>
      <x:c r="V19" s="99"/>
      <x:c r="W19" s="108" t="n">
        <x:f>DATA_KPI3!D161</x:f>
        <x:v>0</x:v>
      </x:c>
      <x:c r="X19" s="108"/>
      <x:c r="Y19" s="108" t="n">
        <x:f>DATA_KPI3!E161</x:f>
        <x:v>0</x:v>
      </x:c>
      <x:c r="Z19" s="108"/>
      <x:c r="AA19" s="108"/>
      <x:c r="AB19" s="108"/>
      <x:c r="AC19" s="108"/>
      <x:c r="AD19" s="112" t="n">
        <x:f>IFERROR(Y19/$Y$29,0)</x:f>
        <x:v>0</x:v>
      </x:c>
      <x:c r="AE19" s="112"/>
    </x:row>
    <x:row r="20" ht="20" customHeight="1">
      <x:c r="R20" s="105" t="str">
        <x:v>2018</x:v>
      </x:c>
      <x:c r="S20" s="105"/>
      <x:c r="T20" s="105"/>
      <x:c r="U20" s="105"/>
      <x:c r="V20" s="105"/>
      <x:c r="W20" s="109" t="n">
        <x:f>DATA_KPI3!D162</x:f>
        <x:v>0</x:v>
      </x:c>
      <x:c r="X20" s="109"/>
      <x:c r="Y20" s="109" t="n">
        <x:f>DATA_KPI3!E162</x:f>
        <x:v>0</x:v>
      </x:c>
      <x:c r="Z20" s="109"/>
      <x:c r="AA20" s="109"/>
      <x:c r="AB20" s="109"/>
      <x:c r="AC20" s="109"/>
      <x:c r="AD20" s="113" t="n">
        <x:f>IFERROR(Y20/$Y$29,0)</x:f>
        <x:v>0</x:v>
      </x:c>
      <x:c r="AE20" s="113"/>
    </x:row>
    <x:row r="21" ht="20" customHeight="1">
      <x:c r="R21" s="99" t="str">
        <x:v>2019</x:v>
      </x:c>
      <x:c r="S21" s="99"/>
      <x:c r="T21" s="99"/>
      <x:c r="U21" s="99"/>
      <x:c r="V21" s="99"/>
      <x:c r="W21" s="108" t="n">
        <x:f>DATA_KPI3!D163</x:f>
        <x:v>0</x:v>
      </x:c>
      <x:c r="X21" s="108"/>
      <x:c r="Y21" s="108" t="n">
        <x:f>DATA_KPI3!E163</x:f>
        <x:v>0</x:v>
      </x:c>
      <x:c r="Z21" s="108"/>
      <x:c r="AA21" s="108"/>
      <x:c r="AB21" s="108"/>
      <x:c r="AC21" s="108"/>
      <x:c r="AD21" s="112" t="n">
        <x:f>IFERROR(Y21/$Y$29,0)</x:f>
        <x:v>0</x:v>
      </x:c>
      <x:c r="AE21" s="112"/>
    </x:row>
    <x:row r="22" ht="20" customHeight="1">
      <x:c r="R22" s="105" t="str">
        <x:v>2020</x:v>
      </x:c>
      <x:c r="S22" s="105"/>
      <x:c r="T22" s="105"/>
      <x:c r="U22" s="105"/>
      <x:c r="V22" s="105"/>
      <x:c r="W22" s="109" t="n">
        <x:f>DATA_KPI3!D164</x:f>
        <x:v>0</x:v>
      </x:c>
      <x:c r="X22" s="109"/>
      <x:c r="Y22" s="109" t="n">
        <x:f>DATA_KPI3!E164</x:f>
        <x:v>0</x:v>
      </x:c>
      <x:c r="Z22" s="109"/>
      <x:c r="AA22" s="109"/>
      <x:c r="AB22" s="109"/>
      <x:c r="AC22" s="109"/>
      <x:c r="AD22" s="113" t="n">
        <x:f>IFERROR(Y22/$Y$29,0)</x:f>
        <x:v>0</x:v>
      </x:c>
      <x:c r="AE22" s="113"/>
    </x:row>
    <x:row r="23" ht="20" customHeight="1">
      <x:c r="R23" s="99" t="str">
        <x:v>2021</x:v>
      </x:c>
      <x:c r="S23" s="99"/>
      <x:c r="T23" s="99"/>
      <x:c r="U23" s="99"/>
      <x:c r="V23" s="99"/>
      <x:c r="W23" s="108" t="n">
        <x:f>DATA_KPI3!D165</x:f>
        <x:v>0</x:v>
      </x:c>
      <x:c r="X23" s="108"/>
      <x:c r="Y23" s="108" t="n">
        <x:f>DATA_KPI3!E165</x:f>
        <x:v>0</x:v>
      </x:c>
      <x:c r="Z23" s="108"/>
      <x:c r="AA23" s="108"/>
      <x:c r="AB23" s="108"/>
      <x:c r="AC23" s="108"/>
      <x:c r="AD23" s="112" t="n">
        <x:f>IFERROR(Y23/$Y$29,0)</x:f>
        <x:v>0</x:v>
      </x:c>
      <x:c r="AE23" s="112"/>
    </x:row>
    <x:row r="24" ht="20" customHeight="1">
      <x:c r="R24" s="105" t="str">
        <x:v>2022</x:v>
      </x:c>
      <x:c r="S24" s="105"/>
      <x:c r="T24" s="105"/>
      <x:c r="U24" s="105"/>
      <x:c r="V24" s="105"/>
      <x:c r="W24" s="109" t="n">
        <x:f>DATA_KPI3!D166</x:f>
        <x:v>0</x:v>
      </x:c>
      <x:c r="X24" s="109"/>
      <x:c r="Y24" s="109" t="n">
        <x:f>DATA_KPI3!E166</x:f>
        <x:v>0</x:v>
      </x:c>
      <x:c r="Z24" s="109"/>
      <x:c r="AA24" s="109"/>
      <x:c r="AB24" s="109"/>
      <x:c r="AC24" s="109"/>
      <x:c r="AD24" s="113" t="n">
        <x:f>IFERROR(Y24/$Y$29,0)</x:f>
        <x:v>0</x:v>
      </x:c>
      <x:c r="AE24" s="113"/>
    </x:row>
    <x:row r="25" ht="20" customHeight="1">
      <x:c r="R25" s="99" t="str">
        <x:v>2023</x:v>
      </x:c>
      <x:c r="S25" s="99"/>
      <x:c r="T25" s="99"/>
      <x:c r="U25" s="99"/>
      <x:c r="V25" s="99"/>
      <x:c r="W25" s="108" t="n">
        <x:f>DATA_KPI3!D167</x:f>
        <x:v>0</x:v>
      </x:c>
      <x:c r="X25" s="108"/>
      <x:c r="Y25" s="108" t="n">
        <x:f>DATA_KPI3!E167</x:f>
        <x:v>0</x:v>
      </x:c>
      <x:c r="Z25" s="108"/>
      <x:c r="AA25" s="108"/>
      <x:c r="AB25" s="108"/>
      <x:c r="AC25" s="108"/>
      <x:c r="AD25" s="112" t="n">
        <x:f>IFERROR(Y25/$Y$29,0)</x:f>
        <x:v>0</x:v>
      </x:c>
      <x:c r="AE25" s="112"/>
    </x:row>
    <x:row r="26" ht="20" customHeight="1">
      <x:c r="R26" s="105" t="str">
        <x:v>2024</x:v>
      </x:c>
      <x:c r="S26" s="105"/>
      <x:c r="T26" s="105"/>
      <x:c r="U26" s="105"/>
      <x:c r="V26" s="105"/>
      <x:c r="W26" s="109" t="n">
        <x:f>DATA_KPI3!D168</x:f>
        <x:v>0</x:v>
      </x:c>
      <x:c r="X26" s="109"/>
      <x:c r="Y26" s="109" t="n">
        <x:f>DATA_KPI3!E168</x:f>
        <x:v>0</x:v>
      </x:c>
      <x:c r="Z26" s="109"/>
      <x:c r="AA26" s="109"/>
      <x:c r="AB26" s="109"/>
      <x:c r="AC26" s="109"/>
      <x:c r="AD26" s="113" t="n">
        <x:f>IFERROR(Y26/$Y$29,0)</x:f>
        <x:v>0</x:v>
      </x:c>
      <x:c r="AE26" s="113"/>
    </x:row>
    <x:row r="27" ht="20" customHeight="1">
      <x:c r="R27" s="99" t="str">
        <x:v>2025</x:v>
      </x:c>
      <x:c r="S27" s="99"/>
      <x:c r="T27" s="99"/>
      <x:c r="U27" s="99"/>
      <x:c r="V27" s="99"/>
      <x:c r="W27" s="108" t="n">
        <x:f>DATA_KPI3!D169</x:f>
        <x:v>0</x:v>
      </x:c>
      <x:c r="X27" s="108"/>
      <x:c r="Y27" s="108" t="n">
        <x:f>DATA_KPI3!E169</x:f>
        <x:v>0</x:v>
      </x:c>
      <x:c r="Z27" s="108"/>
      <x:c r="AA27" s="108"/>
      <x:c r="AB27" s="108"/>
      <x:c r="AC27" s="108"/>
      <x:c r="AD27" s="112" t="n">
        <x:f>IFERROR(Y27/$Y$29,0)</x:f>
        <x:v>0</x:v>
      </x:c>
      <x:c r="AE27" s="112"/>
    </x:row>
    <x:row r="28" ht="20" customHeight="1">
      <x:c r="R28" s="105" t="str">
        <x:v>2026</x:v>
      </x:c>
      <x:c r="S28" s="105"/>
      <x:c r="T28" s="105"/>
      <x:c r="U28" s="105"/>
      <x:c r="V28" s="105"/>
      <x:c r="W28" s="109" t="n">
        <x:f>DATA_KPI3!D170</x:f>
        <x:v>487</x:v>
      </x:c>
      <x:c r="X28" s="109"/>
      <x:c r="Y28" s="109" t="n">
        <x:f>DATA_KPI3!E170</x:f>
        <x:v>156644.06000000014</x:v>
      </x:c>
      <x:c r="Z28" s="109"/>
      <x:c r="AA28" s="109"/>
      <x:c r="AB28" s="109"/>
      <x:c r="AC28" s="109"/>
      <x:c r="AD28" s="113" t="n">
        <x:f>IFERROR(Y28/$Y$29,0)</x:f>
        <x:v>1</x:v>
      </x:c>
      <x:c r="AE28" s="113"/>
    </x:row>
    <x:row r="29" ht="20" customHeight="1">
      <x:c r="R29" s="118" t="str">
        <x:v>TOTAL</x:v>
      </x:c>
      <x:c r="S29" s="118"/>
      <x:c r="T29" s="118"/>
      <x:c r="U29" s="118"/>
      <x:c r="V29" s="118"/>
      <x:c r="W29" s="122" t="n">
        <x:f>DATA_KPI3_TOTAL!D15</x:f>
        <x:v>487</x:v>
      </x:c>
      <x:c r="X29" s="122"/>
      <x:c r="Y29" s="122" t="n">
        <x:f>DATA_KPI3_TOTAL!E15</x:f>
        <x:v>156644.06000000014</x:v>
      </x:c>
      <x:c r="Z29" s="122"/>
      <x:c r="AA29" s="122"/>
      <x:c r="AB29" s="122"/>
      <x:c r="AC29" s="122"/>
      <x:c r="AD29" s="123" t="n">
        <x:f>IF(Y29&gt;0,1,0)</x:f>
        <x:v>1</x:v>
      </x:c>
      <x:c r="AE29" s="123"/>
    </x:row>
    <x:row r="30" ht="20" customHeight="1">
      <x:c r="R30" s="128" t="str">
        <x:v>Amount bands and vintages come from separate KPI_3 source tables.</x:v>
      </x:c>
      <x:c r="S30" s="128"/>
      <x:c r="T30" s="128"/>
      <x:c r="U30" s="128"/>
      <x:c r="V30" s="128"/>
      <x:c r="W30" s="128"/>
      <x:c r="X30" s="128"/>
      <x:c r="Y30" s="128"/>
      <x:c r="Z30" s="128"/>
      <x:c r="AA30" s="128"/>
      <x:c r="AB30" s="128"/>
      <x:c r="AC30" s="128"/>
      <x:c r="AD30" s="128"/>
      <x:c r="AE30" s="128"/>
      <x:c r="AF30" s="128"/>
    </x:row>
    <x:row r="31" ht="20" customHeight="1">
      <x:c r="C31" s="132" t="str">
        <x:v>COMMENTARY / COUNTRY OBSERVATIONS</x:v>
      </x:c>
      <x:c r="D31" s="132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  <x:c r="R31" s="128"/>
      <x:c r="S31" s="128"/>
      <x:c r="T31" s="128"/>
      <x:c r="U31" s="128"/>
      <x:c r="V31" s="128"/>
      <x:c r="W31" s="128"/>
      <x:c r="X31" s="128"/>
      <x:c r="Y31" s="128"/>
      <x:c r="Z31" s="128"/>
      <x:c r="AA31" s="128"/>
      <x:c r="AB31" s="128"/>
      <x:c r="AC31" s="128"/>
      <x:c r="AD31" s="128"/>
      <x:c r="AE31" s="128"/>
      <x:c r="AF31" s="128"/>
    </x:row>
    <x:row r="32" ht="20" customHeight="1"/>
    <x:row r="33" ht="20" customHeight="1">
      <x:c r="C33" s="135" t="str">
        <x:f>DATA_COMMENTS!B15</x:f>
        <x:v>Nordic KPI_2 and KPI_3 source imported individually from NORDICS.xlsx.</x:v>
      </x:c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/>
      <x:c r="P33" s="135"/>
      <x:c r="Q33" s="135"/>
      <x:c r="R33" s="135"/>
      <x:c r="S33" s="135"/>
      <x:c r="T33" s="135"/>
      <x:c r="U33" s="135"/>
      <x:c r="V33" s="135"/>
      <x:c r="W33" s="135"/>
      <x:c r="X33" s="135"/>
      <x:c r="Y33" s="135"/>
      <x:c r="Z33" s="135"/>
      <x:c r="AA33" s="135"/>
      <x:c r="AB33" s="135"/>
      <x:c r="AC33" s="135"/>
      <x:c r="AD33" s="135"/>
      <x:c r="AE33" s="135"/>
    </x:row>
    <x:row r="34" ht="20" customHeight="1"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/>
      <x:c r="P34" s="135"/>
      <x:c r="Q34" s="135"/>
      <x:c r="R34" s="135"/>
      <x:c r="S34" s="135"/>
      <x:c r="T34" s="135"/>
      <x:c r="U34" s="135"/>
      <x:c r="V34" s="135"/>
      <x:c r="W34" s="135"/>
      <x:c r="X34" s="135"/>
      <x:c r="Y34" s="135"/>
      <x:c r="Z34" s="135"/>
      <x:c r="AA34" s="135"/>
      <x:c r="AB34" s="135"/>
      <x:c r="AC34" s="135"/>
      <x:c r="AD34" s="135"/>
      <x:c r="AE34" s="135"/>
    </x:row>
    <x:row r="35" ht="20" customHeight="1">
      <x:c r="C35" s="135" t="str">
        <x:f>DATA_COMMENTS!C15</x:f>
        <x:v>Outstanding stock reported separately from waiting accounts for CSR disbursement.</x:v>
      </x:c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/>
      <x:c r="P35" s="135"/>
      <x:c r="Q35" s="135"/>
      <x:c r="R35" s="135"/>
      <x:c r="S35" s="135"/>
      <x:c r="T35" s="135"/>
      <x:c r="U35" s="135"/>
      <x:c r="V35" s="135"/>
      <x:c r="W35" s="135"/>
      <x:c r="X35" s="135"/>
      <x:c r="Y35" s="135"/>
      <x:c r="Z35" s="135"/>
      <x:c r="AA35" s="135"/>
      <x:c r="AB35" s="135"/>
      <x:c r="AC35" s="135"/>
      <x:c r="AD35" s="135"/>
      <x:c r="AE35" s="135"/>
    </x:row>
    <x:row r="36" ht="20" customHeight="1"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/>
      <x:c r="P36" s="135"/>
      <x:c r="Q36" s="135"/>
      <x:c r="R36" s="135"/>
      <x:c r="S36" s="135"/>
      <x:c r="T36" s="135"/>
      <x:c r="U36" s="135"/>
      <x:c r="V36" s="135"/>
      <x:c r="W36" s="135"/>
      <x:c r="X36" s="135"/>
      <x:c r="Y36" s="135"/>
      <x:c r="Z36" s="135"/>
      <x:c r="AA36" s="135"/>
      <x:c r="AB36" s="135"/>
      <x:c r="AC36" s="135"/>
      <x:c r="AD36" s="135"/>
      <x:c r="AE36" s="135"/>
    </x:row>
    <x:row r="37" ht="20" customHeight="1">
      <x:c r="C37" s="135" t="str">
        <x:f>DATA_COMMENTS!D15</x:f>
        <x:v>Waiting accounts must not be counted twice in stock or in reporting vintages.</x:v>
      </x:c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/>
      <x:c r="P37" s="135"/>
      <x:c r="Q37" s="135"/>
      <x:c r="R37" s="135"/>
      <x:c r="S37" s="135"/>
      <x:c r="T37" s="135"/>
      <x:c r="U37" s="135"/>
      <x:c r="V37" s="135"/>
      <x:c r="W37" s="135"/>
      <x:c r="X37" s="135"/>
      <x:c r="Y37" s="135"/>
      <x:c r="Z37" s="135"/>
      <x:c r="AA37" s="135"/>
      <x:c r="AB37" s="135"/>
      <x:c r="AC37" s="135"/>
      <x:c r="AD37" s="135"/>
      <x:c r="AE37" s="135"/>
    </x:row>
    <x:row r="38" ht="20" customHeight="1"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  <x:c r="R38" s="135"/>
      <x:c r="S38" s="135"/>
      <x:c r="T38" s="135"/>
      <x:c r="U38" s="135"/>
      <x:c r="V38" s="135"/>
      <x:c r="W38" s="135"/>
      <x:c r="X38" s="135"/>
      <x:c r="Y38" s="135"/>
      <x:c r="Z38" s="135"/>
      <x:c r="AA38" s="135"/>
      <x:c r="AB38" s="135"/>
      <x:c r="AC38" s="135"/>
      <x:c r="AD38" s="135"/>
      <x:c r="AE38" s="135"/>
    </x:row>
    <x:row r="39" ht="20" customHeight="1"/>
    <x:row r="40" ht="20" customHeight="1">
      <x:c r="C40" s="139" t="str">
        <x:v>Q1 stock EUR</x:v>
      </x:c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34" t="n">
        <x:f>DATA_STOCK!C15</x:f>
        <x:v>15478.6603</x:v>
      </x:c>
      <x:c r="S40" s="139" t="str">
        <x:v>Q2 stock EUR</x:v>
      </x:c>
      <x:c r="T40" s="139"/>
      <x:c r="U40" s="139"/>
      <x:c r="V40" s="139"/>
      <x:c r="W40" s="139"/>
      <x:c r="X40" s="139"/>
      <x:c r="Y40" s="139"/>
      <x:c r="Z40" s="139"/>
      <x:c r="AA40" s="139"/>
      <x:c r="AB40" s="34" t="n">
        <x:f>DATA_STOCK!D15</x:f>
        <x:v>14140.069</x:v>
      </x:c>
    </x:row>
    <x:row r="41" ht="20" customHeight="1"/>
    <x:row r="42" ht="20" customHeight="1">
      <x:c r="B42" s="18"/>
      <x:c r="C42" s="25" t="str">
        <x:v>BNP PARIBAS PERSONAL FINANCE  |  POSITIVE BALANCES</x:v>
      </x:c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 t="str">
        <x:v>2026 Q2     •     30/06/2026     •     INTERNAL</x:v>
      </x:c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</x:row>
    <x:row r="43" ht="20" customHeight="1"/>
    <x:row r="44" ht="20" customHeight="1"/>
  </x:sheetData>
  <x:mergeCells>
    <x:mergeCell ref="C2:U4"/>
    <x:mergeCell ref="C42:O42"/>
    <x:mergeCell ref="P42:AE42"/>
    <x:mergeCell ref="C5:Q5"/>
    <x:mergeCell ref="R5:AF6"/>
    <x:mergeCell ref="R7:V7"/>
    <x:mergeCell ref="W7:X7"/>
    <x:mergeCell ref="Y7:AC7"/>
    <x:mergeCell ref="AD7:AE7"/>
    <x:mergeCell ref="W8:X8"/>
    <x:mergeCell ref="Y8:AC8"/>
    <x:mergeCell ref="AD8:AE8"/>
    <x:mergeCell ref="R8:V8"/>
    <x:mergeCell ref="W9:X9"/>
    <x:mergeCell ref="Y9:AC9"/>
    <x:mergeCell ref="AD9:AE9"/>
    <x:mergeCell ref="R9:V9"/>
    <x:mergeCell ref="W10:X10"/>
    <x:mergeCell ref="Y10:AC10"/>
    <x:mergeCell ref="AD10:AE10"/>
    <x:mergeCell ref="R10:V10"/>
    <x:mergeCell ref="W11:X11"/>
    <x:mergeCell ref="Y11:AC11"/>
    <x:mergeCell ref="AD11:AE11"/>
    <x:mergeCell ref="R11:V11"/>
    <x:mergeCell ref="W12:X12"/>
    <x:mergeCell ref="Y12:AC12"/>
    <x:mergeCell ref="AD12:AE12"/>
    <x:mergeCell ref="R12:V12"/>
    <x:mergeCell ref="W13:X13"/>
    <x:mergeCell ref="Y13:AC13"/>
    <x:mergeCell ref="AD13:AE13"/>
    <x:mergeCell ref="W14:X14"/>
    <x:mergeCell ref="Y14:AC14"/>
    <x:mergeCell ref="AD14:AE14"/>
    <x:mergeCell ref="R14:V14"/>
    <x:mergeCell ref="R16:AF17"/>
    <x:mergeCell ref="R18:V18"/>
    <x:mergeCell ref="W18:X18"/>
    <x:mergeCell ref="Y18:AC18"/>
    <x:mergeCell ref="AD18:AE18"/>
    <x:mergeCell ref="W19:X19"/>
    <x:mergeCell ref="Y19:AC19"/>
    <x:mergeCell ref="AD19:AE19"/>
    <x:mergeCell ref="R19:V19"/>
    <x:mergeCell ref="W20:X20"/>
    <x:mergeCell ref="Y20:AC20"/>
    <x:mergeCell ref="AD20:AE20"/>
    <x:mergeCell ref="R20:V20"/>
    <x:mergeCell ref="W21:X21"/>
    <x:mergeCell ref="Y21:AC21"/>
    <x:mergeCell ref="AD21:AE21"/>
    <x:mergeCell ref="R21:V21"/>
    <x:mergeCell ref="W22:X22"/>
    <x:mergeCell ref="Y22:AC22"/>
    <x:mergeCell ref="AD22:AE22"/>
    <x:mergeCell ref="R22:V22"/>
    <x:mergeCell ref="W23:X23"/>
    <x:mergeCell ref="Y23:AC23"/>
    <x:mergeCell ref="AD23:AE23"/>
    <x:mergeCell ref="R23:V23"/>
    <x:mergeCell ref="W24:X24"/>
    <x:mergeCell ref="Y24:AC24"/>
    <x:mergeCell ref="AD24:AE24"/>
    <x:mergeCell ref="R24:V24"/>
    <x:mergeCell ref="W25:X25"/>
    <x:mergeCell ref="Y25:AC25"/>
    <x:mergeCell ref="AD25:AE25"/>
    <x:mergeCell ref="R25:V25"/>
    <x:mergeCell ref="W26:X26"/>
    <x:mergeCell ref="Y26:AC26"/>
    <x:mergeCell ref="AD26:AE26"/>
    <x:mergeCell ref="R26:V26"/>
    <x:mergeCell ref="W27:X27"/>
    <x:mergeCell ref="Y27:AC27"/>
    <x:mergeCell ref="AD27:AE27"/>
    <x:mergeCell ref="R27:V27"/>
    <x:mergeCell ref="W28:X28"/>
    <x:mergeCell ref="Y28:AC28"/>
    <x:mergeCell ref="AD28:AE28"/>
    <x:mergeCell ref="R28:V28"/>
    <x:mergeCell ref="W29:X29"/>
    <x:mergeCell ref="Y29:AC29"/>
    <x:mergeCell ref="AD29:AE29"/>
    <x:mergeCell ref="R29:V29"/>
    <x:mergeCell ref="R30:AF31"/>
    <x:mergeCell ref="C31:Q31"/>
    <x:mergeCell ref="C33:AE34"/>
    <x:mergeCell ref="C35:AE36"/>
    <x:mergeCell ref="C37:AE38"/>
    <x:mergeCell ref="C40:O40"/>
    <x:mergeCell ref="P40:R40"/>
    <x:mergeCell ref="S40:AA40"/>
    <x:mergeCell ref="AB40:AE40"/>
  </x:mergeCells>
  <x:pageMargins left="0.7" right="0.7" top="0.75" bottom="0.75" header="0.3" footer="0.3"/>
  <x:drawing xmlns:r="http://schemas.openxmlformats.org/officeDocument/2006/relationships" r:id="R868adbd7df65481d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VALIDATION  •  Q2 2026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/>
    <x:row r="6" ht="20" customHeight="1">
      <x:c r="C6" s="47" t="str">
        <x:v>CONTROL FRAMEWORK  /  STOCK &amp; KPI_3 TOTALS</x:v>
      </x:c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  <x:c r="AA6" s="47"/>
      <x:c r="AB6" s="47"/>
      <x:c r="AC6" s="47"/>
      <x:c r="AD6" s="47"/>
      <x:c r="AE6" s="47"/>
    </x:row>
    <x:row r="7" ht="20" customHeight="1"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  <x:c r="AA7" s="47"/>
      <x:c r="AB7" s="47"/>
      <x:c r="AC7" s="47"/>
      <x:c r="AD7" s="47"/>
      <x:c r="AE7" s="47"/>
    </x:row>
    <x:row r="8" ht="20" customHeight="1"/>
    <x:row r="9" ht="23" customHeight="1">
      <x:c r="C9" s="53" t="str">
        <x:v>Country</x:v>
      </x:c>
      <x:c r="D9" s="53"/>
      <x:c r="E9" s="53"/>
      <x:c r="F9" s="53"/>
      <x:c r="G9" s="53"/>
      <x:c r="H9" s="53"/>
      <x:c r="I9" s="53" t="str">
        <x:v>Q2 stock EUR</x:v>
      </x:c>
      <x:c r="J9" s="53"/>
      <x:c r="K9" s="53"/>
      <x:c r="L9" s="53"/>
      <x:c r="M9" s="53" t="str">
        <x:v>KPI3 local amount</x:v>
      </x:c>
      <x:c r="N9" s="53"/>
      <x:c r="O9" s="53"/>
      <x:c r="P9" s="53"/>
      <x:c r="Q9" s="53" t="str">
        <x:v>Q2 FX rate</x:v>
      </x:c>
      <x:c r="R9" s="53"/>
      <x:c r="S9" s="53"/>
      <x:c r="T9" s="53"/>
      <x:c r="U9" s="53" t="str">
        <x:v>KPI3 amount EUR</x:v>
      </x:c>
      <x:c r="V9" s="53"/>
      <x:c r="W9" s="53"/>
      <x:c r="X9" s="53"/>
      <x:c r="Y9" s="53" t="str">
        <x:v>Observation</x:v>
      </x:c>
      <x:c r="Z9" s="53"/>
      <x:c r="AA9" s="53"/>
      <x:c r="AB9" s="53"/>
      <x:c r="AC9" s="53"/>
    </x:row>
    <x:row r="10" ht="20" customHeight="1">
      <x:c r="C10" s="59" t="str">
        <x:v>Spain</x:v>
      </x:c>
      <x:c r="D10" s="59"/>
      <x:c r="E10" s="59"/>
      <x:c r="F10" s="59"/>
      <x:c r="G10" s="59"/>
      <x:c r="H10" s="59"/>
      <x:c r="I10" s="34" t="n">
        <x:f>DATA_STOCK!D2</x:f>
        <x:v>1787811.8</x:v>
      </x:c>
      <x:c r="M10" s="34" t="n">
        <x:f>DATA_KPI3!E2+DATA_KPI3!E3+DATA_KPI3!E4+DATA_KPI3!E5+DATA_KPI3!E6</x:f>
        <x:v>1787812</x:v>
      </x:c>
      <x:c r="Q10" t="n">
        <x:f>DATA_FX_Q2!C2</x:f>
        <x:v>1</x:v>
      </x:c>
      <x:c r="U10" s="34" t="n">
        <x:f>IFERROR(M10/Q10,0)</x:f>
        <x:v>1787812</x:v>
      </x:c>
      <x:c r="Y10" t="str">
        <x:v>Compare reporting stock definition with KPI_3 scope</x:v>
      </x:c>
    </x:row>
    <x:row r="11" ht="20" customHeight="1">
      <x:c r="C11" s="59" t="str">
        <x:v>Germany</x:v>
      </x:c>
      <x:c r="D11" s="59"/>
      <x:c r="E11" s="59"/>
      <x:c r="F11" s="59"/>
      <x:c r="G11" s="59"/>
      <x:c r="H11" s="59"/>
      <x:c r="I11" s="34" t="n">
        <x:f>DATA_STOCK!D3</x:f>
        <x:v>3473473.18</x:v>
      </x:c>
      <x:c r="M11" s="34" t="n">
        <x:f>DATA_KPI3!E17+DATA_KPI3!E18+DATA_KPI3!E19+DATA_KPI3!E20+DATA_KPI3!E21+DATA_KPI3!E22</x:f>
        <x:v>3473473</x:v>
      </x:c>
      <x:c r="Q11" t="n">
        <x:f>DATA_FX_Q2!C2</x:f>
        <x:v>1</x:v>
      </x:c>
      <x:c r="U11" s="34" t="n">
        <x:f>IFERROR(M11/Q11,0)</x:f>
        <x:v>3473473</x:v>
      </x:c>
      <x:c r="Y11" t="str">
        <x:v>6 source bands; combined 100–1000 visually</x:v>
      </x:c>
    </x:row>
    <x:row r="12" ht="20" customHeight="1">
      <x:c r="C12" s="59" t="str">
        <x:v>Austria</x:v>
      </x:c>
      <x:c r="D12" s="59"/>
      <x:c r="E12" s="59"/>
      <x:c r="F12" s="59"/>
      <x:c r="G12" s="59"/>
      <x:c r="H12" s="59"/>
      <x:c r="I12" s="34" t="n">
        <x:f>DATA_STOCK!D4</x:f>
        <x:v>11992.29</x:v>
      </x:c>
      <x:c r="M12" s="34" t="n">
        <x:f>DATA_KPI3!E33+DATA_KPI3!E34+DATA_KPI3!E35+DATA_KPI3!E36+DATA_KPI3!E37</x:f>
        <x:v>11992.29</x:v>
      </x:c>
      <x:c r="Q12" t="n">
        <x:f>DATA_FX_Q2!C2</x:f>
        <x:v>1</x:v>
      </x:c>
      <x:c r="U12" s="34" t="n">
        <x:f>IFERROR(M12/Q12,0)</x:f>
        <x:v>11992.29</x:v>
      </x:c>
      <x:c r="Y12" t="str">
        <x:v>Compare reporting stock definition with KPI_3 scope</x:v>
      </x:c>
    </x:row>
    <x:row r="13" ht="20" customHeight="1">
      <x:c r="C13" s="59" t="str">
        <x:v>Belgium</x:v>
      </x:c>
      <x:c r="D13" s="59"/>
      <x:c r="E13" s="59"/>
      <x:c r="F13" s="59"/>
      <x:c r="G13" s="59"/>
      <x:c r="H13" s="59"/>
      <x:c r="I13" s="34" t="n">
        <x:f>DATA_STOCK!D5</x:f>
        <x:v>136664.22</x:v>
      </x:c>
      <x:c r="M13" s="34" t="n">
        <x:f>DATA_KPI3!E46+DATA_KPI3!E47+DATA_KPI3!E48+DATA_KPI3!E49+DATA_KPI3!E50</x:f>
        <x:v>136665</x:v>
      </x:c>
      <x:c r="Q13" t="n">
        <x:f>DATA_FX_Q2!C2</x:f>
        <x:v>1</x:v>
      </x:c>
      <x:c r="U13" s="34" t="n">
        <x:f>IFERROR(M13/Q13,0)</x:f>
        <x:v>136665</x:v>
      </x:c>
      <x:c r="Y13" t="str">
        <x:v>Compare reporting stock definition with KPI_3 scope</x:v>
      </x:c>
    </x:row>
    <x:row r="14" ht="20" customHeight="1">
      <x:c r="C14" s="59" t="str">
        <x:v>Italy</x:v>
      </x:c>
      <x:c r="D14" s="59"/>
      <x:c r="E14" s="59"/>
      <x:c r="F14" s="59"/>
      <x:c r="G14" s="59"/>
      <x:c r="H14" s="59"/>
      <x:c r="I14" s="34" t="n">
        <x:f>DATA_STOCK!D6</x:f>
        <x:v>3023244.63</x:v>
      </x:c>
      <x:c r="M14" s="34" t="n">
        <x:f>DATA_KPI3!E60+DATA_KPI3!E61+DATA_KPI3!E62+DATA_KPI3!E63+DATA_KPI3!E64</x:f>
        <x:v>3023245</x:v>
      </x:c>
      <x:c r="Q14" t="n">
        <x:f>DATA_FX_Q2!C2</x:f>
        <x:v>1</x:v>
      </x:c>
      <x:c r="U14" s="34" t="n">
        <x:f>IFERROR(M14/Q14,0)</x:f>
        <x:v>3023245</x:v>
      </x:c>
      <x:c r="Y14" t="str">
        <x:v>CHECK: KPI_3 correct €3.023m, not example €0.787m</x:v>
      </x:c>
    </x:row>
    <x:row r="15" ht="20" customHeight="1">
      <x:c r="C15" s="59" t="str">
        <x:v>Portugal</x:v>
      </x:c>
      <x:c r="D15" s="59"/>
      <x:c r="E15" s="59"/>
      <x:c r="F15" s="59"/>
      <x:c r="G15" s="59"/>
      <x:c r="H15" s="59"/>
      <x:c r="I15" s="34" t="n">
        <x:f>DATA_STOCK!D7</x:f>
        <x:v>593413</x:v>
      </x:c>
      <x:c r="M15" s="34" t="n">
        <x:f>DATA_KPI3!E75+DATA_KPI3!E76+DATA_KPI3!E77+DATA_KPI3!E78+DATA_KPI3!E79</x:f>
        <x:v>593412</x:v>
      </x:c>
      <x:c r="Q15" t="n">
        <x:f>DATA_FX_Q2!C2</x:f>
        <x:v>1</x:v>
      </x:c>
      <x:c r="U15" s="34" t="n">
        <x:f>IFERROR(M15/Q15,0)</x:f>
        <x:v>593412</x:v>
      </x:c>
      <x:c r="Y15" t="str">
        <x:v>Compare reporting stock definition with KPI_3 scope</x:v>
      </x:c>
    </x:row>
    <x:row r="16" ht="20" customHeight="1">
      <x:c r="C16" s="59" t="str">
        <x:v>France</x:v>
      </x:c>
      <x:c r="D16" s="59"/>
      <x:c r="E16" s="59"/>
      <x:c r="F16" s="59"/>
      <x:c r="G16" s="59"/>
      <x:c r="H16" s="59"/>
      <x:c r="I16" s="34" t="n">
        <x:f>DATA_STOCK!D8</x:f>
        <x:v>3317586.72</x:v>
      </x:c>
      <x:c r="M16" s="34" t="n">
        <x:f>DATA_KPI3!E84+DATA_KPI3!E85+DATA_KPI3!E86+DATA_KPI3!E87+DATA_KPI3!E88</x:f>
        <x:v>3317588</x:v>
      </x:c>
      <x:c r="Q16" t="n">
        <x:f>DATA_FX_Q2!C2</x:f>
        <x:v>1</x:v>
      </x:c>
      <x:c r="U16" s="34" t="n">
        <x:f>IFERROR(M16/Q16,0)</x:f>
        <x:v>3317588</x:v>
      </x:c>
      <x:c r="Y16" t="str">
        <x:v>Compare reporting stock definition with KPI_3 scope</x:v>
      </x:c>
    </x:row>
    <x:row r="17" ht="20" customHeight="1">
      <x:c r="C17" s="59" t="str">
        <x:v>UK</x:v>
      </x:c>
      <x:c r="D17" s="59"/>
      <x:c r="E17" s="59"/>
      <x:c r="F17" s="59"/>
      <x:c r="G17" s="59"/>
      <x:c r="H17" s="59"/>
      <x:c r="I17" s="34" t="n">
        <x:f>DATA_STOCK!D9</x:f>
        <x:v>2836661.6548</x:v>
      </x:c>
      <x:c r="M17" s="34" t="n">
        <x:f>DATA_KPI3!E97+DATA_KPI3!E98+DATA_KPI3!E99+DATA_KPI3!E100+DATA_KPI3!E101</x:f>
        <x:v>2444203</x:v>
      </x:c>
      <x:c r="Q17" t="n">
        <x:f>DATA_FX_Q2!C3</x:f>
        <x:v>0.861647587</x:v>
      </x:c>
      <x:c r="U17" s="34" t="n">
        <x:f>IFERROR(M17/Q17,0)</x:f>
        <x:v>2836662.0377943446</x:v>
      </x:c>
      <x:c r="Y17" t="str">
        <x:v>FLAG: contract-count mismatch between KPI_3 sections</x:v>
      </x:c>
    </x:row>
    <x:row r="18" ht="20" customHeight="1">
      <x:c r="C18" s="59" t="str">
        <x:v>South Africa</x:v>
      </x:c>
      <x:c r="D18" s="59"/>
      <x:c r="E18" s="59"/>
      <x:c r="F18" s="59"/>
      <x:c r="G18" s="59"/>
      <x:c r="H18" s="59"/>
      <x:c r="I18" s="34" t="n">
        <x:f>DATA_STOCK!D10</x:f>
        <x:v>1905080.9288</x:v>
      </x:c>
      <x:c r="M18" s="34" t="n">
        <x:f>DATA_KPI3!E112+DATA_KPI3!E113+DATA_KPI3!E114+DATA_KPI3!E115+DATA_KPI3!E116</x:f>
        <x:v>31178863.209999945</x:v>
      </x:c>
      <x:c r="Q18" t="n">
        <x:f>DATA_FX_Q2!C4</x:f>
        <x:v>18.72282849</x:v>
      </x:c>
      <x:c r="U18" s="34" t="n">
        <x:f>IFERROR(M18/Q18,0)</x:f>
        <x:v>1665285.949003528</x:v>
      </x:c>
      <x:c r="Y18" t="str">
        <x:v>FLAG: KPI_3 all contracts in 0–1 amount bracket</x:v>
      </x:c>
    </x:row>
    <x:row r="19" ht="20" customHeight="1">
      <x:c r="C19" s="59" t="str">
        <x:v>Romania</x:v>
      </x:c>
      <x:c r="D19" s="59"/>
      <x:c r="E19" s="59"/>
      <x:c r="F19" s="59"/>
      <x:c r="G19" s="59"/>
      <x:c r="H19" s="59"/>
      <x:c r="I19" s="34" t="n">
        <x:f>DATA_STOCK!D11</x:f>
        <x:v>48887.5186</x:v>
      </x:c>
      <x:c r="M19" s="34"/>
      <x:c r="Q19" t="n">
        <x:f>DATA_FX_Q2!C2</x:f>
        <x:v>1</x:v>
      </x:c>
      <x:c r="U19" s="34"/>
      <x:c r="Y19" t="str">
        <x:v>Stock-only: no validated standard KPI_3</x:v>
      </x:c>
    </x:row>
    <x:row r="20" ht="20" customHeight="1">
      <x:c r="C20" s="59" t="str">
        <x:v>Brazil</x:v>
      </x:c>
      <x:c r="D20" s="59"/>
      <x:c r="E20" s="59"/>
      <x:c r="F20" s="59"/>
      <x:c r="G20" s="59"/>
      <x:c r="H20" s="59"/>
      <x:c r="I20" s="34" t="n">
        <x:f>DATA_STOCK!D12</x:f>
        <x:v>3784195.42</x:v>
      </x:c>
      <x:c r="M20" s="34"/>
      <x:c r="Q20" t="n">
        <x:f>DATA_FX_Q2!C2</x:f>
        <x:v>1</x:v>
      </x:c>
      <x:c r="U20" s="34"/>
      <x:c r="Y20" t="str">
        <x:v>Stock-only: no validated standard KPI_3</x:v>
      </x:c>
    </x:row>
    <x:row r="21" ht="20" customHeight="1">
      <x:c r="C21" s="59" t="str">
        <x:v>Denmark</x:v>
      </x:c>
      <x:c r="D21" s="59"/>
      <x:c r="E21" s="59"/>
      <x:c r="F21" s="59"/>
      <x:c r="G21" s="59"/>
      <x:c r="H21" s="59"/>
      <x:c r="I21" s="34" t="n">
        <x:f>DATA_STOCK!D13</x:f>
        <x:v>24388.7401</x:v>
      </x:c>
      <x:c r="M21" s="34" t="n">
        <x:f>DATA_KPI3!E126+DATA_KPI3!E127+DATA_KPI3!E128+DATA_KPI3!E129+DATA_KPI3!E130</x:f>
        <x:v>182297.81</x:v>
      </x:c>
      <x:c r="Q21" t="n">
        <x:f>DATA_FX_Q2!C5</x:f>
        <x:v>7.47467107</x:v>
      </x:c>
      <x:c r="U21" s="34" t="n">
        <x:f>IFERROR(M21/Q21,0)</x:f>
        <x:v>24388.740092077387</x:v>
      </x:c>
      <x:c r="Y21" t="str">
        <x:v>Nordic waiting accounts excluded from KPI_3 stock</x:v>
      </x:c>
    </x:row>
    <x:row r="22" ht="20" customHeight="1">
      <x:c r="C22" s="59" t="str">
        <x:v>Norway</x:v>
      </x:c>
      <x:c r="D22" s="59"/>
      <x:c r="E22" s="59"/>
      <x:c r="F22" s="59"/>
      <x:c r="G22" s="59"/>
      <x:c r="H22" s="59"/>
      <x:c r="I22" s="34" t="n">
        <x:f>DATA_STOCK!D14</x:f>
        <x:v>10807.6386</x:v>
      </x:c>
      <x:c r="M22" s="34" t="n">
        <x:f>DATA_KPI3!E141+DATA_KPI3!E142+DATA_KPI3!E143+DATA_KPI3!E144+DATA_KPI3!E145</x:f>
        <x:v>122248.05999999998</x:v>
      </x:c>
      <x:c r="Q22" t="n">
        <x:f>DATA_FX_Q2!C6</x:f>
        <x:v>11.311264655</x:v>
      </x:c>
      <x:c r="U22" s="34" t="n">
        <x:f>IFERROR(M22/Q22,0)</x:f>
        <x:v>10807.638555779153</x:v>
      </x:c>
      <x:c r="Y22" t="str">
        <x:v>Nordic waiting accounts excluded from KPI_3 stock</x:v>
      </x:c>
    </x:row>
    <x:row r="23" ht="20" customHeight="1">
      <x:c r="C23" s="59" t="str">
        <x:v>Sweden</x:v>
      </x:c>
      <x:c r="D23" s="59"/>
      <x:c r="E23" s="59"/>
      <x:c r="F23" s="59"/>
      <x:c r="G23" s="59"/>
      <x:c r="H23" s="59"/>
      <x:c r="I23" s="34" t="n">
        <x:f>DATA_STOCK!D15</x:f>
        <x:v>14140.069</x:v>
      </x:c>
      <x:c r="M23" s="34" t="n">
        <x:f>DATA_KPI3!E156+DATA_KPI3!E157+DATA_KPI3!E158+DATA_KPI3!E159+DATA_KPI3!E160</x:f>
        <x:v>156644.05999999994</x:v>
      </x:c>
      <x:c r="Q23" t="n">
        <x:f>DATA_FX_Q2!C7</x:f>
        <x:v>11.078026565</x:v>
      </x:c>
      <x:c r="U23" s="34" t="n">
        <x:f>IFERROR(M23/Q23,0)</x:f>
        <x:v>14140.06899883255</x:v>
      </x:c>
      <x:c r="Y23" t="str">
        <x:v>Nordic waiting accounts excluded from KPI_3 stock</x:v>
      </x:c>
    </x:row>
    <x:row r="24" ht="20" customHeight="1"/>
    <x:row r="25" ht="20" customHeight="1"/>
    <x:row r="26" ht="20" customHeight="1">
      <x:c r="C26" s="64" t="str">
        <x:v>REPORTING CONVENTIONS</x:v>
      </x:c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</x:row>
    <x:row r="27" ht="20" customHeight="1">
      <x:c r="C27" s="70" t="str">
        <x:v>Core stock includes South Africa. Core monthly-flow total follows the original Q2 slide perimeter and excludes South Africa.</x:v>
      </x:c>
      <x:c r="D27" s="70"/>
      <x:c r="E27" s="70"/>
      <x:c r="F27" s="70"/>
      <x:c r="G27" s="70"/>
      <x:c r="H27" s="70"/>
      <x:c r="I27" s="70"/>
      <x:c r="J27" s="70"/>
      <x:c r="K27" s="70"/>
      <x:c r="L27" s="70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</x:row>
    <x:row r="28" ht="20" customHeight="1">
      <x:c r="C28" s="70"/>
      <x:c r="D28" s="70"/>
      <x:c r="E28" s="70"/>
      <x:c r="F28" s="70"/>
      <x:c r="G28" s="70"/>
      <x:c r="H28" s="70"/>
      <x:c r="I28" s="70"/>
      <x:c r="J28" s="70"/>
      <x:c r="K28" s="70"/>
      <x:c r="L28" s="70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</x:row>
    <x:row r="29" ht="20" customHeight="1">
      <x:c r="C29" s="70" t="str">
        <x:v>Stock is not synonymous with “still to be processed”: some reporting stocks also include processed but unrefunded / unreachable balances.</x:v>
      </x:c>
      <x:c r="D29" s="70"/>
      <x:c r="E29" s="70"/>
      <x:c r="F29" s="70"/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</x:row>
    <x:row r="30" ht="20" customHeight="1"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</x:row>
    <x:row r="31" ht="20" customHeight="1">
      <x:c r="C31" s="70" t="str">
        <x:v>KPI_3 counts and amounts are copied from the historical store as supplied; inconsistencies are flagged, never silently repaired.</x:v>
      </x:c>
      <x:c r="D31" s="70"/>
      <x:c r="E31" s="70"/>
      <x:c r="F31" s="70"/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</x:row>
    <x:row r="32" ht="20" customHeight="1">
      <x:c r="C32" s="70"/>
      <x:c r="D32" s="70"/>
      <x:c r="E32" s="70"/>
      <x:c r="F32" s="70"/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  <x:c r="Q32" s="70"/>
      <x:c r="R32" s="70"/>
      <x:c r="S32" s="70"/>
      <x:c r="T32" s="70"/>
      <x:c r="U32" s="70"/>
      <x:c r="V32" s="70"/>
      <x:c r="W32" s="70"/>
      <x:c r="X32" s="70"/>
      <x:c r="Y32" s="70"/>
      <x:c r="Z32" s="70"/>
      <x:c r="AA32" s="70"/>
      <x:c r="AB32" s="70"/>
      <x:c r="AC32" s="70"/>
      <x:c r="AD32" s="70"/>
      <x:c r="AE32" s="70"/>
    </x:row>
    <x:row r="33" ht="20" customHeight="1">
      <x:c r="C33" s="70" t="str">
        <x:v>Brazil and Romania use specific formats: only validated stock comparisons are displayed. No missing monthly KPI data has been invented.</x:v>
      </x:c>
      <x:c r="D33" s="70"/>
      <x:c r="E33" s="70"/>
      <x:c r="F33" s="70"/>
      <x:c r="G33" s="70"/>
      <x:c r="H33" s="70"/>
      <x:c r="I33" s="70"/>
      <x:c r="J33" s="70"/>
      <x:c r="K33" s="70"/>
      <x:c r="L33" s="70"/>
      <x:c r="M33" s="70"/>
      <x:c r="N33" s="70"/>
      <x:c r="O33" s="70"/>
      <x:c r="P33" s="70"/>
      <x:c r="Q33" s="70"/>
      <x:c r="R33" s="70"/>
      <x:c r="S33" s="70"/>
      <x:c r="T33" s="70"/>
      <x:c r="U33" s="70"/>
      <x:c r="V33" s="70"/>
      <x:c r="W33" s="70"/>
      <x:c r="X33" s="70"/>
      <x:c r="Y33" s="70"/>
      <x:c r="Z33" s="70"/>
      <x:c r="AA33" s="70"/>
      <x:c r="AB33" s="70"/>
      <x:c r="AC33" s="70"/>
      <x:c r="AD33" s="70"/>
      <x:c r="AE33" s="70"/>
    </x:row>
    <x:row r="34" ht="20" customHeight="1">
      <x:c r="C34" s="70"/>
      <x:c r="D34" s="70"/>
      <x:c r="E34" s="70"/>
      <x:c r="F34" s="70"/>
      <x:c r="G34" s="70"/>
      <x:c r="H34" s="70"/>
      <x:c r="I34" s="70"/>
      <x:c r="J34" s="70"/>
      <x:c r="K34" s="70"/>
      <x:c r="L34" s="70"/>
      <x:c r="M34" s="70"/>
      <x:c r="N34" s="70"/>
      <x:c r="O34" s="70"/>
      <x:c r="P34" s="70"/>
      <x:c r="Q34" s="70"/>
      <x:c r="R34" s="70"/>
      <x:c r="S34" s="70"/>
      <x:c r="T34" s="70"/>
      <x:c r="U34" s="70"/>
      <x:c r="V34" s="70"/>
      <x:c r="W34" s="70"/>
      <x:c r="X34" s="70"/>
      <x:c r="Y34" s="70"/>
      <x:c r="Z34" s="70"/>
      <x:c r="AA34" s="70"/>
      <x:c r="AB34" s="70"/>
      <x:c r="AC34" s="70"/>
      <x:c r="AD34" s="70"/>
      <x:c r="AE34" s="70"/>
    </x:row>
    <x:row r="35" ht="20" customHeight="1">
      <x:c r="C35" s="70" t="str">
        <x:v>All FX rates are quarter-scoped to Q2 2026 and come from Taux(1).xlsx. Future rates should be stored as new quarterly snapshots.</x:v>
      </x:c>
      <x:c r="D35" s="70"/>
      <x:c r="E35" s="70"/>
      <x:c r="F35" s="70"/>
      <x:c r="G35" s="70"/>
      <x:c r="H35" s="70"/>
      <x:c r="I35" s="70"/>
      <x:c r="J35" s="70"/>
      <x:c r="K35" s="70"/>
      <x:c r="L35" s="70"/>
      <x:c r="M35" s="70"/>
      <x:c r="N35" s="70"/>
      <x:c r="O35" s="70"/>
      <x:c r="P35" s="70"/>
      <x:c r="Q35" s="70"/>
      <x:c r="R35" s="70"/>
      <x:c r="S35" s="70"/>
      <x:c r="T35" s="70"/>
      <x:c r="U35" s="70"/>
      <x:c r="V35" s="70"/>
      <x:c r="W35" s="70"/>
      <x:c r="X35" s="70"/>
      <x:c r="Y35" s="70"/>
      <x:c r="Z35" s="70"/>
      <x:c r="AA35" s="70"/>
      <x:c r="AB35" s="70"/>
      <x:c r="AC35" s="70"/>
      <x:c r="AD35" s="70"/>
      <x:c r="AE35" s="70"/>
    </x:row>
    <x:row r="36" ht="20" customHeight="1"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0"/>
      <x:c r="Z36" s="70"/>
      <x:c r="AA36" s="70"/>
      <x:c r="AB36" s="70"/>
      <x:c r="AC36" s="70"/>
      <x:c r="AD36" s="70"/>
      <x:c r="AE36" s="70"/>
    </x:row>
    <x:row r="37" ht="20" customHeight="1"/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</x:sheetData>
  <x:mergeCells>
    <x:mergeCell ref="C2:U4"/>
    <x:mergeCell ref="C42:O42"/>
    <x:mergeCell ref="P42:AE42"/>
    <x:mergeCell ref="C6:AE7"/>
    <x:mergeCell ref="C9:H9"/>
    <x:mergeCell ref="I9:L9"/>
    <x:mergeCell ref="M9:P9"/>
    <x:mergeCell ref="Q9:T9"/>
    <x:mergeCell ref="U9:X9"/>
    <x:mergeCell ref="Y9:AC9"/>
    <x:mergeCell ref="C10:H10"/>
    <x:mergeCell ref="C11:H11"/>
    <x:mergeCell ref="C12:H12"/>
    <x:mergeCell ref="C13:H13"/>
    <x:mergeCell ref="C14:H14"/>
    <x:mergeCell ref="C15:H15"/>
    <x:mergeCell ref="C16:H16"/>
    <x:mergeCell ref="C17:H17"/>
    <x:mergeCell ref="C18:H18"/>
    <x:mergeCell ref="C19:H19"/>
    <x:mergeCell ref="C20:H20"/>
    <x:mergeCell ref="C21:H21"/>
    <x:mergeCell ref="C22:H22"/>
    <x:mergeCell ref="C23:H23"/>
    <x:mergeCell ref="C26:AE26"/>
    <x:mergeCell ref="C27:AE28"/>
    <x:mergeCell ref="C29:AE30"/>
    <x:mergeCell ref="C31:AE32"/>
    <x:mergeCell ref="C33:AE34"/>
    <x:mergeCell ref="C35:AE36"/>
    <x:mergeCell ref="I10:L10"/>
    <x:mergeCell ref="M10:P10"/>
    <x:mergeCell ref="Q10:T10"/>
    <x:mergeCell ref="U10:X10"/>
    <x:mergeCell ref="I11:L11"/>
    <x:mergeCell ref="M11:P11"/>
    <x:mergeCell ref="Q11:T11"/>
    <x:mergeCell ref="U11:X11"/>
    <x:mergeCell ref="I12:L12"/>
    <x:mergeCell ref="M12:P12"/>
    <x:mergeCell ref="Q12:T12"/>
    <x:mergeCell ref="U12:X12"/>
    <x:mergeCell ref="I13:L13"/>
    <x:mergeCell ref="M13:P13"/>
    <x:mergeCell ref="Q13:T13"/>
    <x:mergeCell ref="U13:X13"/>
    <x:mergeCell ref="I14:L14"/>
    <x:mergeCell ref="M14:P14"/>
    <x:mergeCell ref="Q14:T14"/>
    <x:mergeCell ref="U14:X14"/>
    <x:mergeCell ref="I15:L15"/>
    <x:mergeCell ref="M15:P15"/>
    <x:mergeCell ref="Q15:T15"/>
    <x:mergeCell ref="U15:X15"/>
    <x:mergeCell ref="I16:L16"/>
    <x:mergeCell ref="M16:P16"/>
    <x:mergeCell ref="Q16:T16"/>
    <x:mergeCell ref="U16:X16"/>
    <x:mergeCell ref="I17:L17"/>
    <x:mergeCell ref="M17:P17"/>
    <x:mergeCell ref="Q17:T17"/>
    <x:mergeCell ref="U17:X17"/>
    <x:mergeCell ref="I18:L18"/>
    <x:mergeCell ref="M18:P18"/>
    <x:mergeCell ref="Q18:T18"/>
    <x:mergeCell ref="U18:X18"/>
    <x:mergeCell ref="I19:L19"/>
    <x:mergeCell ref="M19:P19"/>
    <x:mergeCell ref="Q19:T19"/>
    <x:mergeCell ref="U19:X19"/>
    <x:mergeCell ref="I20:L20"/>
    <x:mergeCell ref="M20:P20"/>
    <x:mergeCell ref="Q20:T20"/>
    <x:mergeCell ref="U20:X20"/>
    <x:mergeCell ref="I21:L21"/>
    <x:mergeCell ref="M21:P21"/>
    <x:mergeCell ref="Q21:T21"/>
    <x:mergeCell ref="U21:X21"/>
    <x:mergeCell ref="I22:L22"/>
    <x:mergeCell ref="M22:P22"/>
    <x:mergeCell ref="Q22:T22"/>
    <x:mergeCell ref="U22:X22"/>
    <x:mergeCell ref="I23:L23"/>
    <x:mergeCell ref="M23:P23"/>
    <x:mergeCell ref="Q23:T23"/>
    <x:mergeCell ref="U23:X2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5.300000190734863" hidden="0" customWidth="1"/>
    <x:col min="3" max="3" width="5.300000190734863" hidden="0" customWidth="1"/>
    <x:col min="4" max="4" width="5.300000190734863" hidden="0" customWidth="1"/>
    <x:col min="5" max="5" width="5.300000190734863" hidden="0" customWidth="1"/>
    <x:col min="6" max="6" width="5.300000190734863" hidden="0" customWidth="1"/>
    <x:col min="7" max="7" width="5.300000190734863" hidden="0" customWidth="1"/>
    <x:col min="8" max="8" width="5.300000190734863" hidden="0" customWidth="1"/>
    <x:col min="9" max="9" width="5.300000190734863" hidden="0" customWidth="1"/>
    <x:col min="10" max="10" width="5.300000190734863" hidden="0" customWidth="1"/>
    <x:col min="11" max="11" width="5.300000190734863" hidden="0" customWidth="1"/>
    <x:col min="12" max="12" width="5.300000190734863" hidden="0" customWidth="1"/>
    <x:col min="13" max="13" width="5.300000190734863" hidden="0" customWidth="1"/>
    <x:col min="14" max="14" width="5.300000190734863" hidden="0" customWidth="1"/>
    <x:col min="15" max="15" width="5.300000190734863" hidden="0" customWidth="1"/>
    <x:col min="16" max="16" width="5.300000190734863" hidden="0" customWidth="1"/>
    <x:col min="17" max="17" width="5.300000190734863" hidden="0" customWidth="1"/>
    <x:col min="18" max="18" width="5.300000190734863" hidden="0" customWidth="1"/>
    <x:col min="19" max="19" width="5.300000190734863" hidden="0" customWidth="1"/>
    <x:col min="20" max="20" width="5.300000190734863" hidden="0" customWidth="1"/>
    <x:col min="21" max="21" width="5.300000190734863" hidden="0" customWidth="1"/>
    <x:col min="22" max="22" width="5.300000190734863" hidden="0" customWidth="1"/>
    <x:col min="23" max="23" width="5.300000190734863" hidden="0" customWidth="1"/>
    <x:col min="24" max="24" width="5.300000190734863" hidden="0" customWidth="1"/>
    <x:col min="25" max="25" width="5.300000190734863" hidden="0" customWidth="1"/>
    <x:col min="26" max="26" width="5.300000190734863" hidden="0" customWidth="1"/>
    <x:col min="27" max="27" width="5.300000190734863" hidden="0" customWidth="1"/>
    <x:col min="28" max="28" width="5.300000190734863" hidden="0" customWidth="1"/>
    <x:col min="29" max="29" width="5.300000190734863" hidden="0" customWidth="1"/>
    <x:col min="30" max="30" width="5.300000190734863" hidden="0" customWidth="1"/>
    <x:col min="31" max="31" width="5.300000190734863" hidden="0" customWidth="1"/>
    <x:col min="32" max="32" width="4.5" hidden="0" customWidth="1"/>
  </x:cols>
  <x:sheetData>
    <x:row r="1" ht="20" customHeight="1"/>
    <x:row r="2" ht="22" customHeight="1">
      <x:c r="B2" s="2"/>
      <x:c r="C2" s="5" t="str">
        <x:v>HOW TO USE  •  EDITABLE Q2 REPORTING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2" customHeight="1"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0" customHeight="1"/>
    <x:row r="6" ht="20" customHeight="1"/>
    <x:row r="7" ht="20" customHeight="1">
      <x:c r="C7" s="76" t="str">
        <x:v>1   Start with 01 GLOBAL, 02 CORE Stock, 03 CORE Flows and 04 NON CORE: these reproduce the green synthesis slides.</x:v>
      </x:c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  <x:c r="AA7" s="76"/>
      <x:c r="AB7" s="76"/>
      <x:c r="AC7" s="76"/>
      <x:c r="AD7" s="76"/>
      <x:c r="AE7" s="76"/>
    </x:row>
    <x:row r="8" ht="20" customHeight="1">
      <x:c r="C8" s="76"/>
      <x:c r="D8" s="76"/>
      <x:c r="E8" s="76"/>
      <x:c r="F8" s="76"/>
      <x:c r="G8" s="76"/>
      <x:c r="H8" s="76"/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  <x:c r="AA8" s="76"/>
      <x:c r="AB8" s="76"/>
      <x:c r="AC8" s="76"/>
      <x:c r="AD8" s="76"/>
      <x:c r="AE8" s="76"/>
    </x:row>
    <x:row r="9" ht="20" customHeight="1"/>
    <x:row r="10" ht="20" customHeight="1">
      <x:c r="C10" s="76" t="str">
        <x:v>2   Open the country tabs (ES, DE, AT, BE, IT, PT, FR, UK, ZA, RO, BR, DK, NO, SE). The country pages follow the teal screenshot format.</x:v>
      </x:c>
      <x:c r="D10" s="76"/>
      <x:c r="E10" s="76"/>
      <x:c r="F10" s="76"/>
      <x:c r="G10" s="76"/>
      <x:c r="H10" s="76"/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  <x:c r="AA10" s="76"/>
      <x:c r="AB10" s="76"/>
      <x:c r="AC10" s="76"/>
      <x:c r="AD10" s="76"/>
      <x:c r="AE10" s="76"/>
    </x:row>
    <x:row r="11" ht="20" customHeight="1"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  <x:c r="AA11" s="76"/>
      <x:c r="AB11" s="76"/>
      <x:c r="AC11" s="76"/>
      <x:c r="AD11" s="76"/>
      <x:c r="AE11" s="76"/>
    </x:row>
    <x:row r="12" ht="20" customHeight="1"/>
    <x:row r="13" ht="20" customHeight="1">
      <x:c r="C13" s="76" t="str">
        <x:v>3   Copy each presentation sheet as a screenshot or export that sheet to PDF at one page wide. Presentation canvas: B2:AE42.</x:v>
      </x:c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  <x:c r="AA13" s="76"/>
      <x:c r="AB13" s="76"/>
      <x:c r="AC13" s="76"/>
      <x:c r="AD13" s="76"/>
      <x:c r="AE13" s="76"/>
    </x:row>
    <x:row r="14" ht="20" customHeight="1"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  <x:c r="AA14" s="76"/>
      <x:c r="AB14" s="76"/>
      <x:c r="AC14" s="76"/>
      <x:c r="AD14" s="76"/>
      <x:c r="AE14" s="76"/>
    </x:row>
    <x:row r="15" ht="20" customHeight="1"/>
    <x:row r="16" ht="20" customHeight="1">
      <x:c r="C16" s="76" t="str">
        <x:v>4   The DATA_* tabs are editable input tables copied from Historical_Reporting_Store_Q2_Q3_2026_Partial.xlsx. Source labels remain alongside observations.</x:v>
      </x:c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  <x:c r="AA16" s="76"/>
      <x:c r="AB16" s="76"/>
      <x:c r="AC16" s="76"/>
      <x:c r="AD16" s="76"/>
      <x:c r="AE16" s="76"/>
    </x:row>
    <x:row r="17" ht="20" customHeight="1"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  <x:c r="AA17" s="76"/>
      <x:c r="AB17" s="76"/>
      <x:c r="AC17" s="76"/>
      <x:c r="AD17" s="76"/>
      <x:c r="AE17" s="76"/>
    </x:row>
    <x:row r="18" ht="20" customHeight="1"/>
    <x:row r="19" ht="20" customHeight="1">
      <x:c r="C19" s="76" t="str">
        <x:v>5   Display totals, charts and percentages refer to DATA_* cells. Edit the data layer, not formula-derived reporting cells.</x:v>
      </x:c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  <x:c r="AA19" s="76"/>
      <x:c r="AB19" s="76"/>
      <x:c r="AC19" s="76"/>
      <x:c r="AD19" s="76"/>
      <x:c r="AE19" s="76"/>
    </x:row>
    <x:row r="20" ht="20" customHeight="1"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  <x:c r="AA20" s="76"/>
      <x:c r="AB20" s="76"/>
      <x:c r="AC20" s="76"/>
      <x:c r="AD20" s="76"/>
      <x:c r="AE20" s="76"/>
    </x:row>
    <x:row r="21" ht="20" customHeight="1"/>
    <x:row r="22" ht="20" customHeight="1">
      <x:c r="C22" s="76" t="str">
        <x:v>6   Country commentary remains editable in DATA_COMMENTS; review qualitative statements before communicating externally.</x:v>
      </x:c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  <x:c r="AA22" s="76"/>
      <x:c r="AB22" s="76"/>
      <x:c r="AC22" s="76"/>
      <x:c r="AD22" s="76"/>
      <x:c r="AE22" s="76"/>
    </x:row>
    <x:row r="23" ht="20" customHeight="1"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  <x:c r="AA23" s="76"/>
      <x:c r="AB23" s="76"/>
      <x:c r="AC23" s="76"/>
      <x:c r="AD23" s="76"/>
      <x:c r="AE23" s="76"/>
    </x:row>
    <x:row r="24" ht="20" customHeight="1"/>
    <x:row r="25" ht="20" customHeight="1">
      <x:c r="C25" s="76" t="str">
        <x:v>7   See VALIDATION for exact anomalies. Italy figures intentionally replace the incorrect values in the example template.</x:v>
      </x:c>
      <x:c r="D25" s="76"/>
      <x:c r="E25" s="76"/>
      <x:c r="F25" s="76"/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  <x:c r="AA25" s="76"/>
      <x:c r="AB25" s="76"/>
      <x:c r="AC25" s="76"/>
      <x:c r="AD25" s="76"/>
      <x:c r="AE25" s="76"/>
    </x:row>
    <x:row r="26" ht="20" customHeight="1">
      <x:c r="C26" s="76"/>
      <x:c r="D26" s="76"/>
      <x:c r="E26" s="76"/>
      <x:c r="F26" s="76"/>
      <x:c r="G26" s="76"/>
      <x:c r="H26" s="76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  <x:c r="AA26" s="76"/>
      <x:c r="AB26" s="76"/>
      <x:c r="AC26" s="76"/>
      <x:c r="AD26" s="76"/>
      <x:c r="AE26" s="76"/>
    </x:row>
    <x:row r="27" ht="20" customHeight="1"/>
    <x:row r="28" ht="20" customHeight="1">
      <x:c r="C28" s="76" t="str">
        <x:v>8   The same structure can be generated for Q3 by reading Q3 snapshots and the Q3-specific Taux.xlsx FX table.</x:v>
      </x:c>
      <x:c r="D28" s="76"/>
      <x:c r="E28" s="76"/>
      <x:c r="F28" s="76"/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  <x:c r="AA28" s="76"/>
      <x:c r="AB28" s="76"/>
      <x:c r="AC28" s="76"/>
      <x:c r="AD28" s="76"/>
      <x:c r="AE28" s="76"/>
    </x:row>
    <x:row r="29" ht="20" customHeight="1">
      <x:c r="C29" s="76"/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  <x:c r="AA29" s="76"/>
      <x:c r="AB29" s="76"/>
      <x:c r="AC29" s="76"/>
      <x:c r="AD29" s="76"/>
      <x:c r="AE29" s="76"/>
    </x:row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>
      <x:c r="B42" s="2"/>
      <x:c r="C42" s="9" t="str">
        <x:v>BNP PARIBAS PERSONAL FINANCE  |  POSITIVE BALANCES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4" t="str">
        <x:v>2026 Q2     •     30/06/2026     •     INTERNAL</x:v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</x:row>
    <x:row r="43" ht="20" customHeight="1"/>
    <x:row r="44" ht="20" customHeight="1"/>
  </x:sheetData>
  <x:mergeCells>
    <x:mergeCell ref="C2:U4"/>
    <x:mergeCell ref="C42:O42"/>
    <x:mergeCell ref="P42:AE42"/>
    <x:mergeCell ref="C7:AE8"/>
    <x:mergeCell ref="C10:AE11"/>
    <x:mergeCell ref="C13:AE14"/>
    <x:mergeCell ref="C16:AE17"/>
    <x:mergeCell ref="C19:AE20"/>
    <x:mergeCell ref="C22:AE23"/>
    <x:mergeCell ref="C25:AE26"/>
    <x:mergeCell ref="C28:AE2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</x:cols>
  <x:sheetData>
    <x:row r="1" ht="30" customHeight="1">
      <x:c r="A1" s="42" t="str">
        <x:v>Country</x:v>
      </x:c>
      <x:c r="B1" s="42" t="str">
        <x:v>Reporting group</x:v>
      </x:c>
      <x:c r="C1" s="42" t="str">
        <x:v>Q1 2026 stock EUR</x:v>
      </x:c>
      <x:c r="D1" s="42" t="str">
        <x:v>Q2 2026 stock EUR</x:v>
      </x:c>
      <x:c r="E1" s="42" t="str">
        <x:v>Variation EUR</x:v>
      </x:c>
      <x:c r="F1" s="42" t="str">
        <x:v>Variation %</x:v>
      </x:c>
      <x:c r="G1" s="42" t="str">
        <x:v>Currency</x:v>
      </x:c>
      <x:c r="H1" s="42" t="str">
        <x:v>Q1 source</x:v>
      </x:c>
      <x:c r="I1" s="42" t="str">
        <x:v>Q2 source</x:v>
      </x:c>
    </x:row>
    <x:row r="2">
      <x:c r="A2" t="str">
        <x:v>Spain</x:v>
      </x:c>
      <x:c r="B2" t="str">
        <x:v>CORE</x:v>
      </x:c>
      <x:c r="C2" s="34" t="n">
        <x:v>2166528.21</x:v>
      </x:c>
      <x:c r="D2" s="34" t="n">
        <x:v>1787811.8</x:v>
      </x:c>
      <x:c r="E2" s="34" t="n">
        <x:f>D2-C2</x:f>
        <x:v>-378716.4099999999</x:v>
      </x:c>
      <x:c r="F2" s="36" t="n">
        <x:f>IFERROR(E2/C2,0)</x:f>
        <x:v>-0.17480335970331073</x:v>
      </x:c>
      <x:c r="G2" t="str">
        <x:v>EUR</x:v>
      </x:c>
      <x:c r="H2" t="str">
        <x:v>'Evolution Stock'!T6</x:v>
      </x:c>
      <x:c r="I2" t="str">
        <x:v>'Evolution Stock'!Z6</x:v>
      </x:c>
    </x:row>
    <x:row r="3">
      <x:c r="A3" t="str">
        <x:v>Germany</x:v>
      </x:c>
      <x:c r="B3" t="str">
        <x:v>CORE</x:v>
      </x:c>
      <x:c r="C3" s="34" t="n">
        <x:v>4144111.17</x:v>
      </x:c>
      <x:c r="D3" s="34" t="n">
        <x:v>3473473.18</x:v>
      </x:c>
      <x:c r="E3" s="34" t="n">
        <x:f>D3-C3</x:f>
        <x:v>-670637.9899999998</x:v>
      </x:c>
      <x:c r="F3" s="36" t="n">
        <x:f>IFERROR(E3/C3,0)</x:f>
        <x:v>-0.16182915044723564</x:v>
      </x:c>
      <x:c r="G3" t="str">
        <x:v>EUR</x:v>
      </x:c>
      <x:c r="H3" t="str">
        <x:v>'Evolution Stock'!T7</x:v>
      </x:c>
      <x:c r="I3" t="str">
        <x:v>'Evolution Stock'!Z7</x:v>
      </x:c>
    </x:row>
    <x:row r="4">
      <x:c r="A4" t="str">
        <x:v>Austria</x:v>
      </x:c>
      <x:c r="B4" t="str">
        <x:v>CORE</x:v>
      </x:c>
      <x:c r="C4" s="34" t="n">
        <x:v>40421.54</x:v>
      </x:c>
      <x:c r="D4" s="34" t="n">
        <x:v>11992.29</x:v>
      </x:c>
      <x:c r="E4" s="34" t="n">
        <x:f>D4-C4</x:f>
        <x:v>-28429.25</x:v>
      </x:c>
      <x:c r="F4" s="36" t="n">
        <x:f>IFERROR(E4/C4,0)</x:f>
        <x:v>-0.7033193193529984</x:v>
      </x:c>
      <x:c r="G4" t="str">
        <x:v>EUR</x:v>
      </x:c>
      <x:c r="H4" t="str">
        <x:v>'Evolution Stock'!T8</x:v>
      </x:c>
      <x:c r="I4" t="str">
        <x:v>'Evolution Stock'!Z8</x:v>
      </x:c>
    </x:row>
    <x:row r="5">
      <x:c r="A5" t="str">
        <x:v>Belgium</x:v>
      </x:c>
      <x:c r="B5" t="str">
        <x:v>CORE</x:v>
      </x:c>
      <x:c r="C5" s="34" t="n">
        <x:v>237187</x:v>
      </x:c>
      <x:c r="D5" s="34" t="n">
        <x:v>136664.22</x:v>
      </x:c>
      <x:c r="E5" s="34" t="n">
        <x:f>D5-C5</x:f>
        <x:v>-100522.78</x:v>
      </x:c>
      <x:c r="F5" s="36" t="n">
        <x:f>IFERROR(E5/C5,0)</x:f>
        <x:v>-0.42381235059257044</x:v>
      </x:c>
      <x:c r="G5" t="str">
        <x:v>EUR</x:v>
      </x:c>
      <x:c r="H5" t="str">
        <x:v>'Evolution Stock'!T9</x:v>
      </x:c>
      <x:c r="I5" t="str">
        <x:v>'Evolution Stock'!Z9</x:v>
      </x:c>
    </x:row>
    <x:row r="6">
      <x:c r="A6" t="str">
        <x:v>Italy</x:v>
      </x:c>
      <x:c r="B6" t="str">
        <x:v>CORE</x:v>
      </x:c>
      <x:c r="C6" s="34" t="n">
        <x:v>3049033.32</x:v>
      </x:c>
      <x:c r="D6" s="34" t="n">
        <x:v>3023244.63</x:v>
      </x:c>
      <x:c r="E6" s="34" t="n">
        <x:f>D6-C6</x:f>
        <x:v>-25788.689999999944</x:v>
      </x:c>
      <x:c r="F6" s="36" t="n">
        <x:f>IFERROR(E6/C6,0)</x:f>
        <x:v>-0.008457988907776168</x:v>
      </x:c>
      <x:c r="G6" t="str">
        <x:v>EUR</x:v>
      </x:c>
      <x:c r="H6" t="str">
        <x:v>'Evolution Stock'!T10</x:v>
      </x:c>
      <x:c r="I6" t="str">
        <x:v>'Evolution Stock'!Z10</x:v>
      </x:c>
    </x:row>
    <x:row r="7">
      <x:c r="A7" t="str">
        <x:v>Portugal</x:v>
      </x:c>
      <x:c r="B7" t="str">
        <x:v>CORE</x:v>
      </x:c>
      <x:c r="C7" s="34" t="n">
        <x:v>544257.88</x:v>
      </x:c>
      <x:c r="D7" s="34" t="n">
        <x:v>593413</x:v>
      </x:c>
      <x:c r="E7" s="34" t="n">
        <x:f>D7-C7</x:f>
        <x:v>49155.119999999995</x:v>
      </x:c>
      <x:c r="F7" s="36" t="n">
        <x:f>IFERROR(E7/C7,0)</x:f>
        <x:v>0.09031586276711326</x:v>
      </x:c>
      <x:c r="G7" t="str">
        <x:v>EUR</x:v>
      </x:c>
      <x:c r="H7" t="str">
        <x:v>'Evolution Stock'!T11</x:v>
      </x:c>
      <x:c r="I7" t="str">
        <x:v>'Evolution Stock'!Z11</x:v>
      </x:c>
    </x:row>
    <x:row r="8">
      <x:c r="A8" t="str">
        <x:v>France</x:v>
      </x:c>
      <x:c r="B8" t="str">
        <x:v>CORE</x:v>
      </x:c>
      <x:c r="C8" s="34" t="n">
        <x:v>3908020.9</x:v>
      </x:c>
      <x:c r="D8" s="34" t="n">
        <x:v>3317586.72</x:v>
      </x:c>
      <x:c r="E8" s="34" t="n">
        <x:f>D8-C8</x:f>
        <x:v>-590434.1799999997</x:v>
      </x:c>
      <x:c r="F8" s="36" t="n">
        <x:f>IFERROR(E8/C8,0)</x:f>
        <x:v>-0.1510826566971532</x:v>
      </x:c>
      <x:c r="G8" t="str">
        <x:v>EUR</x:v>
      </x:c>
      <x:c r="H8" t="str">
        <x:v>'Evolution Stock'!T12</x:v>
      </x:c>
      <x:c r="I8" t="str">
        <x:v>'Evolution Stock'!Z12</x:v>
      </x:c>
    </x:row>
    <x:row r="9">
      <x:c r="A9" t="str">
        <x:v>UK</x:v>
      </x:c>
      <x:c r="B9" t="str">
        <x:v>CORE</x:v>
      </x:c>
      <x:c r="C9" s="34" t="n">
        <x:v>2874735.6081</x:v>
      </x:c>
      <x:c r="D9" s="34" t="n">
        <x:v>2836661.6548</x:v>
      </x:c>
      <x:c r="E9" s="34" t="n">
        <x:f>D9-C9</x:f>
        <x:v>-38073.9532999997</x:v>
      </x:c>
      <x:c r="F9" s="36" t="n">
        <x:f>IFERROR(E9/C9,0)</x:f>
        <x:v>-0.013244332171877168</x:v>
      </x:c>
      <x:c r="G9" t="str">
        <x:v>GBP</x:v>
      </x:c>
      <x:c r="H9" t="str">
        <x:v>'Evolution Stock'!T13</x:v>
      </x:c>
      <x:c r="I9" t="str">
        <x:v>'Evolution Stock'!Z13</x:v>
      </x:c>
    </x:row>
    <x:row r="10">
      <x:c r="A10" t="str">
        <x:v>South Africa</x:v>
      </x:c>
      <x:c r="B10" t="str">
        <x:v>CORE</x:v>
      </x:c>
      <x:c r="C10" s="34" t="n">
        <x:v>1954760.7895</x:v>
      </x:c>
      <x:c r="D10" s="34" t="n">
        <x:v>1905080.9288</x:v>
      </x:c>
      <x:c r="E10" s="34" t="n">
        <x:f>D10-C10</x:f>
        <x:v>-49679.860699999845</x:v>
      </x:c>
      <x:c r="F10" s="36" t="n">
        <x:f>IFERROR(E10/C10,0)</x:f>
        <x:v>-0.025414803165100957</x:v>
      </x:c>
      <x:c r="G10" t="str">
        <x:v>ZAR</x:v>
      </x:c>
      <x:c r="H10" t="str">
        <x:v>'Evolution Stock'!T14</x:v>
      </x:c>
      <x:c r="I10" t="str">
        <x:v>'Evolution Stock'!Z14</x:v>
      </x:c>
    </x:row>
    <x:row r="11">
      <x:c r="A11" t="str">
        <x:v>Romania</x:v>
      </x:c>
      <x:c r="B11" t="str">
        <x:v>NONCORE</x:v>
      </x:c>
      <x:c r="C11" s="34" t="n">
        <x:v>53725.4016</x:v>
      </x:c>
      <x:c r="D11" s="34" t="n">
        <x:v>48887.5186</x:v>
      </x:c>
      <x:c r="E11" s="34" t="n">
        <x:f>D11-C11</x:f>
        <x:v>-4837.882999999994</x:v>
      </x:c>
      <x:c r="F11" s="36" t="n">
        <x:f>IFERROR(E11/C11,0)</x:f>
        <x:v>-0.09004833572058389</x:v>
      </x:c>
      <x:c r="G11" t="str">
        <x:v>EUR</x:v>
      </x:c>
      <x:c r="H11" t="str">
        <x:v>'Evolution Stock'!T15</x:v>
      </x:c>
      <x:c r="I11" t="str">
        <x:v>'Evolution Stock'!Z15</x:v>
      </x:c>
    </x:row>
    <x:row r="12">
      <x:c r="A12" t="str">
        <x:v>Brazil</x:v>
      </x:c>
      <x:c r="B12" t="str">
        <x:v>NONCORE</x:v>
      </x:c>
      <x:c r="C12" s="34" t="n">
        <x:v>8543463.1717</x:v>
      </x:c>
      <x:c r="D12" s="34" t="n">
        <x:v>3784195.42</x:v>
      </x:c>
      <x:c r="E12" s="34" t="n">
        <x:f>D12-C12</x:f>
        <x:v>-4759267.751700001</x:v>
      </x:c>
      <x:c r="F12" s="36" t="n">
        <x:f>IFERROR(E12/C12,0)</x:f>
        <x:v>-0.5570654026419815</x:v>
      </x:c>
      <x:c r="G12" t="str">
        <x:v>EUR</x:v>
      </x:c>
      <x:c r="H12" t="str">
        <x:v>'Evolution Stock'!T16</x:v>
      </x:c>
      <x:c r="I12" t="str">
        <x:v>'Evolution Stock'!Z16</x:v>
      </x:c>
    </x:row>
    <x:row r="13">
      <x:c r="A13" t="str">
        <x:v>Denmark</x:v>
      </x:c>
      <x:c r="B13" t="str">
        <x:v>NONCORE</x:v>
      </x:c>
      <x:c r="C13" s="34" t="n">
        <x:v>3203.2179</x:v>
      </x:c>
      <x:c r="D13" s="34" t="n">
        <x:v>24388.7401</x:v>
      </x:c>
      <x:c r="E13" s="34" t="n">
        <x:f>D13-C13</x:f>
        <x:v>21185.5222</x:v>
      </x:c>
      <x:c r="F13" s="36" t="n">
        <x:f>IFERROR(E13/C13,0)</x:f>
        <x:v>6.613824866550602</x:v>
      </x:c>
      <x:c r="G13" t="str">
        <x:v>DKK</x:v>
      </x:c>
      <x:c r="H13" t="str">
        <x:v>'Evolution Stock'!T17</x:v>
      </x:c>
      <x:c r="I13" t="str">
        <x:v>'Evolution Stock'!Z17</x:v>
      </x:c>
    </x:row>
    <x:row r="14">
      <x:c r="A14" t="str">
        <x:v>Norway</x:v>
      </x:c>
      <x:c r="B14" t="str">
        <x:v>NONCORE</x:v>
      </x:c>
      <x:c r="C14" s="34" t="n">
        <x:v>13198.213</x:v>
      </x:c>
      <x:c r="D14" s="34" t="n">
        <x:v>10807.6386</x:v>
      </x:c>
      <x:c r="E14" s="34" t="n">
        <x:f>D14-C14</x:f>
        <x:v>-2390.5743999999995</x:v>
      </x:c>
      <x:c r="F14" s="36" t="n">
        <x:f>IFERROR(E14/C14,0)</x:f>
        <x:v>-0.18112864218815075</x:v>
      </x:c>
      <x:c r="G14" t="str">
        <x:v>NOK</x:v>
      </x:c>
      <x:c r="H14" t="str">
        <x:v>'Evolution Stock'!T18</x:v>
      </x:c>
      <x:c r="I14" t="str">
        <x:v>'Evolution Stock'!Z18</x:v>
      </x:c>
    </x:row>
    <x:row r="15">
      <x:c r="A15" t="str">
        <x:v>Sweden</x:v>
      </x:c>
      <x:c r="B15" t="str">
        <x:v>NONCORE</x:v>
      </x:c>
      <x:c r="C15" s="34" t="n">
        <x:v>15478.6603</x:v>
      </x:c>
      <x:c r="D15" s="34" t="n">
        <x:v>14140.069</x:v>
      </x:c>
      <x:c r="E15" s="34" t="n">
        <x:f>D15-C15</x:f>
        <x:v>-1338.5913</x:v>
      </x:c>
      <x:c r="F15" s="36" t="n">
        <x:f>IFERROR(E15/C15,0)</x:f>
        <x:v>-0.08647979050228269</x:v>
      </x:c>
      <x:c r="G15" t="str">
        <x:v>SEK</x:v>
      </x:c>
      <x:c r="H15" t="str">
        <x:v>'Evolution Stock'!T19</x:v>
      </x:c>
      <x:c r="I15" t="str">
        <x:v>'Evolution Stock'!Z19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0" hidden="0" customWidth="1"/>
  </x:cols>
  <x:sheetData>
    <x:row r="1" ht="30" customHeight="1">
      <x:c r="A1" s="42" t="str">
        <x:v>Country</x:v>
      </x:c>
      <x:c r="B1" s="42" t="str">
        <x:v>Cohort month</x:v>
      </x:c>
      <x:c r="C1" s="42" t="str">
        <x:v>Currency</x:v>
      </x:c>
      <x:c r="D1" s="42" t="str">
        <x:v>New flow local</x:v>
      </x:c>
      <x:c r="E1" s="42" t="str">
        <x:v>Processed local</x:v>
      </x:c>
      <x:c r="F1" s="42" t="str">
        <x:v>Client refund</x:v>
      </x:c>
      <x:c r="G1" s="42" t="str">
        <x:v>False positive</x:v>
      </x:c>
      <x:c r="H1" s="42" t="str">
        <x:v>Unreachable</x:v>
      </x:c>
      <x:c r="I1" s="42" t="str">
        <x:v>To be processed</x:v>
      </x:c>
      <x:c r="J1" s="42" t="str">
        <x:v>New contracts</x:v>
      </x:c>
      <x:c r="K1" s="42" t="str">
        <x:v>Processed contracts</x:v>
      </x:c>
      <x:c r="L1" s="42" t="str">
        <x:v>Efficiency amount</x:v>
      </x:c>
      <x:c r="M1" s="42" t="str">
        <x:v>Efficiency number</x:v>
      </x:c>
      <x:c r="N1" s="42" t="str">
        <x:v>Q2 snapshot source</x:v>
      </x:c>
    </x:row>
    <x:row r="2">
      <x:c r="A2" t="str">
        <x:v>Spain</x:v>
      </x:c>
      <x:c r="B2" t="str">
        <x:v>2026-01</x:v>
      </x:c>
      <x:c r="C2" t="str">
        <x:v>EUR</x:v>
      </x:c>
      <x:c r="D2" s="34" t="n">
        <x:v>2802915.74999999</x:v>
      </x:c>
      <x:c r="E2" s="34" t="n">
        <x:v>2783756.220000003</x:v>
      </x:c>
      <x:c r="F2" s="34" t="n">
        <x:v>981727.580000001</x:v>
      </x:c>
      <x:c r="G2" s="34" t="n">
        <x:v>1795112.900000001</x:v>
      </x:c>
      <x:c r="H2" s="34" t="n">
        <x:v>6915.74</x:v>
      </x:c>
      <x:c r="I2" s="34" t="n">
        <x:v>19159.529999987</x:v>
      </x:c>
      <x:c r="J2" s="34" t="n">
        <x:v>6324</x:v>
      </x:c>
      <x:c r="K2" s="34" t="n">
        <x:v>6257</x:v>
      </x:c>
      <x:c r="L2" s="36" t="n">
        <x:v>0.993164429</x:v>
      </x:c>
      <x:c r="M2" s="36" t="n">
        <x:v>0.98940544</x:v>
      </x:c>
      <x:c r="N2" t="str">
        <x:v>Synthese Soldes Créditeurs Q2 2026.xlsx | 'Spain'!H27:H40</x:v>
      </x:c>
    </x:row>
    <x:row r="3">
      <x:c r="A3" t="str">
        <x:v>Spain</x:v>
      </x:c>
      <x:c r="B3" t="str">
        <x:v>2026-02</x:v>
      </x:c>
      <x:c r="C3" t="str">
        <x:v>EUR</x:v>
      </x:c>
      <x:c r="D3" s="34" t="n">
        <x:v>3537190.039999994</x:v>
      </x:c>
      <x:c r="E3" s="34" t="n">
        <x:v>3482860.67</x:v>
      </x:c>
      <x:c r="F3" s="34" t="n">
        <x:v>1445208.57</x:v>
      </x:c>
      <x:c r="G3" s="34" t="n">
        <x:v>2037652.100000001</x:v>
      </x:c>
      <x:c r="H3" s="34" t="n">
        <x:v>0</x:v>
      </x:c>
      <x:c r="I3" s="34" t="n">
        <x:v>54329.369999993</x:v>
      </x:c>
      <x:c r="J3" s="34" t="n">
        <x:v>8184</x:v>
      </x:c>
      <x:c r="K3" s="34" t="n">
        <x:v>7775</x:v>
      </x:c>
      <x:c r="L3" s="36" t="n">
        <x:v>0.984640528</x:v>
      </x:c>
      <x:c r="M3" s="36" t="n">
        <x:v>0.950024438</x:v>
      </x:c>
      <x:c r="N3" t="str">
        <x:v>Synthese Soldes Créditeurs Q2 2026.xlsx | 'Spain'!G27:G40</x:v>
      </x:c>
    </x:row>
    <x:row r="4">
      <x:c r="A4" t="str">
        <x:v>Spain</x:v>
      </x:c>
      <x:c r="B4" t="str">
        <x:v>2026-03</x:v>
      </x:c>
      <x:c r="C4" t="str">
        <x:v>EUR</x:v>
      </x:c>
      <x:c r="D4" s="34" t="n">
        <x:v>3807379.249999999</x:v>
      </x:c>
      <x:c r="E4" s="34" t="n">
        <x:v>3741802.419999998</x:v>
      </x:c>
      <x:c r="F4" s="34" t="n">
        <x:v>1307332.77</x:v>
      </x:c>
      <x:c r="G4" s="34" t="n">
        <x:v>2434302.039999999</x:v>
      </x:c>
      <x:c r="H4" s="34" t="n">
        <x:v>167.61</x:v>
      </x:c>
      <x:c r="I4" s="34" t="n">
        <x:v>65576.830000001</x:v>
      </x:c>
      <x:c r="J4" s="34" t="n">
        <x:v>6855</x:v>
      </x:c>
      <x:c r="K4" s="34" t="n">
        <x:v>6394</x:v>
      </x:c>
      <x:c r="L4" s="36" t="n">
        <x:v>0.982776386</x:v>
      </x:c>
      <x:c r="M4" s="36" t="n">
        <x:v>0.932749818</x:v>
      </x:c>
      <x:c r="N4" t="str">
        <x:v>Synthese Soldes Créditeurs Q2 2026.xlsx | 'Spain'!F27:F40</x:v>
      </x:c>
    </x:row>
    <x:row r="5">
      <x:c r="A5" t="str">
        <x:v>Spain</x:v>
      </x:c>
      <x:c r="B5" t="str">
        <x:v>2026-04</x:v>
      </x:c>
      <x:c r="C5" t="str">
        <x:v>EUR</x:v>
      </x:c>
      <x:c r="D5" s="34" t="n">
        <x:v>3480226.739999987</x:v>
      </x:c>
      <x:c r="E5" s="34" t="n">
        <x:v>3374632.889999989</x:v>
      </x:c>
      <x:c r="F5" s="34" t="n">
        <x:v>1127675.440000001</x:v>
      </x:c>
      <x:c r="G5" s="34" t="n">
        <x:v>2246139.669999988</x:v>
      </x:c>
      <x:c r="H5" s="34" t="n">
        <x:v>817.78</x:v>
      </x:c>
      <x:c r="I5" s="34" t="n">
        <x:v>105593.849999998</x:v>
      </x:c>
      <x:c r="J5" s="34" t="n">
        <x:v>6841</x:v>
      </x:c>
      <x:c r="K5" s="34" t="n">
        <x:v>6209</x:v>
      </x:c>
      <x:c r="L5" s="36" t="n">
        <x:v>0.969658917</x:v>
      </x:c>
      <x:c r="M5" s="36" t="n">
        <x:v>0.907615846</x:v>
      </x:c>
      <x:c r="N5" t="str">
        <x:v>Synthese Soldes Créditeurs Q2 2026.xlsx | 'Spain'!E27:E40</x:v>
      </x:c>
    </x:row>
    <x:row r="6">
      <x:c r="A6" t="str">
        <x:v>Spain</x:v>
      </x:c>
      <x:c r="B6" t="str">
        <x:v>2026-05</x:v>
      </x:c>
      <x:c r="C6" t="str">
        <x:v>EUR</x:v>
      </x:c>
      <x:c r="D6" s="34" t="n">
        <x:v>3189964.340000001</x:v>
      </x:c>
      <x:c r="E6" s="34" t="n">
        <x:v>3024426.780000004</x:v>
      </x:c>
      <x:c r="F6" s="34" t="n">
        <x:v>1174480.650000001</x:v>
      </x:c>
      <x:c r="G6" s="34" t="n">
        <x:v>1849946.130000003</x:v>
      </x:c>
      <x:c r="H6" s="34" t="n">
        <x:v>0</x:v>
      </x:c>
      <x:c r="I6" s="34" t="n">
        <x:v>165537.559999997</x:v>
      </x:c>
      <x:c r="J6" s="34" t="n">
        <x:v>7005</x:v>
      </x:c>
      <x:c r="K6" s="34" t="n">
        <x:v>5973</x:v>
      </x:c>
      <x:c r="L6" s="36" t="n">
        <x:v>0.948106768</x:v>
      </x:c>
      <x:c r="M6" s="36" t="n">
        <x:v>0.85267666</x:v>
      </x:c>
      <x:c r="N6" t="str">
        <x:v>Synthese Soldes Créditeurs Q2 2026.xlsx | 'Spain'!D27:D40</x:v>
      </x:c>
    </x:row>
    <x:row r="7">
      <x:c r="A7" t="str">
        <x:v>Spain</x:v>
      </x:c>
      <x:c r="B7" t="str">
        <x:v>2026-06</x:v>
      </x:c>
      <x:c r="C7" t="str">
        <x:v>EUR</x:v>
      </x:c>
      <x:c r="D7" s="34" t="n">
        <x:v>3807084.009999989</x:v>
      </x:c>
      <x:c r="E7" s="34" t="n">
        <x:v>2866507.600000004</x:v>
      </x:c>
      <x:c r="F7" s="34" t="n">
        <x:v>1054596.3</x:v>
      </x:c>
      <x:c r="G7" s="34" t="n">
        <x:v>1811911.300000004</x:v>
      </x:c>
      <x:c r="H7" s="34" t="n">
        <x:v>0</x:v>
      </x:c>
      <x:c r="I7" s="34" t="n">
        <x:v>940576.409999985</x:v>
      </x:c>
      <x:c r="J7" s="34" t="n">
        <x:v>8577</x:v>
      </x:c>
      <x:c r="K7" s="34" t="n">
        <x:v>5609</x:v>
      </x:c>
      <x:c r="L7" s="36" t="n">
        <x:v>0.752940464</x:v>
      </x:c>
      <x:c r="M7" s="36" t="n">
        <x:v>0.65395826</x:v>
      </x:c>
      <x:c r="N7" t="str">
        <x:v>Synthese Soldes Créditeurs Q2 2026.xlsx | 'Spain'!C27:C40</x:v>
      </x:c>
    </x:row>
    <x:row r="8">
      <x:c r="A8" t="str">
        <x:v>Germany</x:v>
      </x:c>
      <x:c r="B8" t="str">
        <x:v>2026-01</x:v>
      </x:c>
      <x:c r="C8" t="str">
        <x:v>EUR</x:v>
      </x:c>
      <x:c r="D8" s="34" t="n">
        <x:v>600142.890000001</x:v>
      </x:c>
      <x:c r="E8" s="34" t="n">
        <x:v>425573.48</x:v>
      </x:c>
      <x:c r="F8" s="34" t="n">
        <x:v>417469.24</x:v>
      </x:c>
      <x:c r="G8" s="34" t="n">
        <x:v>8104.24</x:v>
      </x:c>
      <x:c r="H8" s="34" t="n">
        <x:v>0</x:v>
      </x:c>
      <x:c r="I8" s="34" t="n">
        <x:v>174569.410000001</x:v>
      </x:c>
      <x:c r="J8" s="34" t="n">
        <x:v>4441</x:v>
      </x:c>
      <x:c r="K8" s="34" t="n">
        <x:v>2660</x:v>
      </x:c>
      <x:c r="L8" s="36" t="n">
        <x:v>0.709120256</x:v>
      </x:c>
      <x:c r="M8" s="36" t="n">
        <x:v>0.598964197</x:v>
      </x:c>
      <x:c r="N8" t="str">
        <x:v>Synthese Soldes Créditeurs Q2 2026.xlsx | 'Germany'!H27:H40</x:v>
      </x:c>
    </x:row>
    <x:row r="9">
      <x:c r="A9" t="str">
        <x:v>Germany</x:v>
      </x:c>
      <x:c r="B9" t="str">
        <x:v>2026-02</x:v>
      </x:c>
      <x:c r="C9" t="str">
        <x:v>EUR</x:v>
      </x:c>
      <x:c r="D9" s="34" t="n">
        <x:v>980405.86</x:v>
      </x:c>
      <x:c r="E9" s="34" t="n">
        <x:v>728595.35</x:v>
      </x:c>
      <x:c r="F9" s="34" t="n">
        <x:v>708428.26</x:v>
      </x:c>
      <x:c r="G9" s="34" t="n">
        <x:v>19731.06</x:v>
      </x:c>
      <x:c r="H9" s="34" t="n">
        <x:v>436.03</x:v>
      </x:c>
      <x:c r="I9" s="34" t="n">
        <x:v>251810.51</x:v>
      </x:c>
      <x:c r="J9" s="34" t="n">
        <x:v>3218</x:v>
      </x:c>
      <x:c r="K9" s="34" t="n">
        <x:v>1743</x:v>
      </x:c>
      <x:c r="L9" s="36" t="n">
        <x:v>0.74315687</x:v>
      </x:c>
      <x:c r="M9" s="36" t="n">
        <x:v>0.541640771</x:v>
      </x:c>
      <x:c r="N9" t="str">
        <x:v>Synthese Soldes Créditeurs Q2 2026.xlsx | 'Germany'!G27:G40</x:v>
      </x:c>
    </x:row>
    <x:row r="10">
      <x:c r="A10" t="str">
        <x:v>Germany</x:v>
      </x:c>
      <x:c r="B10" t="str">
        <x:v>2026-03</x:v>
      </x:c>
      <x:c r="C10" t="str">
        <x:v>EUR</x:v>
      </x:c>
      <x:c r="D10" s="34" t="n">
        <x:v>802185.730000001</x:v>
      </x:c>
      <x:c r="E10" s="34" t="n">
        <x:v>615763.97</x:v>
      </x:c>
      <x:c r="F10" s="34" t="n">
        <x:v>602253.62</x:v>
      </x:c>
      <x:c r="G10" s="34" t="n">
        <x:v>13510.35</x:v>
      </x:c>
      <x:c r="H10" s="34" t="n">
        <x:v>0</x:v>
      </x:c>
      <x:c r="I10" s="34" t="n">
        <x:v>186421.76</x:v>
      </x:c>
      <x:c r="J10" s="34" t="n">
        <x:v>2706</x:v>
      </x:c>
      <x:c r="K10" s="34" t="n">
        <x:v>1539</x:v>
      </x:c>
      <x:c r="L10" s="36" t="n">
        <x:v>0.767607733</x:v>
      </x:c>
      <x:c r="M10" s="36" t="n">
        <x:v>0.568736142</x:v>
      </x:c>
      <x:c r="N10" t="str">
        <x:v>Synthese Soldes Créditeurs Q2 2026.xlsx | 'Germany'!F27:F40</x:v>
      </x:c>
    </x:row>
    <x:row r="11">
      <x:c r="A11" t="str">
        <x:v>Germany</x:v>
      </x:c>
      <x:c r="B11" t="str">
        <x:v>2026-04</x:v>
      </x:c>
      <x:c r="C11" t="str">
        <x:v>EUR</x:v>
      </x:c>
      <x:c r="D11" s="34" t="n">
        <x:v>713748.490000001</x:v>
      </x:c>
      <x:c r="E11" s="34" t="n">
        <x:v>458996.99</x:v>
      </x:c>
      <x:c r="F11" s="34" t="n">
        <x:v>443704.67</x:v>
      </x:c>
      <x:c r="G11" s="34" t="n">
        <x:v>15292.32</x:v>
      </x:c>
      <x:c r="H11" s="34" t="n">
        <x:v>0</x:v>
      </x:c>
      <x:c r="I11" s="34" t="n">
        <x:v>254751.500000001</x:v>
      </x:c>
      <x:c r="J11" s="34" t="n">
        <x:v>2575</x:v>
      </x:c>
      <x:c r="K11" s="34" t="n">
        <x:v>1016</x:v>
      </x:c>
      <x:c r="L11" s="36" t="n">
        <x:v>0.643079455</x:v>
      </x:c>
      <x:c r="M11" s="36" t="n">
        <x:v>0.394563107</x:v>
      </x:c>
      <x:c r="N11" t="str">
        <x:v>Synthese Soldes Créditeurs Q2 2026.xlsx | 'Germany'!E27:E40</x:v>
      </x:c>
    </x:row>
    <x:row r="12">
      <x:c r="A12" t="str">
        <x:v>Germany</x:v>
      </x:c>
      <x:c r="B12" t="str">
        <x:v>2026-05</x:v>
      </x:c>
      <x:c r="C12" t="str">
        <x:v>EUR</x:v>
      </x:c>
      <x:c r="D12" s="34" t="n">
        <x:v>734548.010000002</x:v>
      </x:c>
      <x:c r="E12" s="34" t="n">
        <x:v>447570.389999999</x:v>
      </x:c>
      <x:c r="F12" s="34" t="n">
        <x:v>335702.949999999</x:v>
      </x:c>
      <x:c r="G12" s="34" t="n">
        <x:v>111867.44</x:v>
      </x:c>
      <x:c r="H12" s="34" t="n">
        <x:v>0</x:v>
      </x:c>
      <x:c r="I12" s="34" t="n">
        <x:v>286977.620000003</x:v>
      </x:c>
      <x:c r="J12" s="34" t="n">
        <x:v>2619</x:v>
      </x:c>
      <x:c r="K12" s="34" t="n">
        <x:v>969</x:v>
      </x:c>
      <x:c r="L12" s="36" t="n">
        <x:v>0.609314005</x:v>
      </x:c>
      <x:c r="M12" s="36" t="n">
        <x:v>0.369988545</x:v>
      </x:c>
      <x:c r="N12" t="str">
        <x:v>Synthese Soldes Créditeurs Q2 2026.xlsx | 'Germany'!D27:D40</x:v>
      </x:c>
    </x:row>
    <x:row r="13">
      <x:c r="A13" t="str">
        <x:v>Germany</x:v>
      </x:c>
      <x:c r="B13" t="str">
        <x:v>2026-06</x:v>
      </x:c>
      <x:c r="C13" t="str">
        <x:v>EUR</x:v>
      </x:c>
      <x:c r="D13" s="34" t="n">
        <x:v>1140374.859999997</x:v>
      </x:c>
      <x:c r="E13" s="34" t="n">
        <x:v>308531.79</x:v>
      </x:c>
      <x:c r="F13" s="34" t="n">
        <x:v>213696.95</x:v>
      </x:c>
      <x:c r="G13" s="34" t="n">
        <x:v>94834.84</x:v>
      </x:c>
      <x:c r="H13" s="34" t="n">
        <x:v>0</x:v>
      </x:c>
      <x:c r="I13" s="34" t="n">
        <x:v>831843.069999997</x:v>
      </x:c>
      <x:c r="J13" s="34" t="n">
        <x:v>3615</x:v>
      </x:c>
      <x:c r="K13" s="34" t="n">
        <x:v>1164</x:v>
      </x:c>
      <x:c r="L13" s="36" t="n">
        <x:v>0.270552957</x:v>
      </x:c>
      <x:c r="M13" s="36" t="n">
        <x:v>0.321991701</x:v>
      </x:c>
      <x:c r="N13" t="str">
        <x:v>Synthese Soldes Créditeurs Q2 2026.xlsx | 'Germany'!C27:C40</x:v>
      </x:c>
    </x:row>
    <x:row r="14">
      <x:c r="A14" t="str">
        <x:v>Austria</x:v>
      </x:c>
      <x:c r="B14" t="str">
        <x:v>2026-01</x:v>
      </x:c>
      <x:c r="C14" t="str">
        <x:v>EUR</x:v>
      </x:c>
      <x:c r="D14" s="34" t="n">
        <x:v>4213.14</x:v>
      </x:c>
      <x:c r="E14" s="34" t="n">
        <x:v>3795.5</x:v>
      </x:c>
      <x:c r="F14" s="34" t="n">
        <x:v>3795.5</x:v>
      </x:c>
      <x:c r="G14" s="34" t="n">
        <x:v>0</x:v>
      </x:c>
      <x:c r="H14" s="34" t="n">
        <x:v>0</x:v>
      </x:c>
      <x:c r="I14" s="34" t="n">
        <x:v>417.64</x:v>
      </x:c>
      <x:c r="J14" s="34" t="n">
        <x:v>66</x:v>
      </x:c>
      <x:c r="K14" s="34" t="n">
        <x:v>51</x:v>
      </x:c>
      <x:c r="L14" s="36" t="n">
        <x:v>0.900872034</x:v>
      </x:c>
      <x:c r="M14" s="36" t="n">
        <x:v>0.772727273</x:v>
      </x:c>
      <x:c r="N14" t="str">
        <x:v>Synthese Soldes Créditeurs Q2 2026.xlsx | 'Austria'!H27:H40</x:v>
      </x:c>
    </x:row>
    <x:row r="15">
      <x:c r="A15" t="str">
        <x:v>Austria</x:v>
      </x:c>
      <x:c r="B15" t="str">
        <x:v>2026-02</x:v>
      </x:c>
      <x:c r="C15" t="str">
        <x:v>EUR</x:v>
      </x:c>
      <x:c r="D15" s="34" t="n">
        <x:v>6335.46</x:v>
      </x:c>
      <x:c r="E15" s="34" t="n">
        <x:v>4538.53</x:v>
      </x:c>
      <x:c r="F15" s="34" t="n">
        <x:v>4538.53</x:v>
      </x:c>
      <x:c r="G15" s="34" t="n">
        <x:v>0</x:v>
      </x:c>
      <x:c r="H15" s="34" t="n">
        <x:v>0</x:v>
      </x:c>
      <x:c r="I15" s="34" t="n">
        <x:v>1796.93</x:v>
      </x:c>
      <x:c r="J15" s="34" t="n">
        <x:v>67</x:v>
      </x:c>
      <x:c r="K15" s="34" t="n">
        <x:v>45</x:v>
      </x:c>
      <x:c r="L15" s="36" t="n">
        <x:v>0.716369451</x:v>
      </x:c>
      <x:c r="M15" s="36" t="n">
        <x:v>0.671641791</x:v>
      </x:c>
      <x:c r="N15" t="str">
        <x:v>Synthese Soldes Créditeurs Q2 2026.xlsx | 'Austria'!G27:G40</x:v>
      </x:c>
    </x:row>
    <x:row r="16">
      <x:c r="A16" t="str">
        <x:v>Austria</x:v>
      </x:c>
      <x:c r="B16" t="str">
        <x:v>2026-03</x:v>
      </x:c>
      <x:c r="C16" t="str">
        <x:v>EUR</x:v>
      </x:c>
      <x:c r="D16" s="34" t="n">
        <x:v>25273.23</x:v>
      </x:c>
      <x:c r="E16" s="34" t="n">
        <x:v>25273.23</x:v>
      </x:c>
      <x:c r="F16" s="34" t="n">
        <x:v>25273.23</x:v>
      </x:c>
      <x:c r="G16" s="34" t="n">
        <x:v>0</x:v>
      </x:c>
      <x:c r="H16" s="34" t="n">
        <x:v>0</x:v>
      </x:c>
      <x:c r="I16" s="34" t="n">
        <x:v>0</x:v>
      </x:c>
      <x:c r="J16" s="34" t="n">
        <x:v>32</x:v>
      </x:c>
      <x:c r="K16" s="34" t="n">
        <x:v>32</x:v>
      </x:c>
      <x:c r="L16" s="36" t="n">
        <x:v>1</x:v>
      </x:c>
      <x:c r="M16" s="36" t="n">
        <x:v>1</x:v>
      </x:c>
      <x:c r="N16" t="str">
        <x:v>Synthese Soldes Créditeurs Q2 2026.xlsx | 'Austria'!F27:F40</x:v>
      </x:c>
    </x:row>
    <x:row r="17">
      <x:c r="A17" t="str">
        <x:v>Austria</x:v>
      </x:c>
      <x:c r="B17" t="str">
        <x:v>2026-04</x:v>
      </x:c>
      <x:c r="C17" t="str">
        <x:v>EUR</x:v>
      </x:c>
      <x:c r="D17" s="34" t="n">
        <x:v>4747.02</x:v>
      </x:c>
      <x:c r="E17" s="34" t="n">
        <x:v>4747.02</x:v>
      </x:c>
      <x:c r="F17" s="34" t="n">
        <x:v>4747.02</x:v>
      </x:c>
      <x:c r="G17" s="34" t="n">
        <x:v>0</x:v>
      </x:c>
      <x:c r="H17" s="34" t="n">
        <x:v>0</x:v>
      </x:c>
      <x:c r="I17" s="34" t="n">
        <x:v>0</x:v>
      </x:c>
      <x:c r="J17" s="34" t="n">
        <x:v>42</x:v>
      </x:c>
      <x:c r="K17" s="34" t="n">
        <x:v>42</x:v>
      </x:c>
      <x:c r="L17" s="36" t="n">
        <x:v>1</x:v>
      </x:c>
      <x:c r="M17" s="36" t="n">
        <x:v>1</x:v>
      </x:c>
      <x:c r="N17" t="str">
        <x:v>Synthese Soldes Créditeurs Q2 2026.xlsx | 'Austria'!E27:E40</x:v>
      </x:c>
    </x:row>
    <x:row r="18">
      <x:c r="A18" t="str">
        <x:v>Austria</x:v>
      </x:c>
      <x:c r="B18" t="str">
        <x:v>2026-05</x:v>
      </x:c>
      <x:c r="C18" t="str">
        <x:v>EUR</x:v>
      </x:c>
      <x:c r="D18" s="34" t="n">
        <x:v>11020.09</x:v>
      </x:c>
      <x:c r="E18" s="34" t="n">
        <x:v>11005.86</x:v>
      </x:c>
      <x:c r="F18" s="34" t="n">
        <x:v>11005.86</x:v>
      </x:c>
      <x:c r="G18" s="34" t="n">
        <x:v>0</x:v>
      </x:c>
      <x:c r="H18" s="34" t="n">
        <x:v>0</x:v>
      </x:c>
      <x:c r="I18" s="34" t="n">
        <x:v>14.23</x:v>
      </x:c>
      <x:c r="J18" s="34" t="n">
        <x:v>30</x:v>
      </x:c>
      <x:c r="K18" s="34" t="n">
        <x:v>29</x:v>
      </x:c>
      <x:c r="L18" s="36" t="n">
        <x:v>0.998708722</x:v>
      </x:c>
      <x:c r="M18" s="36" t="n">
        <x:v>0.966666667</x:v>
      </x:c>
      <x:c r="N18" t="str">
        <x:v>Synthese Soldes Créditeurs Q2 2026.xlsx | 'Austria'!D27:D40</x:v>
      </x:c>
    </x:row>
    <x:row r="19">
      <x:c r="A19" t="str">
        <x:v>Austria</x:v>
      </x:c>
      <x:c r="B19" t="str">
        <x:v>2026-06</x:v>
      </x:c>
      <x:c r="C19" t="str">
        <x:v>EUR</x:v>
      </x:c>
      <x:c r="D19" s="34" t="n">
        <x:v>3156.52</x:v>
      </x:c>
      <x:c r="E19" s="34" t="n">
        <x:v>0</x:v>
      </x:c>
      <x:c r="F19" s="34" t="n">
        <x:v>0</x:v>
      </x:c>
      <x:c r="G19" s="34" t="n">
        <x:v>0</x:v>
      </x:c>
      <x:c r="H19" s="34" t="n">
        <x:v>0</x:v>
      </x:c>
      <x:c r="I19" s="34" t="n">
        <x:v>3156.52</x:v>
      </x:c>
      <x:c r="J19" s="34" t="n">
        <x:v>27</x:v>
      </x:c>
      <x:c r="K19" s="34" t="n">
        <x:v>0</x:v>
      </x:c>
      <x:c r="L19" s="36" t="n">
        <x:v>0</x:v>
      </x:c>
      <x:c r="M19" s="36" t="n">
        <x:v>0</x:v>
      </x:c>
      <x:c r="N19" t="str">
        <x:v>Synthese Soldes Créditeurs Q2 2026.xlsx | 'Austria'!C27:C40</x:v>
      </x:c>
    </x:row>
    <x:row r="20">
      <x:c r="A20" t="str">
        <x:v>Belgium</x:v>
      </x:c>
      <x:c r="B20" t="str">
        <x:v>2026-01</x:v>
      </x:c>
      <x:c r="C20" t="str">
        <x:v>EUR</x:v>
      </x:c>
      <x:c r="D20" s="34" t="n">
        <x:v>114219.87</x:v>
      </x:c>
      <x:c r="E20" s="34" t="n">
        <x:v>114219.87</x:v>
      </x:c>
      <x:c r="F20" s="34" t="n">
        <x:v>114219.87</x:v>
      </x:c>
      <x:c r="G20" s="34" t="n">
        <x:v>0</x:v>
      </x:c>
      <x:c r="H20" s="34" t="n">
        <x:v>0</x:v>
      </x:c>
      <x:c r="I20" s="34" t="n">
        <x:v>0</x:v>
      </x:c>
      <x:c r="J20" s="34" t="n">
        <x:v>183</x:v>
      </x:c>
      <x:c r="K20" s="34" t="n">
        <x:v>183</x:v>
      </x:c>
      <x:c r="L20" s="36" t="n">
        <x:v>1</x:v>
      </x:c>
      <x:c r="M20" s="36" t="n">
        <x:v>1</x:v>
      </x:c>
      <x:c r="N20" t="str">
        <x:v>Synthese Soldes Créditeurs Q2 2026.xlsx | 'Belgium'!H27:H40</x:v>
      </x:c>
    </x:row>
    <x:row r="21">
      <x:c r="A21" t="str">
        <x:v>Belgium</x:v>
      </x:c>
      <x:c r="B21" t="str">
        <x:v>2026-02</x:v>
      </x:c>
      <x:c r="C21" t="str">
        <x:v>EUR</x:v>
      </x:c>
      <x:c r="D21" s="34" t="n">
        <x:v>112478.19</x:v>
      </x:c>
      <x:c r="E21" s="34" t="n">
        <x:v>112467.91</x:v>
      </x:c>
      <x:c r="F21" s="34" t="n">
        <x:v>112467.91</x:v>
      </x:c>
      <x:c r="G21" s="34" t="n">
        <x:v>0</x:v>
      </x:c>
      <x:c r="H21" s="34" t="n">
        <x:v>0</x:v>
      </x:c>
      <x:c r="I21" s="34" t="n">
        <x:v>10.28</x:v>
      </x:c>
      <x:c r="J21" s="34" t="n">
        <x:v>239</x:v>
      </x:c>
      <x:c r="K21" s="34" t="n">
        <x:v>237</x:v>
      </x:c>
      <x:c r="L21" s="36" t="n">
        <x:v>0.999908605</x:v>
      </x:c>
      <x:c r="M21" s="36" t="n">
        <x:v>0.991631799</x:v>
      </x:c>
      <x:c r="N21" t="str">
        <x:v>Synthese Soldes Créditeurs Q2 2026.xlsx | 'Belgium'!G27:G40</x:v>
      </x:c>
    </x:row>
    <x:row r="22">
      <x:c r="A22" t="str">
        <x:v>Belgium</x:v>
      </x:c>
      <x:c r="B22" t="str">
        <x:v>2026-03</x:v>
      </x:c>
      <x:c r="C22" t="str">
        <x:v>EUR</x:v>
      </x:c>
      <x:c r="D22" s="34" t="n">
        <x:v>145235.76</x:v>
      </x:c>
      <x:c r="E22" s="34" t="n">
        <x:v>141358.76</x:v>
      </x:c>
      <x:c r="F22" s="34" t="n">
        <x:v>141358.76</x:v>
      </x:c>
      <x:c r="G22" s="34" t="n">
        <x:v>0</x:v>
      </x:c>
      <x:c r="H22" s="34" t="n">
        <x:v>0</x:v>
      </x:c>
      <x:c r="I22" s="34" t="n">
        <x:v>3877</x:v>
      </x:c>
      <x:c r="J22" s="34" t="n">
        <x:v>298</x:v>
      </x:c>
      <x:c r="K22" s="34" t="n">
        <x:v>296</x:v>
      </x:c>
      <x:c r="L22" s="36" t="n">
        <x:v>0.973305472</x:v>
      </x:c>
      <x:c r="M22" s="36" t="n">
        <x:v>0.993288591</x:v>
      </x:c>
      <x:c r="N22" t="str">
        <x:v>Synthese Soldes Créditeurs Q2 2026.xlsx | 'Belgium'!F27:F40</x:v>
      </x:c>
    </x:row>
    <x:row r="23">
      <x:c r="A23" t="str">
        <x:v>Belgium</x:v>
      </x:c>
      <x:c r="B23" t="str">
        <x:v>2026-04</x:v>
      </x:c>
      <x:c r="C23" t="str">
        <x:v>EUR</x:v>
      </x:c>
      <x:c r="D23" s="34" t="n">
        <x:v>105004.84</x:v>
      </x:c>
      <x:c r="E23" s="34" t="n">
        <x:v>105004.84</x:v>
      </x:c>
      <x:c r="F23" s="34" t="n">
        <x:v>105004.84</x:v>
      </x:c>
      <x:c r="G23" s="34" t="n">
        <x:v>0</x:v>
      </x:c>
      <x:c r="H23" s="34" t="n">
        <x:v>0</x:v>
      </x:c>
      <x:c r="I23" s="34" t="n">
        <x:v>0</x:v>
      </x:c>
      <x:c r="J23" s="34" t="n">
        <x:v>286</x:v>
      </x:c>
      <x:c r="K23" s="34" t="n">
        <x:v>286</x:v>
      </x:c>
      <x:c r="L23" s="36" t="n">
        <x:v>1</x:v>
      </x:c>
      <x:c r="M23" s="36" t="n">
        <x:v>1</x:v>
      </x:c>
      <x:c r="N23" t="str">
        <x:v>Synthese Soldes Créditeurs Q2 2026.xlsx | 'Belgium'!E27:E40</x:v>
      </x:c>
    </x:row>
    <x:row r="24">
      <x:c r="A24" t="str">
        <x:v>Belgium</x:v>
      </x:c>
      <x:c r="B24" t="str">
        <x:v>2026-05</x:v>
      </x:c>
      <x:c r="C24" t="str">
        <x:v>EUR</x:v>
      </x:c>
      <x:c r="D24" s="34" t="n">
        <x:v>68163.69</x:v>
      </x:c>
      <x:c r="E24" s="34" t="n">
        <x:v>64231.56</x:v>
      </x:c>
      <x:c r="F24" s="34" t="n">
        <x:v>64231.56</x:v>
      </x:c>
      <x:c r="G24" s="34" t="n">
        <x:v>0</x:v>
      </x:c>
      <x:c r="H24" s="34" t="n">
        <x:v>0</x:v>
      </x:c>
      <x:c r="I24" s="34" t="n">
        <x:v>3932.13</x:v>
      </x:c>
      <x:c r="J24" s="34" t="n">
        <x:v>174</x:v>
      </x:c>
      <x:c r="K24" s="34" t="n">
        <x:v>154</x:v>
      </x:c>
      <x:c r="L24" s="36" t="n">
        <x:v>0.942313422</x:v>
      </x:c>
      <x:c r="M24" s="36" t="n">
        <x:v>0.885057471</x:v>
      </x:c>
      <x:c r="N24" t="str">
        <x:v>Synthese Soldes Créditeurs Q2 2026.xlsx | 'Belgium'!D27:D40</x:v>
      </x:c>
    </x:row>
    <x:row r="25">
      <x:c r="A25" t="str">
        <x:v>Belgium</x:v>
      </x:c>
      <x:c r="B25" t="str">
        <x:v>2026-06</x:v>
      </x:c>
      <x:c r="C25" t="str">
        <x:v>EUR</x:v>
      </x:c>
      <x:c r="D25" s="34" t="n">
        <x:v>104341.09</x:v>
      </x:c>
      <x:c r="E25" s="34" t="n">
        <x:v>0</x:v>
      </x:c>
      <x:c r="F25" s="34" t="n">
        <x:v>0</x:v>
      </x:c>
      <x:c r="G25" s="34" t="n">
        <x:v>0</x:v>
      </x:c>
      <x:c r="H25" s="34" t="n">
        <x:v>0</x:v>
      </x:c>
      <x:c r="I25" s="34" t="n">
        <x:v>104341.09</x:v>
      </x:c>
      <x:c r="J25" s="34" t="n">
        <x:v>211</x:v>
      </x:c>
      <x:c r="K25" s="34" t="n">
        <x:v>0</x:v>
      </x:c>
      <x:c r="L25" s="36" t="n">
        <x:v>0</x:v>
      </x:c>
      <x:c r="M25" s="36" t="n">
        <x:v>0</x:v>
      </x:c>
      <x:c r="N25" t="str">
        <x:v>Synthese Soldes Créditeurs Q2 2026.xlsx | 'Belgium'!C27:C40</x:v>
      </x:c>
    </x:row>
    <x:row r="26">
      <x:c r="A26" t="str">
        <x:v>Italy</x:v>
      </x:c>
      <x:c r="B26" t="str">
        <x:v>2026-01</x:v>
      </x:c>
      <x:c r="C26" t="str">
        <x:v>EUR</x:v>
      </x:c>
      <x:c r="D26" s="34" t="n">
        <x:v>946898.07</x:v>
      </x:c>
      <x:c r="E26" s="34" t="n">
        <x:v>932106.09</x:v>
      </x:c>
      <x:c r="F26" s="34" t="n">
        <x:v>899397.79</x:v>
      </x:c>
      <x:c r="G26" s="34" t="n">
        <x:v>0</x:v>
      </x:c>
      <x:c r="H26" s="34" t="n">
        <x:v>32708.3</x:v>
      </x:c>
      <x:c r="I26" s="34" t="n">
        <x:v>14791.98</x:v>
      </x:c>
      <x:c r="J26" s="34" t="n">
        <x:v>4388</x:v>
      </x:c>
      <x:c r="K26" s="34" t="n">
        <x:v>4162</x:v>
      </x:c>
      <x:c r="L26" s="36" t="n">
        <x:v>0.984378488</x:v>
      </x:c>
      <x:c r="M26" s="36" t="n">
        <x:v>0.948495898</x:v>
      </x:c>
      <x:c r="N26" t="str">
        <x:v>Synthese Soldes Créditeurs Q2 2026.xlsx | 'Italy'!H27:H40</x:v>
      </x:c>
    </x:row>
    <x:row r="27">
      <x:c r="A27" t="str">
        <x:v>Italy</x:v>
      </x:c>
      <x:c r="B27" t="str">
        <x:v>2026-02</x:v>
      </x:c>
      <x:c r="C27" t="str">
        <x:v>EUR</x:v>
      </x:c>
      <x:c r="D27" s="34" t="n">
        <x:v>951551.94</x:v>
      </x:c>
      <x:c r="E27" s="34" t="n">
        <x:v>934237.24</x:v>
      </x:c>
      <x:c r="F27" s="34" t="n">
        <x:v>908740.9</x:v>
      </x:c>
      <x:c r="G27" s="34" t="n">
        <x:v>0</x:v>
      </x:c>
      <x:c r="H27" s="34" t="n">
        <x:v>25496.34</x:v>
      </x:c>
      <x:c r="I27" s="34" t="n">
        <x:v>17314.7</x:v>
      </x:c>
      <x:c r="J27" s="34" t="n">
        <x:v>4231</x:v>
      </x:c>
      <x:c r="K27" s="34" t="n">
        <x:v>3816</x:v>
      </x:c>
      <x:c r="L27" s="36" t="n">
        <x:v>0.981803726</x:v>
      </x:c>
      <x:c r="M27" s="36" t="n">
        <x:v>0.901914441</x:v>
      </x:c>
      <x:c r="N27" t="str">
        <x:v>Synthese Soldes Créditeurs Q2 2026.xlsx | 'Italy'!G27:G40</x:v>
      </x:c>
    </x:row>
    <x:row r="28">
      <x:c r="A28" t="str">
        <x:v>Italy</x:v>
      </x:c>
      <x:c r="B28" t="str">
        <x:v>2026-03</x:v>
      </x:c>
      <x:c r="C28" t="str">
        <x:v>EUR</x:v>
      </x:c>
      <x:c r="D28" s="34" t="n">
        <x:v>1177760.63</x:v>
      </x:c>
      <x:c r="E28" s="34" t="n">
        <x:v>1157024.74</x:v>
      </x:c>
      <x:c r="F28" s="34" t="n">
        <x:v>1127452.76</x:v>
      </x:c>
      <x:c r="G28" s="34" t="n">
        <x:v>0</x:v>
      </x:c>
      <x:c r="H28" s="34" t="n">
        <x:v>29571.98</x:v>
      </x:c>
      <x:c r="I28" s="34" t="n">
        <x:v>20735.89</x:v>
      </x:c>
      <x:c r="J28" s="34" t="n">
        <x:v>4606</x:v>
      </x:c>
      <x:c r="K28" s="34" t="n">
        <x:v>4303</x:v>
      </x:c>
      <x:c r="L28" s="36" t="n">
        <x:v>0.982393799</x:v>
      </x:c>
      <x:c r="M28" s="36" t="n">
        <x:v>0.93421624</x:v>
      </x:c>
      <x:c r="N28" t="str">
        <x:v>Synthese Soldes Créditeurs Q2 2026.xlsx | 'Italy'!F27:F40</x:v>
      </x:c>
    </x:row>
    <x:row r="29">
      <x:c r="A29" t="str">
        <x:v>Italy</x:v>
      </x:c>
      <x:c r="B29" t="str">
        <x:v>2026-04</x:v>
      </x:c>
      <x:c r="C29" t="str">
        <x:v>EUR</x:v>
      </x:c>
      <x:c r="D29" s="34" t="n">
        <x:v>1199203.76</x:v>
      </x:c>
      <x:c r="E29" s="34" t="n">
        <x:v>1160766.91</x:v>
      </x:c>
      <x:c r="F29" s="34" t="n">
        <x:v>1134296.39</x:v>
      </x:c>
      <x:c r="G29" s="34" t="n">
        <x:v>0</x:v>
      </x:c>
      <x:c r="H29" s="34" t="n">
        <x:v>26470.52</x:v>
      </x:c>
      <x:c r="I29" s="34" t="n">
        <x:v>38436.85</x:v>
      </x:c>
      <x:c r="J29" s="34" t="n">
        <x:v>4749</x:v>
      </x:c>
      <x:c r="K29" s="34" t="n">
        <x:v>4424</x:v>
      </x:c>
      <x:c r="L29" s="36" t="n">
        <x:v>0.967948024</x:v>
      </x:c>
      <x:c r="M29" s="36" t="n">
        <x:v>0.93156454</x:v>
      </x:c>
      <x:c r="N29" t="str">
        <x:v>Synthese Soldes Créditeurs Q2 2026.xlsx | 'Italy'!E27:E40</x:v>
      </x:c>
    </x:row>
    <x:row r="30">
      <x:c r="A30" t="str">
        <x:v>Italy</x:v>
      </x:c>
      <x:c r="B30" t="str">
        <x:v>2026-05</x:v>
      </x:c>
      <x:c r="C30" t="str">
        <x:v>EUR</x:v>
      </x:c>
      <x:c r="D30" s="34" t="n">
        <x:v>1425617.1</x:v>
      </x:c>
      <x:c r="E30" s="34" t="n">
        <x:v>1327354.5</x:v>
      </x:c>
      <x:c r="F30" s="34" t="n">
        <x:v>1245540.66</x:v>
      </x:c>
      <x:c r="G30" s="34" t="n">
        <x:v>0</x:v>
      </x:c>
      <x:c r="H30" s="34" t="n">
        <x:v>81813.84</x:v>
      </x:c>
      <x:c r="I30" s="34" t="n">
        <x:v>98262.6</x:v>
      </x:c>
      <x:c r="J30" s="34" t="n">
        <x:v>5501</x:v>
      </x:c>
      <x:c r="K30" s="34" t="n">
        <x:v>4888</x:v>
      </x:c>
      <x:c r="L30" s="36" t="n">
        <x:v>0.931073638</x:v>
      </x:c>
      <x:c r="M30" s="36" t="n">
        <x:v>0.888565715</x:v>
      </x:c>
      <x:c r="N30" t="str">
        <x:v>Synthese Soldes Créditeurs Q2 2026.xlsx | 'Italy'!D27:D40</x:v>
      </x:c>
    </x:row>
    <x:row r="31">
      <x:c r="A31" t="str">
        <x:v>Italy</x:v>
      </x:c>
      <x:c r="B31" t="str">
        <x:v>2026-06</x:v>
      </x:c>
      <x:c r="C31" t="str">
        <x:v>EUR</x:v>
      </x:c>
      <x:c r="D31" s="34" t="n">
        <x:v>977488.48</x:v>
      </x:c>
      <x:c r="E31" s="34" t="n">
        <x:v>516771.89</x:v>
      </x:c>
      <x:c r="F31" s="34" t="n">
        <x:v>448642.78</x:v>
      </x:c>
      <x:c r="G31" s="34" t="n">
        <x:v>0</x:v>
      </x:c>
      <x:c r="H31" s="34" t="n">
        <x:v>68129.11</x:v>
      </x:c>
      <x:c r="I31" s="34" t="n">
        <x:v>460716.59</x:v>
      </x:c>
      <x:c r="J31" s="34" t="n">
        <x:v>4259</x:v>
      </x:c>
      <x:c r="K31" s="34" t="n">
        <x:v>2107</x:v>
      </x:c>
      <x:c r="L31" s="36" t="n">
        <x:v>0.528673126</x:v>
      </x:c>
      <x:c r="M31" s="36" t="n">
        <x:v>0.49471707</x:v>
      </x:c>
      <x:c r="N31" t="str">
        <x:v>Synthese Soldes Créditeurs Q2 2026.xlsx | 'Italy'!C27:C40</x:v>
      </x:c>
    </x:row>
    <x:row r="32">
      <x:c r="A32" t="str">
        <x:v>Portugal</x:v>
      </x:c>
      <x:c r="B32" t="str">
        <x:v>2026-01</x:v>
      </x:c>
      <x:c r="C32" t="str">
        <x:v>EUR</x:v>
      </x:c>
      <x:c r="D32" s="34" t="n">
        <x:v>4070537.609999976</x:v>
      </x:c>
      <x:c r="E32" s="34" t="n">
        <x:v>4034529.690000007</x:v>
      </x:c>
      <x:c r="F32" s="34" t="n">
        <x:v>2338145.090000002</x:v>
      </x:c>
      <x:c r="G32" s="34" t="n">
        <x:v>1696384.600000005</x:v>
      </x:c>
      <x:c r="H32" s="34" t="n">
        <x:v>0</x:v>
      </x:c>
      <x:c r="I32" s="34" t="n">
        <x:v>36007.919999969</x:v>
      </x:c>
      <x:c r="J32" s="34" t="n">
        <x:v>3402</x:v>
      </x:c>
      <x:c r="K32" s="34" t="n">
        <x:v>2068</x:v>
      </x:c>
      <x:c r="L32" s="36" t="n">
        <x:v>0.991154014</x:v>
      </x:c>
      <x:c r="M32" s="36" t="n">
        <x:v>0.607877719</x:v>
      </x:c>
      <x:c r="N32" t="str">
        <x:v>Synthese Soldes Créditeurs Q2 2026.xlsx | 'Portugal'!H27:H40</x:v>
      </x:c>
    </x:row>
    <x:row r="33">
      <x:c r="A33" t="str">
        <x:v>Portugal</x:v>
      </x:c>
      <x:c r="B33" t="str">
        <x:v>2026-02</x:v>
      </x:c>
      <x:c r="C33" t="str">
        <x:v>EUR</x:v>
      </x:c>
      <x:c r="D33" s="34" t="n">
        <x:v>3652684.58999998</x:v>
      </x:c>
      <x:c r="E33" s="34" t="n">
        <x:v>3620218.88</x:v>
      </x:c>
      <x:c r="F33" s="34" t="n">
        <x:v>1983730.93</x:v>
      </x:c>
      <x:c r="G33" s="34" t="n">
        <x:v>1636487.95</x:v>
      </x:c>
      <x:c r="H33" s="34" t="n">
        <x:v>0</x:v>
      </x:c>
      <x:c r="I33" s="34" t="n">
        <x:v>32465.70999998</x:v>
      </x:c>
      <x:c r="J33" s="34" t="n">
        <x:v>3364</x:v>
      </x:c>
      <x:c r="K33" s="34" t="n">
        <x:v>2046</x:v>
      </x:c>
      <x:c r="L33" s="36" t="n">
        <x:v>0.991111822</x:v>
      </x:c>
      <x:c r="M33" s="36" t="n">
        <x:v>0.608204518</x:v>
      </x:c>
      <x:c r="N33" t="str">
        <x:v>Synthese Soldes Créditeurs Q2 2026.xlsx | 'Portugal'!G27:G40</x:v>
      </x:c>
    </x:row>
    <x:row r="34">
      <x:c r="A34" t="str">
        <x:v>Portugal</x:v>
      </x:c>
      <x:c r="B34" t="str">
        <x:v>2026-03</x:v>
      </x:c>
      <x:c r="C34" t="str">
        <x:v>EUR</x:v>
      </x:c>
      <x:c r="D34" s="34" t="n">
        <x:v>2538191.239999969</x:v>
      </x:c>
      <x:c r="E34" s="34" t="n">
        <x:v>2495861.200000006</x:v>
      </x:c>
      <x:c r="F34" s="34" t="n">
        <x:v>410520.24</x:v>
      </x:c>
      <x:c r="G34" s="34" t="n">
        <x:v>2085340.960000006</x:v>
      </x:c>
      <x:c r="H34" s="34" t="n">
        <x:v>0</x:v>
      </x:c>
      <x:c r="I34" s="34" t="n">
        <x:v>42330.039999963</x:v>
      </x:c>
      <x:c r="J34" s="34" t="n">
        <x:v>3026</x:v>
      </x:c>
      <x:c r="K34" s="34" t="n">
        <x:v>1502</x:v>
      </x:c>
      <x:c r="L34" s="36" t="n">
        <x:v>0.983322754</x:v>
      </x:c>
      <x:c r="M34" s="36" t="n">
        <x:v>0.496364838</x:v>
      </x:c>
      <x:c r="N34" t="str">
        <x:v>Synthese Soldes Créditeurs Q2 2026.xlsx | 'Portugal'!F27:F40</x:v>
      </x:c>
    </x:row>
    <x:row r="35">
      <x:c r="A35" t="str">
        <x:v>Portugal</x:v>
      </x:c>
      <x:c r="B35" t="str">
        <x:v>2026-04</x:v>
      </x:c>
      <x:c r="C35" t="str">
        <x:v>EUR</x:v>
      </x:c>
      <x:c r="D35" s="34" t="n">
        <x:v>1651173.829999999</x:v>
      </x:c>
      <x:c r="E35" s="34" t="n">
        <x:v>1576930.820000001</x:v>
      </x:c>
      <x:c r="F35" s="34" t="n">
        <x:v>100199.31</x:v>
      </x:c>
      <x:c r="G35" s="34" t="n">
        <x:v>1476519.110000001</x:v>
      </x:c>
      <x:c r="H35" s="34" t="n">
        <x:v>212.4</x:v>
      </x:c>
      <x:c r="I35" s="34" t="n">
        <x:v>74243.009999998</x:v>
      </x:c>
      <x:c r="J35" s="34" t="n">
        <x:v>3072</x:v>
      </x:c>
      <x:c r="K35" s="34" t="n">
        <x:v>1655</x:v>
      </x:c>
      <x:c r="L35" s="36" t="n">
        <x:v>0.955036224</x:v>
      </x:c>
      <x:c r="M35" s="36" t="n">
        <x:v>0.538736979</x:v>
      </x:c>
      <x:c r="N35" t="str">
        <x:v>Synthese Soldes Créditeurs Q2 2026.xlsx | 'Portugal'!E27:E40</x:v>
      </x:c>
    </x:row>
    <x:row r="36">
      <x:c r="A36" t="str">
        <x:v>Portugal</x:v>
      </x:c>
      <x:c r="B36" t="str">
        <x:v>2026-05</x:v>
      </x:c>
      <x:c r="C36" t="str">
        <x:v>EUR</x:v>
      </x:c>
      <x:c r="D36" s="34" t="n">
        <x:v>1240718.409999998</x:v>
      </x:c>
      <x:c r="E36" s="34" t="n">
        <x:v>1166565.18</x:v>
      </x:c>
      <x:c r="F36" s="34" t="n">
        <x:v>60313.64</x:v>
      </x:c>
      <x:c r="G36" s="34" t="n">
        <x:v>1106251.54</x:v>
      </x:c>
      <x:c r="H36" s="34" t="n">
        <x:v>0</x:v>
      </x:c>
      <x:c r="I36" s="34" t="n">
        <x:v>74153.229999998</x:v>
      </x:c>
      <x:c r="J36" s="34" t="n">
        <x:v>2893</x:v>
      </x:c>
      <x:c r="K36" s="34" t="n">
        <x:v>1047</x:v>
      </x:c>
      <x:c r="L36" s="36" t="n">
        <x:v>0.940233634</x:v>
      </x:c>
      <x:c r="M36" s="36" t="n">
        <x:v>0.361908054</x:v>
      </x:c>
      <x:c r="N36" t="str">
        <x:v>Synthese Soldes Créditeurs Q2 2026.xlsx | 'Portugal'!D27:D40</x:v>
      </x:c>
    </x:row>
    <x:row r="37">
      <x:c r="A37" t="str">
        <x:v>Portugal</x:v>
      </x:c>
      <x:c r="B37" t="str">
        <x:v>2026-06</x:v>
      </x:c>
      <x:c r="C37" t="str">
        <x:v>EUR</x:v>
      </x:c>
      <x:c r="D37" s="34" t="n">
        <x:v>1121255.28</x:v>
      </x:c>
      <x:c r="E37" s="34" t="n">
        <x:v>903050.9</x:v>
      </x:c>
      <x:c r="F37" s="34" t="n">
        <x:v>13985.04</x:v>
      </x:c>
      <x:c r="G37" s="34" t="n">
        <x:v>889065.86</x:v>
      </x:c>
      <x:c r="H37" s="34" t="n">
        <x:v>0</x:v>
      </x:c>
      <x:c r="I37" s="34" t="n">
        <x:v>218204.380000001</x:v>
      </x:c>
      <x:c r="J37" s="34" t="n">
        <x:v>4456</x:v>
      </x:c>
      <x:c r="K37" s="34" t="n">
        <x:v>558</x:v>
      </x:c>
      <x:c r="L37" s="36" t="n">
        <x:v>0.805392774</x:v>
      </x:c>
      <x:c r="M37" s="36" t="n">
        <x:v>0.125224417</x:v>
      </x:c>
      <x:c r="N37" t="str">
        <x:v>Synthese Soldes Créditeurs Q2 2026.xlsx | 'Portugal'!C27:C40</x:v>
      </x:c>
    </x:row>
    <x:row r="38">
      <x:c r="A38" t="str">
        <x:v>France</x:v>
      </x:c>
      <x:c r="B38" t="str">
        <x:v>2026-01</x:v>
      </x:c>
      <x:c r="C38" t="str">
        <x:v>EUR</x:v>
      </x:c>
      <x:c r="D38" s="34" t="n">
        <x:v>1413554.030000012</x:v>
      </x:c>
      <x:c r="E38" s="34" t="n">
        <x:v>1382080.910000011</x:v>
      </x:c>
      <x:c r="F38" s="34" t="n">
        <x:v>1382080.910000011</x:v>
      </x:c>
      <x:c r="G38" s="34" t="n">
        <x:v>0</x:v>
      </x:c>
      <x:c r="H38" s="34" t="n">
        <x:v>0</x:v>
      </x:c>
      <x:c r="I38" s="34" t="n">
        <x:v>31473.120000001</x:v>
      </x:c>
      <x:c r="J38" s="34" t="n">
        <x:v>7446</x:v>
      </x:c>
      <x:c r="K38" s="34" t="n">
        <x:v>7002</x:v>
      </x:c>
      <x:c r="L38" s="36" t="n">
        <x:v>0.97773476</x:v>
      </x:c>
      <x:c r="M38" s="36" t="n">
        <x:v>0.940370669</x:v>
      </x:c>
      <x:c r="N38" t="str">
        <x:v>Synthese Soldes Créditeurs Q2 2026.xlsx | 'PFF'!H27:H40</x:v>
      </x:c>
    </x:row>
    <x:row r="39">
      <x:c r="A39" t="str">
        <x:v>France</x:v>
      </x:c>
      <x:c r="B39" t="str">
        <x:v>2026-02</x:v>
      </x:c>
      <x:c r="C39" t="str">
        <x:v>EUR</x:v>
      </x:c>
      <x:c r="D39" s="34" t="n">
        <x:v>1770440.230000008</x:v>
      </x:c>
      <x:c r="E39" s="34" t="n">
        <x:v>1729340.33000001</x:v>
      </x:c>
      <x:c r="F39" s="34" t="n">
        <x:v>1729340.33000001</x:v>
      </x:c>
      <x:c r="G39" s="34" t="n">
        <x:v>0</x:v>
      </x:c>
      <x:c r="H39" s="34" t="n">
        <x:v>0</x:v>
      </x:c>
      <x:c r="I39" s="34" t="n">
        <x:v>41099.899999998</x:v>
      </x:c>
      <x:c r="J39" s="34" t="n">
        <x:v>7932</x:v>
      </x:c>
      <x:c r="K39" s="34" t="n">
        <x:v>7680</x:v>
      </x:c>
      <x:c r="L39" s="36" t="n">
        <x:v>0.976785491</x:v>
      </x:c>
      <x:c r="M39" s="36" t="n">
        <x:v>0.968229955</x:v>
      </x:c>
      <x:c r="N39" t="str">
        <x:v>Synthese Soldes Créditeurs Q2 2026.xlsx | 'PFF'!G27:G40</x:v>
      </x:c>
    </x:row>
    <x:row r="40">
      <x:c r="A40" t="str">
        <x:v>France</x:v>
      </x:c>
      <x:c r="B40" t="str">
        <x:v>2026-03</x:v>
      </x:c>
      <x:c r="C40" t="str">
        <x:v>EUR</x:v>
      </x:c>
      <x:c r="D40" s="34" t="n">
        <x:v>2064608.860000003</x:v>
      </x:c>
      <x:c r="E40" s="34" t="n">
        <x:v>1852618.710000002</x:v>
      </x:c>
      <x:c r="F40" s="34" t="n">
        <x:v>1852618.710000002</x:v>
      </x:c>
      <x:c r="G40" s="34" t="n">
        <x:v>0</x:v>
      </x:c>
      <x:c r="H40" s="34" t="n">
        <x:v>0</x:v>
      </x:c>
      <x:c r="I40" s="34" t="n">
        <x:v>211990.150000001</x:v>
      </x:c>
      <x:c r="J40" s="34" t="n">
        <x:v>8190</x:v>
      </x:c>
      <x:c r="K40" s="34" t="n">
        <x:v>7746</x:v>
      </x:c>
      <x:c r="L40" s="36" t="n">
        <x:v>0.897321883</x:v>
      </x:c>
      <x:c r="M40" s="36" t="n">
        <x:v>0.945787546</x:v>
      </x:c>
      <x:c r="N40" t="str">
        <x:v>Synthese Soldes Créditeurs Q2 2026.xlsx | 'PFF'!F27:F40</x:v>
      </x:c>
    </x:row>
    <x:row r="41">
      <x:c r="A41" t="str">
        <x:v>France</x:v>
      </x:c>
      <x:c r="B41" t="str">
        <x:v>2026-04</x:v>
      </x:c>
      <x:c r="C41" t="str">
        <x:v>EUR</x:v>
      </x:c>
      <x:c r="D41" s="34" t="n">
        <x:v>1903277.350000004</x:v>
      </x:c>
      <x:c r="E41" s="34" t="n">
        <x:v>1533214.170000003</x:v>
      </x:c>
      <x:c r="F41" s="34" t="n">
        <x:v>1533214.170000003</x:v>
      </x:c>
      <x:c r="G41" s="34" t="n">
        <x:v>0</x:v>
      </x:c>
      <x:c r="H41" s="34" t="n">
        <x:v>0</x:v>
      </x:c>
      <x:c r="I41" s="34" t="n">
        <x:v>370063.180000001</x:v>
      </x:c>
      <x:c r="J41" s="34" t="n">
        <x:v>7983</x:v>
      </x:c>
      <x:c r="K41" s="34" t="n">
        <x:v>6488</x:v>
      </x:c>
      <x:c r="L41" s="36" t="n">
        <x:v>0.80556529</x:v>
      </x:c>
      <x:c r="M41" s="36" t="n">
        <x:v>0.812727045</x:v>
      </x:c>
      <x:c r="N41" t="str">
        <x:v>Synthese Soldes Créditeurs Q2 2026.xlsx | 'PFF'!E27:E40</x:v>
      </x:c>
    </x:row>
    <x:row r="42">
      <x:c r="A42" t="str">
        <x:v>France</x:v>
      </x:c>
      <x:c r="B42" t="str">
        <x:v>2026-05</x:v>
      </x:c>
      <x:c r="C42" t="str">
        <x:v>EUR</x:v>
      </x:c>
      <x:c r="D42" s="34" t="n">
        <x:v>1439561.330000007</x:v>
      </x:c>
      <x:c r="E42" s="34" t="n">
        <x:v>716410.83</x:v>
      </x:c>
      <x:c r="F42" s="34" t="n">
        <x:v>716410.83</x:v>
      </x:c>
      <x:c r="G42" s="34" t="n">
        <x:v>0</x:v>
      </x:c>
      <x:c r="H42" s="34" t="n">
        <x:v>0</x:v>
      </x:c>
      <x:c r="I42" s="34" t="n">
        <x:v>723150.500000006</x:v>
      </x:c>
      <x:c r="J42" s="34" t="n">
        <x:v>7063</x:v>
      </x:c>
      <x:c r="K42" s="34" t="n">
        <x:v>2110</x:v>
      </x:c>
      <x:c r="L42" s="36" t="n">
        <x:v>0.497659124</x:v>
      </x:c>
      <x:c r="M42" s="36" t="n">
        <x:v>0.298739912</x:v>
      </x:c>
      <x:c r="N42" t="str">
        <x:v>Synthese Soldes Créditeurs Q2 2026.xlsx | 'PFF'!D27:D40</x:v>
      </x:c>
    </x:row>
    <x:row r="43">
      <x:c r="A43" t="str">
        <x:v>France</x:v>
      </x:c>
      <x:c r="B43" t="str">
        <x:v>2026-06</x:v>
      </x:c>
      <x:c r="C43" t="str">
        <x:v>EUR</x:v>
      </x:c>
      <x:c r="D43" s="34" t="n">
        <x:v>1584909.759999996</x:v>
      </x:c>
      <x:c r="E43" s="34" t="n">
        <x:v>30181.39</x:v>
      </x:c>
      <x:c r="F43" s="34" t="n">
        <x:v>30181.39</x:v>
      </x:c>
      <x:c r="G43" s="34" t="n">
        <x:v>0</x:v>
      </x:c>
      <x:c r="H43" s="34" t="n">
        <x:v>0</x:v>
      </x:c>
      <x:c r="I43" s="34" t="n">
        <x:v>1554728.369999996</x:v>
      </x:c>
      <x:c r="J43" s="34" t="n">
        <x:v>5952</x:v>
      </x:c>
      <x:c r="K43" s="34" t="n">
        <x:v>115</x:v>
      </x:c>
      <x:c r="L43" s="36" t="n">
        <x:v>0.019042971</x:v>
      </x:c>
      <x:c r="M43" s="36" t="n">
        <x:v>0.019321237</x:v>
      </x:c>
      <x:c r="N43" t="str">
        <x:v>Synthese Soldes Créditeurs Q2 2026.xlsx | 'PFF'!C27:C40</x:v>
      </x:c>
    </x:row>
    <x:row r="44">
      <x:c r="A44" t="str">
        <x:v>UK</x:v>
      </x:c>
      <x:c r="B44" t="str">
        <x:v>2026-01</x:v>
      </x:c>
      <x:c r="C44" t="str">
        <x:v>GBP</x:v>
      </x:c>
      <x:c r="D44" s="34" t="n">
        <x:v>120716.27</x:v>
      </x:c>
      <x:c r="E44" s="34" t="n">
        <x:v>81266.4</x:v>
      </x:c>
      <x:c r="F44" s="34" t="n">
        <x:v>74534.47</x:v>
      </x:c>
      <x:c r="G44" s="34" t="n">
        <x:v>4944.85</x:v>
      </x:c>
      <x:c r="H44" s="34" t="n">
        <x:v>1787.08</x:v>
      </x:c>
      <x:c r="I44" s="34" t="n">
        <x:v>39449.87</x:v>
      </x:c>
      <x:c r="J44" s="34" t="n">
        <x:v>6628</x:v>
      </x:c>
      <x:c r="K44" s="34" t="n">
        <x:v>1997</x:v>
      </x:c>
      <x:c r="L44" s="36" t="n">
        <x:v>0.673201715</x:v>
      </x:c>
      <x:c r="M44" s="36" t="n">
        <x:v>0.301297526</x:v>
      </x:c>
      <x:c r="N44" t="str">
        <x:v>Synthese Soldes Créditeurs Q2 2026.xlsx | 'UK'!H27:H40</x:v>
      </x:c>
    </x:row>
    <x:row r="45">
      <x:c r="A45" t="str">
        <x:v>UK</x:v>
      </x:c>
      <x:c r="B45" t="str">
        <x:v>2026-02</x:v>
      </x:c>
      <x:c r="C45" t="str">
        <x:v>GBP</x:v>
      </x:c>
      <x:c r="D45" s="34" t="n">
        <x:v>163583.76</x:v>
      </x:c>
      <x:c r="E45" s="34" t="n">
        <x:v>117960.38</x:v>
      </x:c>
      <x:c r="F45" s="34" t="n">
        <x:v>110208.05</x:v>
      </x:c>
      <x:c r="G45" s="34" t="n">
        <x:v>3156.1</x:v>
      </x:c>
      <x:c r="H45" s="34" t="n">
        <x:v>4596.23</x:v>
      </x:c>
      <x:c r="I45" s="34" t="n">
        <x:v>45623.38</x:v>
      </x:c>
      <x:c r="J45" s="34" t="n">
        <x:v>2794</x:v>
      </x:c>
      <x:c r="K45" s="34" t="n">
        <x:v>1671</x:v>
      </x:c>
      <x:c r="L45" s="36" t="n">
        <x:v>0.721100799</x:v>
      </x:c>
      <x:c r="M45" s="36" t="n">
        <x:v>0.598067287</x:v>
      </x:c>
      <x:c r="N45" t="str">
        <x:v>Synthese Soldes Créditeurs Q2 2026.xlsx | 'UK'!G27:G40</x:v>
      </x:c>
    </x:row>
    <x:row r="46">
      <x:c r="A46" t="str">
        <x:v>UK</x:v>
      </x:c>
      <x:c r="B46" t="str">
        <x:v>2026-03</x:v>
      </x:c>
      <x:c r="C46" t="str">
        <x:v>GBP</x:v>
      </x:c>
      <x:c r="D46" s="34" t="n">
        <x:v>322086.969999999</x:v>
      </x:c>
      <x:c r="E46" s="34" t="n">
        <x:v>215359.85</x:v>
      </x:c>
      <x:c r="F46" s="34" t="n">
        <x:v>198327.92</x:v>
      </x:c>
      <x:c r="G46" s="34" t="n">
        <x:v>7481.06</x:v>
      </x:c>
      <x:c r="H46" s="34" t="n">
        <x:v>9550.87</x:v>
      </x:c>
      <x:c r="I46" s="34" t="n">
        <x:v>106727.119999999</x:v>
      </x:c>
      <x:c r="J46" s="34" t="n">
        <x:v>4508</x:v>
      </x:c>
      <x:c r="K46" s="34" t="n">
        <x:v>2671</x:v>
      </x:c>
      <x:c r="L46" s="36" t="n">
        <x:v>0.668638815</x:v>
      </x:c>
      <x:c r="M46" s="36" t="n">
        <x:v>0.592502218</x:v>
      </x:c>
      <x:c r="N46" t="str">
        <x:v>Synthese Soldes Créditeurs Q2 2026.xlsx | 'UK'!F27:F40</x:v>
      </x:c>
    </x:row>
    <x:row r="47">
      <x:c r="A47" t="str">
        <x:v>UK</x:v>
      </x:c>
      <x:c r="B47" t="str">
        <x:v>2026-04</x:v>
      </x:c>
      <x:c r="C47" t="str">
        <x:v>GBP</x:v>
      </x:c>
      <x:c r="D47" s="34" t="n">
        <x:v>88184</x:v>
      </x:c>
      <x:c r="E47" s="34" t="n">
        <x:v>57913.7</x:v>
      </x:c>
      <x:c r="F47" s="34" t="n">
        <x:v>54088.72</x:v>
      </x:c>
      <x:c r="G47" s="34" t="n">
        <x:v>1473.62</x:v>
      </x:c>
      <x:c r="H47" s="34" t="n">
        <x:v>2351.36</x:v>
      </x:c>
      <x:c r="I47" s="34" t="n">
        <x:v>30270.3</x:v>
      </x:c>
      <x:c r="J47" s="34" t="n">
        <x:v>1560</x:v>
      </x:c>
      <x:c r="K47" s="34" t="n">
        <x:v>873</x:v>
      </x:c>
      <x:c r="L47" s="36" t="n">
        <x:v>0.65673705</x:v>
      </x:c>
      <x:c r="M47" s="36" t="n">
        <x:v>0.559615385</x:v>
      </x:c>
      <x:c r="N47" t="str">
        <x:v>Synthese Soldes Créditeurs Q2 2026.xlsx | 'UK'!E27:E40</x:v>
      </x:c>
    </x:row>
    <x:row r="48">
      <x:c r="A48" t="str">
        <x:v>UK</x:v>
      </x:c>
      <x:c r="B48" t="str">
        <x:v>2026-05</x:v>
      </x:c>
      <x:c r="C48" t="str">
        <x:v>GBP</x:v>
      </x:c>
      <x:c r="D48" s="34" t="n">
        <x:v>53856.4</x:v>
      </x:c>
      <x:c r="E48" s="34" t="n">
        <x:v>23553.63</x:v>
      </x:c>
      <x:c r="F48" s="34" t="n">
        <x:v>19392.02</x:v>
      </x:c>
      <x:c r="G48" s="34" t="n">
        <x:v>1878.54</x:v>
      </x:c>
      <x:c r="H48" s="34" t="n">
        <x:v>2283.07</x:v>
      </x:c>
      <x:c r="I48" s="34" t="n">
        <x:v>30302.77</x:v>
      </x:c>
      <x:c r="J48" s="34" t="n">
        <x:v>2385</x:v>
      </x:c>
      <x:c r="K48" s="34" t="n">
        <x:v>340</x:v>
      </x:c>
      <x:c r="L48" s="36" t="n">
        <x:v>0.437341337</x:v>
      </x:c>
      <x:c r="M48" s="36" t="n">
        <x:v>0.142557652</x:v>
      </x:c>
      <x:c r="N48" t="str">
        <x:v>Synthese Soldes Créditeurs Q2 2026.xlsx | 'UK'!D27:D40</x:v>
      </x:c>
    </x:row>
    <x:row r="49">
      <x:c r="A49" t="str">
        <x:v>UK</x:v>
      </x:c>
      <x:c r="B49" t="str">
        <x:v>2026-06</x:v>
      </x:c>
      <x:c r="C49" t="str">
        <x:v>GBP</x:v>
      </x:c>
      <x:c r="D49" s="34" t="n">
        <x:v>55879.03</x:v>
      </x:c>
      <x:c r="E49" s="34" t="n">
        <x:v>7644.2</x:v>
      </x:c>
      <x:c r="F49" s="34" t="n">
        <x:v>0</x:v>
      </x:c>
      <x:c r="G49" s="34" t="n">
        <x:v>6306.38</x:v>
      </x:c>
      <x:c r="H49" s="34" t="n">
        <x:v>1337.82</x:v>
      </x:c>
      <x:c r="I49" s="34" t="n">
        <x:v>48234.83</x:v>
      </x:c>
      <x:c r="J49" s="34" t="n">
        <x:v>3487</x:v>
      </x:c>
      <x:c r="K49" s="34" t="n">
        <x:v>30</x:v>
      </x:c>
      <x:c r="L49" s="36" t="n">
        <x:v>0.136799082</x:v>
      </x:c>
      <x:c r="M49" s="36" t="n">
        <x:v>0.008603384</x:v>
      </x:c>
      <x:c r="N49" t="str">
        <x:v>Synthese Soldes Créditeurs Q2 2026.xlsx | 'UK'!C27:C40</x:v>
      </x:c>
    </x:row>
    <x:row r="50">
      <x:c r="A50" t="str">
        <x:v>South Africa</x:v>
      </x:c>
      <x:c r="B50" t="str">
        <x:v>2026-01</x:v>
      </x:c>
      <x:c r="C50" t="str">
        <x:v>ZAR</x:v>
      </x:c>
      <x:c r="D50" s="34" t="n">
        <x:v>3011740.890000002</x:v>
      </x:c>
      <x:c r="E50" s="34" t="n">
        <x:v>1955653.010000002</x:v>
      </x:c>
      <x:c r="F50" s="34" t="n">
        <x:v>1918665.800000001</x:v>
      </x:c>
      <x:c r="G50" s="34" t="n">
        <x:v>36987.21</x:v>
      </x:c>
      <x:c r="H50" s="34" t="n">
        <x:v>0</x:v>
      </x:c>
      <x:c r="I50" s="34" t="n">
        <x:v>1056087.880000001</x:v>
      </x:c>
      <x:c r="J50" s="34" t="n">
        <x:v>15986</x:v>
      </x:c>
      <x:c r="K50" s="34" t="n">
        <x:v>13668</x:v>
      </x:c>
      <x:c r="L50" s="36" t="n">
        <x:v>0.649343048</x:v>
      </x:c>
      <x:c r="M50" s="36" t="n">
        <x:v>0.854998123</x:v>
      </x:c>
      <x:c r="N50" t="str">
        <x:v>RCS.xlsx | 'KPI_2'!H27:H40</x:v>
      </x:c>
    </x:row>
    <x:row r="51">
      <x:c r="A51" t="str">
        <x:v>South Africa</x:v>
      </x:c>
      <x:c r="B51" t="str">
        <x:v>2026-02</x:v>
      </x:c>
      <x:c r="C51" t="str">
        <x:v>ZAR</x:v>
      </x:c>
      <x:c r="D51" s="34" t="n">
        <x:v>3204444.210000011</x:v>
      </x:c>
      <x:c r="E51" s="34" t="n">
        <x:v>2097653.880000003</x:v>
      </x:c>
      <x:c r="F51" s="34" t="n">
        <x:v>2062472.940000003</x:v>
      </x:c>
      <x:c r="G51" s="34" t="n">
        <x:v>35180.94</x:v>
      </x:c>
      <x:c r="H51" s="34" t="n">
        <x:v>0</x:v>
      </x:c>
      <x:c r="I51" s="34" t="n">
        <x:v>1106790.330000008</x:v>
      </x:c>
      <x:c r="J51" s="34" t="n">
        <x:v>15076</x:v>
      </x:c>
      <x:c r="K51" s="34" t="n">
        <x:v>12514</x:v>
      </x:c>
      <x:c r="L51" s="36" t="n">
        <x:v>0.654607708</x:v>
      </x:c>
      <x:c r="M51" s="36" t="n">
        <x:v>0.830061024</x:v>
      </x:c>
      <x:c r="N51" t="str">
        <x:v>RCS.xlsx | 'KPI_2'!G27:G40</x:v>
      </x:c>
    </x:row>
    <x:row r="52">
      <x:c r="A52" t="str">
        <x:v>South Africa</x:v>
      </x:c>
      <x:c r="B52" t="str">
        <x:v>2026-03</x:v>
      </x:c>
      <x:c r="C52" t="str">
        <x:v>ZAR</x:v>
      </x:c>
      <x:c r="D52" s="34" t="n">
        <x:v>3967369.499999995</x:v>
      </x:c>
      <x:c r="E52" s="34" t="n">
        <x:v>2266931.290000002</x:v>
      </x:c>
      <x:c r="F52" s="34" t="n">
        <x:v>2223180.750000002</x:v>
      </x:c>
      <x:c r="G52" s="34" t="n">
        <x:v>43750.54</x:v>
      </x:c>
      <x:c r="H52" s="34" t="n">
        <x:v>0</x:v>
      </x:c>
      <x:c r="I52" s="34" t="n">
        <x:v>1700438.209999993</x:v>
      </x:c>
      <x:c r="J52" s="34" t="n">
        <x:v>20647</x:v>
      </x:c>
      <x:c r="K52" s="34" t="n">
        <x:v>16381</x:v>
      </x:c>
      <x:c r="L52" s="36" t="n">
        <x:v>0.571394041</x:v>
      </x:c>
      <x:c r="M52" s="36" t="n">
        <x:v>0.793384027</x:v>
      </x:c>
      <x:c r="N52" t="str">
        <x:v>RCS.xlsx | 'KPI_2'!F27:F40</x:v>
      </x:c>
    </x:row>
    <x:row r="53">
      <x:c r="A53" t="str">
        <x:v>South Africa</x:v>
      </x:c>
      <x:c r="B53" t="str">
        <x:v>2026-04</x:v>
      </x:c>
      <x:c r="C53" t="str">
        <x:v>ZAR</x:v>
      </x:c>
      <x:c r="D53" s="34" t="n">
        <x:v>3744649.509999959</x:v>
      </x:c>
      <x:c r="E53" s="34" t="n">
        <x:v>1967116.390000001</x:v>
      </x:c>
      <x:c r="F53" s="34" t="n">
        <x:v>1934850.760000001</x:v>
      </x:c>
      <x:c r="G53" s="34" t="n">
        <x:v>32265.63</x:v>
      </x:c>
      <x:c r="H53" s="34" t="n">
        <x:v>0</x:v>
      </x:c>
      <x:c r="I53" s="34" t="n">
        <x:v>1777533.119999958</x:v>
      </x:c>
      <x:c r="J53" s="34" t="n">
        <x:v>19325</x:v>
      </x:c>
      <x:c r="K53" s="34" t="n">
        <x:v>14193</x:v>
      </x:c>
      <x:c r="L53" s="36" t="n">
        <x:v>0.525313887</x:v>
      </x:c>
      <x:c r="M53" s="36" t="n">
        <x:v>0.734437257</x:v>
      </x:c>
      <x:c r="N53" t="str">
        <x:v>RCS.xlsx | 'KPI_2'!E27:E40</x:v>
      </x:c>
    </x:row>
    <x:row r="54">
      <x:c r="A54" t="str">
        <x:v>South Africa</x:v>
      </x:c>
      <x:c r="B54" t="str">
        <x:v>2026-05</x:v>
      </x:c>
      <x:c r="C54" t="str">
        <x:v>ZAR</x:v>
      </x:c>
      <x:c r="D54" s="34" t="n">
        <x:v>3862871.999999942</x:v>
      </x:c>
      <x:c r="E54" s="34" t="n">
        <x:v>1652792.279999999</x:v>
      </x:c>
      <x:c r="F54" s="34" t="n">
        <x:v>1629996.219999999</x:v>
      </x:c>
      <x:c r="G54" s="34" t="n">
        <x:v>22796.06</x:v>
      </x:c>
      <x:c r="H54" s="34" t="n">
        <x:v>0</x:v>
      </x:c>
      <x:c r="I54" s="34" t="n">
        <x:v>2210079.719999943</x:v>
      </x:c>
      <x:c r="J54" s="34" t="n">
        <x:v>19737</x:v>
      </x:c>
      <x:c r="K54" s="34" t="n">
        <x:v>11973</x:v>
      </x:c>
      <x:c r="L54" s="36" t="n">
        <x:v>0.427866178</x:v>
      </x:c>
      <x:c r="M54" s="36" t="n">
        <x:v>0.606627147</x:v>
      </x:c>
      <x:c r="N54" t="str">
        <x:v>RCS.xlsx | 'KPI_2'!D27:D40</x:v>
      </x:c>
    </x:row>
    <x:row r="55">
      <x:c r="A55" t="str">
        <x:v>South Africa</x:v>
      </x:c>
      <x:c r="B55" t="str">
        <x:v>2026-06</x:v>
      </x:c>
      <x:c r="C55" t="str">
        <x:v>ZAR</x:v>
      </x:c>
      <x:c r="D55" s="34" t="n">
        <x:v>4224061.329999999</x:v>
      </x:c>
      <x:c r="E55" s="34" t="n">
        <x:v>22298.12</x:v>
      </x:c>
      <x:c r="F55" s="34" t="n">
        <x:v>0</x:v>
      </x:c>
      <x:c r="G55" s="34" t="n">
        <x:v>22298.12</x:v>
      </x:c>
      <x:c r="H55" s="34" t="n">
        <x:v>0</x:v>
      </x:c>
      <x:c r="I55" s="34" t="n">
        <x:v>4201763.209999999</x:v>
      </x:c>
      <x:c r="J55" s="34" t="n">
        <x:v>24203</x:v>
      </x:c>
      <x:c r="K55" s="34" t="n">
        <x:v>7621</x:v>
      </x:c>
      <x:c r="L55" s="36" t="n">
        <x:v>0.005278834</x:v>
      </x:c>
      <x:c r="M55" s="36" t="n">
        <x:v>0.314878321</x:v>
      </x:c>
      <x:c r="N55" t="str">
        <x:v>RCS.xlsx | 'KPI_2'!C27:C40</x:v>
      </x:c>
    </x:row>
    <x:row r="56">
      <x:c r="A56" t="str">
        <x:v>Denmark</x:v>
      </x:c>
      <x:c r="B56" t="str">
        <x:v>2026-01</x:v>
      </x:c>
      <x:c r="C56" t="str">
        <x:v>DKK</x:v>
      </x:c>
      <x:c r="D56" s="34" t="n">
        <x:v>130636.08</x:v>
      </x:c>
      <x:c r="E56" s="34" t="n">
        <x:v>130636.08</x:v>
      </x:c>
      <x:c r="F56" s="34" t="n">
        <x:v>119420</x:v>
      </x:c>
      <x:c r="G56" s="34" t="n">
        <x:v>11216.08</x:v>
      </x:c>
      <x:c r="H56" s="34" t="n">
        <x:v>0</x:v>
      </x:c>
      <x:c r="I56" s="34" t="n">
        <x:v>0</x:v>
      </x:c>
      <x:c r="J56" s="34" t="n">
        <x:v>394</x:v>
      </x:c>
      <x:c r="K56" s="34" t="n">
        <x:v>394</x:v>
      </x:c>
      <x:c r="L56" s="36" t="n">
        <x:v>1</x:v>
      </x:c>
      <x:c r="M56" s="36" t="n">
        <x:v>1</x:v>
      </x:c>
      <x:c r="N56" t="str">
        <x:v>Synthese Soldes Créditeurs Q2 2026.xlsx | 'Denmark'!H27:H40</x:v>
      </x:c>
    </x:row>
    <x:row r="57">
      <x:c r="A57" t="str">
        <x:v>Denmark</x:v>
      </x:c>
      <x:c r="B57" t="str">
        <x:v>2026-02</x:v>
      </x:c>
      <x:c r="C57" t="str">
        <x:v>DKK</x:v>
      </x:c>
      <x:c r="D57" s="34" t="n">
        <x:v>256641.26</x:v>
      </x:c>
      <x:c r="E57" s="34" t="n">
        <x:v>255703.76</x:v>
      </x:c>
      <x:c r="F57" s="34" t="n">
        <x:v>99095.9</x:v>
      </x:c>
      <x:c r="G57" s="34" t="n">
        <x:v>156607.86</x:v>
      </x:c>
      <x:c r="H57" s="34" t="n">
        <x:v>0</x:v>
      </x:c>
      <x:c r="I57" s="34" t="n">
        <x:v>937.5</x:v>
      </x:c>
      <x:c r="J57" s="34" t="n">
        <x:v>400</x:v>
      </x:c>
      <x:c r="K57" s="34" t="n">
        <x:v>399</x:v>
      </x:c>
      <x:c r="L57" s="36" t="n">
        <x:v>0.996347041</x:v>
      </x:c>
      <x:c r="M57" s="36" t="n">
        <x:v>0.9975</x:v>
      </x:c>
      <x:c r="N57" t="str">
        <x:v>Synthese Soldes Créditeurs Q2 2026.xlsx | 'Denmark'!G27:G40</x:v>
      </x:c>
    </x:row>
    <x:row r="58">
      <x:c r="A58" t="str">
        <x:v>Denmark</x:v>
      </x:c>
      <x:c r="B58" t="str">
        <x:v>2026-03</x:v>
      </x:c>
      <x:c r="C58" t="str">
        <x:v>DKK</x:v>
      </x:c>
      <x:c r="D58" s="34" t="n">
        <x:v>111294.43</x:v>
      </x:c>
      <x:c r="E58" s="34" t="n">
        <x:v>108525.64</x:v>
      </x:c>
      <x:c r="F58" s="34" t="n">
        <x:v>93872.87</x:v>
      </x:c>
      <x:c r="G58" s="34" t="n">
        <x:v>14652.77</x:v>
      </x:c>
      <x:c r="H58" s="34" t="n">
        <x:v>0</x:v>
      </x:c>
      <x:c r="I58" s="34" t="n">
        <x:v>2768.79</x:v>
      </x:c>
      <x:c r="J58" s="34" t="n">
        <x:v>372</x:v>
      </x:c>
      <x:c r="K58" s="34" t="n">
        <x:v>367</x:v>
      </x:c>
      <x:c r="L58" s="36" t="n">
        <x:v>0.975121936</x:v>
      </x:c>
      <x:c r="M58" s="36" t="n">
        <x:v>0.98655914</x:v>
      </x:c>
      <x:c r="N58" t="str">
        <x:v>Synthese Soldes Créditeurs Q2 2026.xlsx | 'Denmark'!F27:F40</x:v>
      </x:c>
    </x:row>
    <x:row r="59">
      <x:c r="A59" t="str">
        <x:v>Denmark</x:v>
      </x:c>
      <x:c r="B59" t="str">
        <x:v>2026-04</x:v>
      </x:c>
      <x:c r="C59" t="str">
        <x:v>DKK</x:v>
      </x:c>
      <x:c r="D59" s="34" t="n">
        <x:v>112393.35</x:v>
      </x:c>
      <x:c r="E59" s="34" t="n">
        <x:v>91027.96</x:v>
      </x:c>
      <x:c r="F59" s="34" t="n">
        <x:v>78374.69</x:v>
      </x:c>
      <x:c r="G59" s="34" t="n">
        <x:v>12653.27</x:v>
      </x:c>
      <x:c r="H59" s="34" t="n">
        <x:v>0</x:v>
      </x:c>
      <x:c r="I59" s="34" t="n">
        <x:v>21365.39</x:v>
      </x:c>
      <x:c r="J59" s="34" t="n">
        <x:v>359</x:v>
      </x:c>
      <x:c r="K59" s="34" t="n">
        <x:v>223</x:v>
      </x:c>
      <x:c r="L59" s="36" t="n">
        <x:v>0.809905212</x:v>
      </x:c>
      <x:c r="M59" s="36" t="n">
        <x:v>0.621169916</x:v>
      </x:c>
      <x:c r="N59" t="str">
        <x:v>Synthese Soldes Créditeurs Q2 2026.xlsx | 'Denmark'!E27:E40</x:v>
      </x:c>
    </x:row>
    <x:row r="60">
      <x:c r="A60" t="str">
        <x:v>Denmark</x:v>
      </x:c>
      <x:c r="B60" t="str">
        <x:v>2026-05</x:v>
      </x:c>
      <x:c r="C60" t="str">
        <x:v>DKK</x:v>
      </x:c>
      <x:c r="D60" s="34" t="n">
        <x:v>162509.23</x:v>
      </x:c>
      <x:c r="E60" s="34" t="n">
        <x:v>65022.42</x:v>
      </x:c>
      <x:c r="F60" s="34" t="n">
        <x:v>28482.28</x:v>
      </x:c>
      <x:c r="G60" s="34" t="n">
        <x:v>36540.14</x:v>
      </x:c>
      <x:c r="H60" s="34" t="n">
        <x:v>0</x:v>
      </x:c>
      <x:c r="I60" s="34" t="n">
        <x:v>97486.81</x:v>
      </x:c>
      <x:c r="J60" s="34" t="n">
        <x:v>361</x:v>
      </x:c>
      <x:c r="K60" s="34" t="n">
        <x:v>69</x:v>
      </x:c>
      <x:c r="L60" s="36" t="n">
        <x:v>0.400115243</x:v>
      </x:c>
      <x:c r="M60" s="36" t="n">
        <x:v>0.191135734</x:v>
      </x:c>
      <x:c r="N60" t="str">
        <x:v>Synthese Soldes Créditeurs Q2 2026.xlsx | 'Denmark'!D27:D40</x:v>
      </x:c>
    </x:row>
    <x:row r="61">
      <x:c r="A61" t="str">
        <x:v>Denmark</x:v>
      </x:c>
      <x:c r="B61" t="str">
        <x:v>2026-06</x:v>
      </x:c>
      <x:c r="C61" t="str">
        <x:v>DKK</x:v>
      </x:c>
      <x:c r="D61" s="34" t="n">
        <x:v>87448.33</x:v>
      </x:c>
      <x:c r="E61" s="34" t="n">
        <x:v>27709.01</x:v>
      </x:c>
      <x:c r="F61" s="34" t="n">
        <x:v>12784.95</x:v>
      </x:c>
      <x:c r="G61" s="34" t="n">
        <x:v>14924.06</x:v>
      </x:c>
      <x:c r="H61" s="34" t="n">
        <x:v>0</x:v>
      </x:c>
      <x:c r="I61" s="34" t="n">
        <x:v>59739.32</x:v>
      </x:c>
      <x:c r="J61" s="34" t="n">
        <x:v>296</x:v>
      </x:c>
      <x:c r="K61" s="34" t="n">
        <x:v>38</x:v>
      </x:c>
      <x:c r="L61" s="36" t="n">
        <x:v>0.316861511</x:v>
      </x:c>
      <x:c r="M61" s="36" t="n">
        <x:v>0.128378378</x:v>
      </x:c>
      <x:c r="N61" t="str">
        <x:v>Synthese Soldes Créditeurs Q2 2026.xlsx | 'Denmark'!C27:C40</x:v>
      </x:c>
    </x:row>
    <x:row r="62">
      <x:c r="A62" t="str">
        <x:v>Norway</x:v>
      </x:c>
      <x:c r="B62" t="str">
        <x:v>2026-01</x:v>
      </x:c>
      <x:c r="C62" t="str">
        <x:v>NOK</x:v>
      </x:c>
      <x:c r="D62" s="34" t="n">
        <x:v>112887.14</x:v>
      </x:c>
      <x:c r="E62" s="34" t="n">
        <x:v>106228.66</x:v>
      </x:c>
      <x:c r="F62" s="34" t="n">
        <x:v>93038.16</x:v>
      </x:c>
      <x:c r="G62" s="34" t="n">
        <x:v>13190.5</x:v>
      </x:c>
      <x:c r="H62" s="34" t="n">
        <x:v>0</x:v>
      </x:c>
      <x:c r="I62" s="34" t="n">
        <x:v>6658.48</x:v>
      </x:c>
      <x:c r="J62" s="34" t="n">
        <x:v>266</x:v>
      </x:c>
      <x:c r="K62" s="34" t="n">
        <x:v>264</x:v>
      </x:c>
      <x:c r="L62" s="36" t="n">
        <x:v>0.941016488</x:v>
      </x:c>
      <x:c r="M62" s="36" t="n">
        <x:v>0.992481203</x:v>
      </x:c>
      <x:c r="N62" t="str">
        <x:v>Synthese Soldes Créditeurs Q2 2026.xlsx | 'Norway'!H27:H40</x:v>
      </x:c>
    </x:row>
    <x:row r="63">
      <x:c r="A63" t="str">
        <x:v>Norway</x:v>
      </x:c>
      <x:c r="B63" t="str">
        <x:v>2026-02</x:v>
      </x:c>
      <x:c r="C63" t="str">
        <x:v>NOK</x:v>
      </x:c>
      <x:c r="D63" s="34" t="n">
        <x:v>68143.9</x:v>
      </x:c>
      <x:c r="E63" s="34" t="n">
        <x:v>68143.9</x:v>
      </x:c>
      <x:c r="F63" s="34" t="n">
        <x:v>56302.54</x:v>
      </x:c>
      <x:c r="G63" s="34" t="n">
        <x:v>11841.36</x:v>
      </x:c>
      <x:c r="H63" s="34" t="n">
        <x:v>0</x:v>
      </x:c>
      <x:c r="I63" s="34" t="n">
        <x:v>0</x:v>
      </x:c>
      <x:c r="J63" s="34" t="n">
        <x:v>166</x:v>
      </x:c>
      <x:c r="K63" s="34" t="n">
        <x:v>166</x:v>
      </x:c>
      <x:c r="L63" s="36" t="n">
        <x:v>1</x:v>
      </x:c>
      <x:c r="M63" s="36" t="n">
        <x:v>1</x:v>
      </x:c>
      <x:c r="N63" t="str">
        <x:v>Synthese Soldes Créditeurs Q2 2026.xlsx | 'Norway'!G27:G40</x:v>
      </x:c>
    </x:row>
    <x:row r="64">
      <x:c r="A64" t="str">
        <x:v>Norway</x:v>
      </x:c>
      <x:c r="B64" t="str">
        <x:v>2026-03</x:v>
      </x:c>
      <x:c r="C64" t="str">
        <x:v>NOK</x:v>
      </x:c>
      <x:c r="D64" s="34" t="n">
        <x:v>247666.82</x:v>
      </x:c>
      <x:c r="E64" s="34" t="n">
        <x:v>230468.78</x:v>
      </x:c>
      <x:c r="F64" s="34" t="n">
        <x:v>220801.79</x:v>
      </x:c>
      <x:c r="G64" s="34" t="n">
        <x:v>9666.99</x:v>
      </x:c>
      <x:c r="H64" s="34" t="n">
        <x:v>0</x:v>
      </x:c>
      <x:c r="I64" s="34" t="n">
        <x:v>17198.04</x:v>
      </x:c>
      <x:c r="J64" s="34" t="n">
        <x:v>233</x:v>
      </x:c>
      <x:c r="K64" s="34" t="n">
        <x:v>150</x:v>
      </x:c>
      <x:c r="L64" s="36" t="n">
        <x:v>0.930559774</x:v>
      </x:c>
      <x:c r="M64" s="36" t="n">
        <x:v>0.643776824</x:v>
      </x:c>
      <x:c r="N64" t="str">
        <x:v>Synthese Soldes Créditeurs Q2 2026.xlsx | 'Norway'!F27:F40</x:v>
      </x:c>
    </x:row>
    <x:row r="65">
      <x:c r="A65" t="str">
        <x:v>Norway</x:v>
      </x:c>
      <x:c r="B65" t="str">
        <x:v>2026-04</x:v>
      </x:c>
      <x:c r="C65" t="str">
        <x:v>NOK</x:v>
      </x:c>
      <x:c r="D65" s="34" t="n">
        <x:v>57533.93</x:v>
      </x:c>
      <x:c r="E65" s="34" t="n">
        <x:v>39219.54</x:v>
      </x:c>
      <x:c r="F65" s="34" t="n">
        <x:v>34047.29</x:v>
      </x:c>
      <x:c r="G65" s="34" t="n">
        <x:v>5172.25</x:v>
      </x:c>
      <x:c r="H65" s="34" t="n">
        <x:v>0</x:v>
      </x:c>
      <x:c r="I65" s="34" t="n">
        <x:v>18314.39</x:v>
      </x:c>
      <x:c r="J65" s="34" t="n">
        <x:v>148</x:v>
      </x:c>
      <x:c r="K65" s="34" t="n">
        <x:v>45</x:v>
      </x:c>
      <x:c r="L65" s="36" t="n">
        <x:v>0.681676708</x:v>
      </x:c>
      <x:c r="M65" s="36" t="n">
        <x:v>0.304054054</x:v>
      </x:c>
      <x:c r="N65" t="str">
        <x:v>Synthese Soldes Créditeurs Q2 2026.xlsx | 'Norway'!E27:E40</x:v>
      </x:c>
    </x:row>
    <x:row r="66">
      <x:c r="A66" t="str">
        <x:v>Norway</x:v>
      </x:c>
      <x:c r="B66" t="str">
        <x:v>2026-05</x:v>
      </x:c>
      <x:c r="C66" t="str">
        <x:v>NOK</x:v>
      </x:c>
      <x:c r="D66" s="34" t="n">
        <x:v>144549.53</x:v>
      </x:c>
      <x:c r="E66" s="34" t="n">
        <x:v>115584.41</x:v>
      </x:c>
      <x:c r="F66" s="34" t="n">
        <x:v>93327.59</x:v>
      </x:c>
      <x:c r="G66" s="34" t="n">
        <x:v>22256.82</x:v>
      </x:c>
      <x:c r="H66" s="34" t="n">
        <x:v>0</x:v>
      </x:c>
      <x:c r="I66" s="34" t="n">
        <x:v>28965.12</x:v>
      </x:c>
      <x:c r="J66" s="34" t="n">
        <x:v>129</x:v>
      </x:c>
      <x:c r="K66" s="34" t="n">
        <x:v>24</x:v>
      </x:c>
      <x:c r="L66" s="36" t="n">
        <x:v>0.799618027</x:v>
      </x:c>
      <x:c r="M66" s="36" t="n">
        <x:v>0.186046512</x:v>
      </x:c>
      <x:c r="N66" t="str">
        <x:v>Synthese Soldes Créditeurs Q2 2026.xlsx | 'Norway'!D27:D40</x:v>
      </x:c>
    </x:row>
    <x:row r="67">
      <x:c r="A67" t="str">
        <x:v>Norway</x:v>
      </x:c>
      <x:c r="B67" t="str">
        <x:v>2026-06</x:v>
      </x:c>
      <x:c r="C67" t="str">
        <x:v>NOK</x:v>
      </x:c>
      <x:c r="D67" s="34" t="n">
        <x:v>64474.69</x:v>
      </x:c>
      <x:c r="E67" s="34" t="n">
        <x:v>13362.66</x:v>
      </x:c>
      <x:c r="F67" s="34" t="n">
        <x:v>10888.77</x:v>
      </x:c>
      <x:c r="G67" s="34" t="n">
        <x:v>2473.89</x:v>
      </x:c>
      <x:c r="H67" s="34" t="n">
        <x:v>0</x:v>
      </x:c>
      <x:c r="I67" s="34" t="n">
        <x:v>51112.03</x:v>
      </x:c>
      <x:c r="J67" s="34" t="n">
        <x:v>180</x:v>
      </x:c>
      <x:c r="K67" s="34" t="n">
        <x:v>12</x:v>
      </x:c>
      <x:c r="L67" s="36" t="n">
        <x:v>0.207254351</x:v>
      </x:c>
      <x:c r="M67" s="36" t="n">
        <x:v>0.066666667</x:v>
      </x:c>
      <x:c r="N67" t="str">
        <x:v>Synthese Soldes Créditeurs Q2 2026.xlsx | 'Norway'!C27:C40</x:v>
      </x:c>
    </x:row>
    <x:row r="68">
      <x:c r="A68" t="str">
        <x:v>Sweden</x:v>
      </x:c>
      <x:c r="B68" t="str">
        <x:v>2026-01</x:v>
      </x:c>
      <x:c r="C68" t="str">
        <x:v>SEK</x:v>
      </x:c>
      <x:c r="D68" s="34" t="n">
        <x:v>248370.93</x:v>
      </x:c>
      <x:c r="E68" s="34" t="n">
        <x:v>248370.93</x:v>
      </x:c>
      <x:c r="F68" s="34" t="n">
        <x:v>230915.98</x:v>
      </x:c>
      <x:c r="G68" s="34" t="n">
        <x:v>17454.95</x:v>
      </x:c>
      <x:c r="H68" s="34" t="n">
        <x:v>0</x:v>
      </x:c>
      <x:c r="I68" s="34" t="n">
        <x:v>0</x:v>
      </x:c>
      <x:c r="J68" s="34" t="n">
        <x:v>544</x:v>
      </x:c>
      <x:c r="K68" s="34" t="n">
        <x:v>544</x:v>
      </x:c>
      <x:c r="L68" s="36" t="n">
        <x:v>1</x:v>
      </x:c>
      <x:c r="M68" s="36" t="n">
        <x:v>1</x:v>
      </x:c>
      <x:c r="N68" t="str">
        <x:v>Synthese Soldes Créditeurs Q2 2026.xlsx | 'Sweden'!H27:H40</x:v>
      </x:c>
    </x:row>
    <x:row r="69">
      <x:c r="A69" t="str">
        <x:v>Sweden</x:v>
      </x:c>
      <x:c r="B69" t="str">
        <x:v>2026-02</x:v>
      </x:c>
      <x:c r="C69" t="str">
        <x:v>SEK</x:v>
      </x:c>
      <x:c r="D69" s="34" t="n">
        <x:v>119781.77</x:v>
      </x:c>
      <x:c r="E69" s="34" t="n">
        <x:v>119781.77</x:v>
      </x:c>
      <x:c r="F69" s="34" t="n">
        <x:v>97350.68</x:v>
      </x:c>
      <x:c r="G69" s="34" t="n">
        <x:v>22431.09</x:v>
      </x:c>
      <x:c r="H69" s="34" t="n">
        <x:v>0</x:v>
      </x:c>
      <x:c r="I69" s="34" t="n">
        <x:v>0</x:v>
      </x:c>
      <x:c r="J69" s="34" t="n">
        <x:v>546</x:v>
      </x:c>
      <x:c r="K69" s="34" t="n">
        <x:v>546</x:v>
      </x:c>
      <x:c r="L69" s="36" t="n">
        <x:v>1</x:v>
      </x:c>
      <x:c r="M69" s="36" t="n">
        <x:v>1</x:v>
      </x:c>
      <x:c r="N69" t="str">
        <x:v>Synthese Soldes Créditeurs Q2 2026.xlsx | 'Sweden'!G27:G40</x:v>
      </x:c>
    </x:row>
    <x:row r="70">
      <x:c r="A70" t="str">
        <x:v>Sweden</x:v>
      </x:c>
      <x:c r="B70" t="str">
        <x:v>2026-03</x:v>
      </x:c>
      <x:c r="C70" t="str">
        <x:v>SEK</x:v>
      </x:c>
      <x:c r="D70" s="34" t="n">
        <x:v>720809.22</x:v>
      </x:c>
      <x:c r="E70" s="34" t="n">
        <x:v>718892.49</x:v>
      </x:c>
      <x:c r="F70" s="34" t="n">
        <x:v>294604.24</x:v>
      </x:c>
      <x:c r="G70" s="34" t="n">
        <x:v>424288.25</x:v>
      </x:c>
      <x:c r="H70" s="34" t="n">
        <x:v>0</x:v>
      </x:c>
      <x:c r="I70" s="34" t="n">
        <x:v>1916.73</x:v>
      </x:c>
      <x:c r="J70" s="34" t="n">
        <x:v>657</x:v>
      </x:c>
      <x:c r="K70" s="34" t="n">
        <x:v>634</x:v>
      </x:c>
      <x:c r="L70" s="36" t="n">
        <x:v>0.997340864</x:v>
      </x:c>
      <x:c r="M70" s="36" t="n">
        <x:v>0.96499239</x:v>
      </x:c>
      <x:c r="N70" t="str">
        <x:v>Synthese Soldes Créditeurs Q2 2026.xlsx | 'Sweden'!F27:F40</x:v>
      </x:c>
    </x:row>
    <x:row r="71">
      <x:c r="A71" t="str">
        <x:v>Sweden</x:v>
      </x:c>
      <x:c r="B71" t="str">
        <x:v>2026-04</x:v>
      </x:c>
      <x:c r="C71" t="str">
        <x:v>SEK</x:v>
      </x:c>
      <x:c r="D71" s="34" t="n">
        <x:v>384234.17</x:v>
      </x:c>
      <x:c r="E71" s="34" t="n">
        <x:v>379639.77</x:v>
      </x:c>
      <x:c r="F71" s="34" t="n">
        <x:v>367142.11</x:v>
      </x:c>
      <x:c r="G71" s="34" t="n">
        <x:v>12497.66</x:v>
      </x:c>
      <x:c r="H71" s="34" t="n">
        <x:v>0</x:v>
      </x:c>
      <x:c r="I71" s="34" t="n">
        <x:v>4594.4</x:v>
      </x:c>
      <x:c r="J71" s="34" t="n">
        <x:v>601</x:v>
      </x:c>
      <x:c r="K71" s="34" t="n">
        <x:v>559</x:v>
      </x:c>
      <x:c r="L71" s="36" t="n">
        <x:v>0.988042708</x:v>
      </x:c>
      <x:c r="M71" s="36" t="n">
        <x:v>0.930116473</x:v>
      </x:c>
      <x:c r="N71" t="str">
        <x:v>Synthese Soldes Créditeurs Q2 2026.xlsx | 'Sweden'!E27:E40</x:v>
      </x:c>
    </x:row>
    <x:row r="72">
      <x:c r="A72" t="str">
        <x:v>Sweden</x:v>
      </x:c>
      <x:c r="B72" t="str">
        <x:v>2026-05</x:v>
      </x:c>
      <x:c r="C72" t="str">
        <x:v>SEK</x:v>
      </x:c>
      <x:c r="D72" s="34" t="n">
        <x:v>137125.27</x:v>
      </x:c>
      <x:c r="E72" s="34" t="n">
        <x:v>130874.14</x:v>
      </x:c>
      <x:c r="F72" s="34" t="n">
        <x:v>125499</x:v>
      </x:c>
      <x:c r="G72" s="34" t="n">
        <x:v>5375.14</x:v>
      </x:c>
      <x:c r="H72" s="34" t="n">
        <x:v>0</x:v>
      </x:c>
      <x:c r="I72" s="34" t="n">
        <x:v>6251.13</x:v>
      </x:c>
      <x:c r="J72" s="34" t="n">
        <x:v>518</x:v>
      </x:c>
      <x:c r="K72" s="34" t="n">
        <x:v>463</x:v>
      </x:c>
      <x:c r="L72" s="36" t="n">
        <x:v>0.954412998</x:v>
      </x:c>
      <x:c r="M72" s="36" t="n">
        <x:v>0.893822394</x:v>
      </x:c>
      <x:c r="N72" t="str">
        <x:v>Synthese Soldes Créditeurs Q2 2026.xlsx | 'Sweden'!D27:D40</x:v>
      </x:c>
    </x:row>
    <x:row r="73">
      <x:c r="A73" t="str">
        <x:v>Sweden</x:v>
      </x:c>
      <x:c r="B73" t="str">
        <x:v>2026-06</x:v>
      </x:c>
      <x:c r="C73" t="str">
        <x:v>SEK</x:v>
      </x:c>
      <x:c r="D73" s="34" t="n">
        <x:v>277595.59</x:v>
      </x:c>
      <x:c r="E73" s="34" t="n">
        <x:v>133713.79</x:v>
      </x:c>
      <x:c r="F73" s="34" t="n">
        <x:v>124033.42</x:v>
      </x:c>
      <x:c r="G73" s="34" t="n">
        <x:v>9680.37</x:v>
      </x:c>
      <x:c r="H73" s="34" t="n">
        <x:v>0</x:v>
      </x:c>
      <x:c r="I73" s="34" t="n">
        <x:v>143881.8</x:v>
      </x:c>
      <x:c r="J73" s="34" t="n">
        <x:v>635</x:v>
      </x:c>
      <x:c r="K73" s="34" t="n">
        <x:v>268</x:v>
      </x:c>
      <x:c r="L73" s="36" t="n">
        <x:v>0.48168557</x:v>
      </x:c>
      <x:c r="M73" s="36" t="n">
        <x:v>0.422047244</x:v>
      </x:c>
      <x:c r="N73" t="str">
        <x:v>Synthese Soldes Créditeurs Q2 2026.xlsx | 'Sweden'!C27:C40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  <x:col min="9" max="9" width="40" hidden="0" customWidth="1"/>
  </x:cols>
  <x:sheetData>
    <x:row r="1" ht="30" customHeight="1">
      <x:c r="A1" s="42" t="str">
        <x:v>Country</x:v>
      </x:c>
      <x:c r="B1" s="42" t="str">
        <x:v>Distribution</x:v>
      </x:c>
      <x:c r="C1" s="42" t="str">
        <x:v>Category</x:v>
      </x:c>
      <x:c r="D1" s="42" t="str">
        <x:v>Contracts</x:v>
      </x:c>
      <x:c r="E1" s="42" t="str">
        <x:v>Amount local</x:v>
      </x:c>
      <x:c r="F1" s="42" t="str">
        <x:v>Currency</x:v>
      </x:c>
      <x:c r="G1" s="42" t="str">
        <x:v>Source</x:v>
      </x:c>
      <x:c r="H1" s="42" t="str">
        <x:v>Cell or row</x:v>
      </x:c>
      <x:c r="I1" s="216" t="str">
        <x:v>Source validation</x:v>
      </x:c>
    </x:row>
    <x:row r="2">
      <x:c r="A2" t="str">
        <x:v>Spain</x:v>
      </x:c>
      <x:c r="B2" t="str">
        <x:v>band</x:v>
      </x:c>
      <x:c r="C2" t="str">
        <x:v>0 - 1 €</x:v>
      </x:c>
      <x:c r="D2" s="34" t="n">
        <x:v>144</x:v>
      </x:c>
      <x:c r="E2" s="34" t="n">
        <x:v>28</x:v>
      </x:c>
      <x:c r="F2" t="str">
        <x:v>EUR</x:v>
      </x:c>
      <x:c r="G2" t="str">
        <x:v>Pasted text(20261025-183839).txt / SPAIN / KPI_3</x:v>
      </x:c>
      <x:c r="H2" t="str">
        <x:v>text row 4</x:v>
      </x:c>
    </x:row>
    <x:row r="3">
      <x:c r="A3" t="str">
        <x:v>Spain</x:v>
      </x:c>
      <x:c r="B3" t="str">
        <x:v>band</x:v>
      </x:c>
      <x:c r="C3" t="str">
        <x:v>1 - 10 €</x:v>
      </x:c>
      <x:c r="D3" s="34" t="n">
        <x:v>510</x:v>
      </x:c>
      <x:c r="E3" s="34" t="n">
        <x:v>2762</x:v>
      </x:c>
      <x:c r="F3" t="str">
        <x:v>EUR</x:v>
      </x:c>
      <x:c r="G3" t="str">
        <x:v>Pasted text(20261025-183839).txt / SPAIN / KPI_3</x:v>
      </x:c>
      <x:c r="H3" t="str">
        <x:v>text row 5</x:v>
      </x:c>
    </x:row>
    <x:row r="4">
      <x:c r="A4" t="str">
        <x:v>Spain</x:v>
      </x:c>
      <x:c r="B4" t="str">
        <x:v>band</x:v>
      </x:c>
      <x:c r="C4" t="str">
        <x:v>10 - 100 €</x:v>
      </x:c>
      <x:c r="D4" s="34" t="n">
        <x:v>4113</x:v>
      </x:c>
      <x:c r="E4" s="34" t="n">
        <x:v>194406</x:v>
      </x:c>
      <x:c r="F4" t="str">
        <x:v>EUR</x:v>
      </x:c>
      <x:c r="G4" t="str">
        <x:v>Pasted text(20261025-183839).txt / SPAIN / KPI_3</x:v>
      </x:c>
      <x:c r="H4" t="str">
        <x:v>text row 6</x:v>
      </x:c>
    </x:row>
    <x:row r="5">
      <x:c r="A5" t="str">
        <x:v>Spain</x:v>
      </x:c>
      <x:c r="B5" t="str">
        <x:v>band</x:v>
      </x:c>
      <x:c r="C5" t="str">
        <x:v>100 - 1 000 €</x:v>
      </x:c>
      <x:c r="D5" s="34" t="n">
        <x:v>2734</x:v>
      </x:c>
      <x:c r="E5" s="34" t="n">
        <x:v>682236</x:v>
      </x:c>
      <x:c r="F5" t="str">
        <x:v>EUR</x:v>
      </x:c>
      <x:c r="G5" t="str">
        <x:v>Pasted text(20261025-183839).txt / SPAIN / KPI_3</x:v>
      </x:c>
      <x:c r="H5" t="str">
        <x:v>text row 7</x:v>
      </x:c>
    </x:row>
    <x:row r="6">
      <x:c r="A6" t="str">
        <x:v>Spain</x:v>
      </x:c>
      <x:c r="B6" t="str">
        <x:v>band</x:v>
      </x:c>
      <x:c r="C6" t="str">
        <x:v>&gt; 1 000 €</x:v>
      </x:c>
      <x:c r="D6" s="34" t="n">
        <x:v>262</x:v>
      </x:c>
      <x:c r="E6" s="34" t="n">
        <x:v>908380</x:v>
      </x:c>
      <x:c r="F6" t="str">
        <x:v>EUR</x:v>
      </x:c>
      <x:c r="G6" t="str">
        <x:v>Pasted text(20261025-183839).txt / SPAIN / KPI_3</x:v>
      </x:c>
      <x:c r="H6" t="str">
        <x:v>text row 8</x:v>
      </x:c>
    </x:row>
    <x:row r="7">
      <x:c r="A7" t="str">
        <x:v>Spain</x:v>
      </x:c>
      <x:c r="B7" t="str">
        <x:v>vintage</x:v>
      </x:c>
      <x:c r="C7" t="str">
        <x:v>&lt; 2018</x:v>
      </x:c>
      <x:c r="D7" s="34" t="n">
        <x:v>153</x:v>
      </x:c>
      <x:c r="E7" s="34" t="n">
        <x:v>30362</x:v>
      </x:c>
      <x:c r="F7" t="str">
        <x:v>EUR</x:v>
      </x:c>
      <x:c r="G7" t="str">
        <x:v>Pasted text(20261025-183839).txt / SPAIN / KPI_3</x:v>
      </x:c>
      <x:c r="H7" t="str">
        <x:v>text row 10</x:v>
      </x:c>
    </x:row>
    <x:row r="8">
      <x:c r="A8" t="str">
        <x:v>Spain</x:v>
      </x:c>
      <x:c r="B8" t="str">
        <x:v>vintage</x:v>
      </x:c>
      <x:c r="C8" t="str">
        <x:v>2018</x:v>
      </x:c>
      <x:c r="D8" s="34" t="n">
        <x:v>161</x:v>
      </x:c>
      <x:c r="E8" s="34" t="n">
        <x:v>19975</x:v>
      </x:c>
      <x:c r="F8" t="str">
        <x:v>EUR</x:v>
      </x:c>
      <x:c r="G8" t="str">
        <x:v>Pasted text(20261025-183839).txt / SPAIN / KPI_3</x:v>
      </x:c>
      <x:c r="H8" t="str">
        <x:v>text row 11</x:v>
      </x:c>
    </x:row>
    <x:row r="9">
      <x:c r="A9" t="str">
        <x:v>Spain</x:v>
      </x:c>
      <x:c r="B9" t="str">
        <x:v>vintage</x:v>
      </x:c>
      <x:c r="C9" t="str">
        <x:v>2019</x:v>
      </x:c>
      <x:c r="D9" s="34" t="n">
        <x:v>150</x:v>
      </x:c>
      <x:c r="E9" s="34" t="n">
        <x:v>20965</x:v>
      </x:c>
      <x:c r="F9" t="str">
        <x:v>EUR</x:v>
      </x:c>
      <x:c r="G9" t="str">
        <x:v>Pasted text(20261025-183839).txt / SPAIN / KPI_3</x:v>
      </x:c>
      <x:c r="H9" t="str">
        <x:v>text row 12</x:v>
      </x:c>
    </x:row>
    <x:row r="10">
      <x:c r="A10" t="str">
        <x:v>Spain</x:v>
      </x:c>
      <x:c r="B10" t="str">
        <x:v>vintage</x:v>
      </x:c>
      <x:c r="C10" t="str">
        <x:v>2020</x:v>
      </x:c>
      <x:c r="D10" s="34" t="n">
        <x:v>146</x:v>
      </x:c>
      <x:c r="E10" s="34" t="n">
        <x:v>18970</x:v>
      </x:c>
      <x:c r="F10" t="str">
        <x:v>EUR</x:v>
      </x:c>
      <x:c r="G10" t="str">
        <x:v>Pasted text(20261025-183839).txt / SPAIN / KPI_3</x:v>
      </x:c>
      <x:c r="H10" t="str">
        <x:v>text row 13</x:v>
      </x:c>
    </x:row>
    <x:row r="11">
      <x:c r="A11" t="str">
        <x:v>Spain</x:v>
      </x:c>
      <x:c r="B11" t="str">
        <x:v>vintage</x:v>
      </x:c>
      <x:c r="C11" t="str">
        <x:v>2021</x:v>
      </x:c>
      <x:c r="D11" s="34" t="n">
        <x:v>287</x:v>
      </x:c>
      <x:c r="E11" s="34" t="n">
        <x:v>50943</x:v>
      </x:c>
      <x:c r="F11" t="str">
        <x:v>EUR</x:v>
      </x:c>
      <x:c r="G11" t="str">
        <x:v>Pasted text(20261025-183839).txt / SPAIN / KPI_3</x:v>
      </x:c>
      <x:c r="H11" t="str">
        <x:v>text row 14</x:v>
      </x:c>
    </x:row>
    <x:row r="12">
      <x:c r="A12" t="str">
        <x:v>Spain</x:v>
      </x:c>
      <x:c r="B12" t="str">
        <x:v>vintage</x:v>
      </x:c>
      <x:c r="C12" t="str">
        <x:v>2022</x:v>
      </x:c>
      <x:c r="D12" s="34" t="n">
        <x:v>476</x:v>
      </x:c>
      <x:c r="E12" s="34" t="n">
        <x:v>110026</x:v>
      </x:c>
      <x:c r="F12" t="str">
        <x:v>EUR</x:v>
      </x:c>
      <x:c r="G12" t="str">
        <x:v>Pasted text(20261025-183839).txt / SPAIN / KPI_3</x:v>
      </x:c>
      <x:c r="H12" t="str">
        <x:v>text row 15</x:v>
      </x:c>
    </x:row>
    <x:row r="13">
      <x:c r="A13" t="str">
        <x:v>Spain</x:v>
      </x:c>
      <x:c r="B13" t="str">
        <x:v>vintage</x:v>
      </x:c>
      <x:c r="C13" t="str">
        <x:v>2023</x:v>
      </x:c>
      <x:c r="D13" s="34" t="n">
        <x:v>239</x:v>
      </x:c>
      <x:c r="E13" s="34" t="n">
        <x:v>58139</x:v>
      </x:c>
      <x:c r="F13" t="str">
        <x:v>EUR</x:v>
      </x:c>
      <x:c r="G13" t="str">
        <x:v>Pasted text(20261025-183839).txt / SPAIN / KPI_3</x:v>
      </x:c>
      <x:c r="H13" t="str">
        <x:v>text row 16</x:v>
      </x:c>
    </x:row>
    <x:row r="14">
      <x:c r="A14" t="str">
        <x:v>Spain</x:v>
      </x:c>
      <x:c r="B14" t="str">
        <x:v>vintage</x:v>
      </x:c>
      <x:c r="C14" t="str">
        <x:v>2024</x:v>
      </x:c>
      <x:c r="D14" s="34" t="n">
        <x:v>211</x:v>
      </x:c>
      <x:c r="E14" s="34" t="n">
        <x:v>50454</x:v>
      </x:c>
      <x:c r="F14" t="str">
        <x:v>EUR</x:v>
      </x:c>
      <x:c r="G14" t="str">
        <x:v>Pasted text(20261025-183839).txt / SPAIN / KPI_3</x:v>
      </x:c>
      <x:c r="H14" t="str">
        <x:v>text row 17</x:v>
      </x:c>
    </x:row>
    <x:row r="15">
      <x:c r="A15" t="str">
        <x:v>Spain</x:v>
      </x:c>
      <x:c r="B15" t="str">
        <x:v>vintage</x:v>
      </x:c>
      <x:c r="C15" t="str">
        <x:v>2025</x:v>
      </x:c>
      <x:c r="D15" s="34" t="n">
        <x:v>358</x:v>
      </x:c>
      <x:c r="E15" s="34" t="n">
        <x:v>69303</x:v>
      </x:c>
      <x:c r="F15" t="str">
        <x:v>EUR</x:v>
      </x:c>
      <x:c r="G15" t="str">
        <x:v>Pasted text(20261025-183839).txt / SPAIN / KPI_3</x:v>
      </x:c>
      <x:c r="H15" t="str">
        <x:v>text row 18</x:v>
      </x:c>
    </x:row>
    <x:row r="16">
      <x:c r="A16" t="str">
        <x:v>Spain</x:v>
      </x:c>
      <x:c r="B16" t="str">
        <x:v>vintage</x:v>
      </x:c>
      <x:c r="C16" t="str">
        <x:v>2026</x:v>
      </x:c>
      <x:c r="D16" s="34" t="n">
        <x:v>5582</x:v>
      </x:c>
      <x:c r="E16" s="34" t="n">
        <x:v>1358675</x:v>
      </x:c>
      <x:c r="F16" t="str">
        <x:v>EUR</x:v>
      </x:c>
      <x:c r="G16" t="str">
        <x:v>Pasted text(20261025-183839).txt / SPAIN / KPI_3</x:v>
      </x:c>
      <x:c r="H16" t="str">
        <x:v>text row 19</x:v>
      </x:c>
    </x:row>
    <x:row r="17">
      <x:c r="A17" t="str">
        <x:v>Germany</x:v>
      </x:c>
      <x:c r="B17" t="str">
        <x:v>band</x:v>
      </x:c>
      <x:c r="C17" t="str">
        <x:v>0 - 1 €</x:v>
      </x:c>
      <x:c r="D17" s="34" t="n">
        <x:v>1162</x:v>
      </x:c>
      <x:c r="E17" s="34" t="n">
        <x:v>477</x:v>
      </x:c>
      <x:c r="F17" t="str">
        <x:v>EUR</x:v>
      </x:c>
      <x:c r="G17" t="str">
        <x:v>Pasted text(20261025-183839).txt / GERMANY / KPI_3</x:v>
      </x:c>
      <x:c r="H17" t="str">
        <x:v>text row 4</x:v>
      </x:c>
    </x:row>
    <x:row r="18">
      <x:c r="A18" t="str">
        <x:v>Germany</x:v>
      </x:c>
      <x:c r="B18" t="str">
        <x:v>band</x:v>
      </x:c>
      <x:c r="C18" t="str">
        <x:v>1 - 10 €</x:v>
      </x:c>
      <x:c r="D18" s="34" t="n">
        <x:v>2796</x:v>
      </x:c>
      <x:c r="E18" s="34" t="n">
        <x:v>15745</x:v>
      </x:c>
      <x:c r="F18" t="str">
        <x:v>EUR</x:v>
      </x:c>
      <x:c r="G18" t="str">
        <x:v>Pasted text(20261025-183839).txt / GERMANY / KPI_3</x:v>
      </x:c>
      <x:c r="H18" t="str">
        <x:v>text row 5</x:v>
      </x:c>
    </x:row>
    <x:row r="19">
      <x:c r="A19" t="str">
        <x:v>Germany</x:v>
      </x:c>
      <x:c r="B19" t="str">
        <x:v>band</x:v>
      </x:c>
      <x:c r="C19" t="str">
        <x:v>10 - 100 €</x:v>
      </x:c>
      <x:c r="D19" s="34" t="n">
        <x:v>14197</x:v>
      </x:c>
      <x:c r="E19" s="34" t="n">
        <x:v>545285</x:v>
      </x:c>
      <x:c r="F19" t="str">
        <x:v>EUR</x:v>
      </x:c>
      <x:c r="G19" t="str">
        <x:v>Pasted text(20261025-183839).txt / GERMANY / KPI_3</x:v>
      </x:c>
      <x:c r="H19" t="str">
        <x:v>text row 6</x:v>
      </x:c>
    </x:row>
    <x:row r="20">
      <x:c r="A20" t="str">
        <x:v>Germany</x:v>
      </x:c>
      <x:c r="B20" t="str">
        <x:v>band</x:v>
      </x:c>
      <x:c r="C20" t="str">
        <x:v>100 - 500 €</x:v>
      </x:c>
      <x:c r="D20" s="34" t="n">
        <x:v>3712</x:v>
      </x:c>
      <x:c r="E20" s="34" t="n">
        <x:v>778963</x:v>
      </x:c>
      <x:c r="F20" t="str">
        <x:v>EUR</x:v>
      </x:c>
      <x:c r="G20" t="str">
        <x:v>Pasted text(20261025-183839).txt / GERMANY / KPI_3</x:v>
      </x:c>
      <x:c r="H20" t="str">
        <x:v>text row 7</x:v>
      </x:c>
    </x:row>
    <x:row r="21">
      <x:c r="A21" t="str">
        <x:v>Germany</x:v>
      </x:c>
      <x:c r="B21" t="str">
        <x:v>band</x:v>
      </x:c>
      <x:c r="C21" t="str">
        <x:v>500 - 1 000 €</x:v>
      </x:c>
      <x:c r="D21" s="34" t="n">
        <x:v>575</x:v>
      </x:c>
      <x:c r="E21" s="34" t="n">
        <x:v>398611</x:v>
      </x:c>
      <x:c r="F21" t="str">
        <x:v>EUR</x:v>
      </x:c>
      <x:c r="G21" t="str">
        <x:v>Pasted text(20261025-183839).txt / GERMANY / KPI_3</x:v>
      </x:c>
      <x:c r="H21" t="str">
        <x:v>text row 8</x:v>
      </x:c>
    </x:row>
    <x:row r="22">
      <x:c r="A22" t="str">
        <x:v>Germany</x:v>
      </x:c>
      <x:c r="B22" t="str">
        <x:v>band</x:v>
      </x:c>
      <x:c r="C22" t="str">
        <x:v>&gt; 1 000 €</x:v>
      </x:c>
      <x:c r="D22" s="34" t="n">
        <x:v>865</x:v>
      </x:c>
      <x:c r="E22" s="34" t="n">
        <x:v>1734392</x:v>
      </x:c>
      <x:c r="F22" t="str">
        <x:v>EUR</x:v>
      </x:c>
      <x:c r="G22" t="str">
        <x:v>Pasted text(20261025-183839).txt / GERMANY / KPI_3</x:v>
      </x:c>
      <x:c r="H22" t="str">
        <x:v>text row 9</x:v>
      </x:c>
    </x:row>
    <x:row r="23">
      <x:c r="A23" t="str">
        <x:v>Germany</x:v>
      </x:c>
      <x:c r="B23" t="str">
        <x:v>vintage</x:v>
      </x:c>
      <x:c r="C23" t="str">
        <x:v>&lt; 2018</x:v>
      </x:c>
      <x:c r="D23" s="34" t="n">
        <x:v>2354</x:v>
      </x:c>
      <x:c r="E23" s="34" t="n">
        <x:v>88890</x:v>
      </x:c>
      <x:c r="F23" t="str">
        <x:v>EUR</x:v>
      </x:c>
      <x:c r="G23" t="str">
        <x:v>Pasted text(20261025-183839).txt / GERMANY / KPI_3</x:v>
      </x:c>
      <x:c r="H23" t="str">
        <x:v>text row 11</x:v>
      </x:c>
    </x:row>
    <x:row r="24">
      <x:c r="A24" t="str">
        <x:v>Germany</x:v>
      </x:c>
      <x:c r="B24" t="str">
        <x:v>vintage</x:v>
      </x:c>
      <x:c r="C24" t="str">
        <x:v>2018</x:v>
      </x:c>
      <x:c r="D24" s="34" t="n">
        <x:v>199</x:v>
      </x:c>
      <x:c r="E24" s="34" t="n">
        <x:v>13089</x:v>
      </x:c>
      <x:c r="F24" t="str">
        <x:v>EUR</x:v>
      </x:c>
      <x:c r="G24" t="str">
        <x:v>Pasted text(20261025-183839).txt / GERMANY / KPI_3</x:v>
      </x:c>
      <x:c r="H24" t="str">
        <x:v>text row 12</x:v>
      </x:c>
    </x:row>
    <x:row r="25">
      <x:c r="A25" t="str">
        <x:v>Germany</x:v>
      </x:c>
      <x:c r="B25" t="str">
        <x:v>vintage</x:v>
      </x:c>
      <x:c r="C25" t="str">
        <x:v>2019</x:v>
      </x:c>
      <x:c r="D25" s="34" t="n">
        <x:v>400</x:v>
      </x:c>
      <x:c r="E25" s="34" t="n">
        <x:v>28105</x:v>
      </x:c>
      <x:c r="F25" t="str">
        <x:v>EUR</x:v>
      </x:c>
      <x:c r="G25" t="str">
        <x:v>Pasted text(20261025-183839).txt / GERMANY / KPI_3</x:v>
      </x:c>
      <x:c r="H25" t="str">
        <x:v>text row 13</x:v>
      </x:c>
    </x:row>
    <x:row r="26">
      <x:c r="A26" t="str">
        <x:v>Germany</x:v>
      </x:c>
      <x:c r="B26" t="str">
        <x:v>vintage</x:v>
      </x:c>
      <x:c r="C26" t="str">
        <x:v>2020</x:v>
      </x:c>
      <x:c r="D26" s="34" t="n">
        <x:v>359</x:v>
      </x:c>
      <x:c r="E26" s="34" t="n">
        <x:v>23138</x:v>
      </x:c>
      <x:c r="F26" t="str">
        <x:v>EUR</x:v>
      </x:c>
      <x:c r="G26" t="str">
        <x:v>Pasted text(20261025-183839).txt / GERMANY / KPI_3</x:v>
      </x:c>
      <x:c r="H26" t="str">
        <x:v>text row 14</x:v>
      </x:c>
    </x:row>
    <x:row r="27">
      <x:c r="A27" t="str">
        <x:v>Germany</x:v>
      </x:c>
      <x:c r="B27" t="str">
        <x:v>vintage</x:v>
      </x:c>
      <x:c r="C27" t="str">
        <x:v>2021</x:v>
      </x:c>
      <x:c r="D27" s="34" t="n">
        <x:v>388</x:v>
      </x:c>
      <x:c r="E27" s="34" t="n">
        <x:v>29819</x:v>
      </x:c>
      <x:c r="F27" t="str">
        <x:v>EUR</x:v>
      </x:c>
      <x:c r="G27" t="str">
        <x:v>Pasted text(20261025-183839).txt / GERMANY / KPI_3</x:v>
      </x:c>
      <x:c r="H27" t="str">
        <x:v>text row 15</x:v>
      </x:c>
    </x:row>
    <x:row r="28">
      <x:c r="A28" t="str">
        <x:v>Germany</x:v>
      </x:c>
      <x:c r="B28" t="str">
        <x:v>vintage</x:v>
      </x:c>
      <x:c r="C28" t="str">
        <x:v>2022</x:v>
      </x:c>
      <x:c r="D28" s="34" t="n">
        <x:v>540</x:v>
      </x:c>
      <x:c r="E28" s="34" t="n">
        <x:v>273897</x:v>
      </x:c>
      <x:c r="F28" t="str">
        <x:v>EUR</x:v>
      </x:c>
      <x:c r="G28" t="str">
        <x:v>Pasted text(20261025-183839).txt / GERMANY / KPI_3</x:v>
      </x:c>
      <x:c r="H28" t="str">
        <x:v>text row 16</x:v>
      </x:c>
    </x:row>
    <x:row r="29">
      <x:c r="A29" t="str">
        <x:v>Germany</x:v>
      </x:c>
      <x:c r="B29" t="str">
        <x:v>vintage</x:v>
      </x:c>
      <x:c r="C29" t="str">
        <x:v>2023</x:v>
      </x:c>
      <x:c r="D29" s="34" t="n">
        <x:v>1107</x:v>
      </x:c>
      <x:c r="E29" s="34" t="n">
        <x:v>222500</x:v>
      </x:c>
      <x:c r="F29" t="str">
        <x:v>EUR</x:v>
      </x:c>
      <x:c r="G29" t="str">
        <x:v>Pasted text(20261025-183839).txt / GERMANY / KPI_3</x:v>
      </x:c>
      <x:c r="H29" t="str">
        <x:v>text row 17</x:v>
      </x:c>
    </x:row>
    <x:row r="30">
      <x:c r="A30" t="str">
        <x:v>Germany</x:v>
      </x:c>
      <x:c r="B30" t="str">
        <x:v>vintage</x:v>
      </x:c>
      <x:c r="C30" t="str">
        <x:v>2024</x:v>
      </x:c>
      <x:c r="D30" s="34" t="n">
        <x:v>3171</x:v>
      </x:c>
      <x:c r="E30" s="34" t="n">
        <x:v>253677</x:v>
      </x:c>
      <x:c r="F30" t="str">
        <x:v>EUR</x:v>
      </x:c>
      <x:c r="G30" t="str">
        <x:v>Pasted text(20261025-183839).txt / GERMANY / KPI_3</x:v>
      </x:c>
      <x:c r="H30" t="str">
        <x:v>text row 18</x:v>
      </x:c>
    </x:row>
    <x:row r="31">
      <x:c r="A31" t="str">
        <x:v>Germany</x:v>
      </x:c>
      <x:c r="B31" t="str">
        <x:v>vintage</x:v>
      </x:c>
      <x:c r="C31" t="str">
        <x:v>2025</x:v>
      </x:c>
      <x:c r="D31" s="34" t="n">
        <x:v>4704</x:v>
      </x:c>
      <x:c r="E31" s="34" t="n">
        <x:v>553548</x:v>
      </x:c>
      <x:c r="F31" t="str">
        <x:v>EUR</x:v>
      </x:c>
      <x:c r="G31" t="str">
        <x:v>Pasted text(20261025-183839).txt / GERMANY / KPI_3</x:v>
      </x:c>
      <x:c r="H31" t="str">
        <x:v>text row 19</x:v>
      </x:c>
    </x:row>
    <x:row r="32">
      <x:c r="A32" t="str">
        <x:v>Germany</x:v>
      </x:c>
      <x:c r="B32" t="str">
        <x:v>vintage</x:v>
      </x:c>
      <x:c r="C32" t="str">
        <x:v>2026</x:v>
      </x:c>
      <x:c r="D32" s="34" t="n">
        <x:v>10085</x:v>
      </x:c>
      <x:c r="E32" s="34" t="n">
        <x:v>1986810</x:v>
      </x:c>
      <x:c r="F32" t="str">
        <x:v>EUR</x:v>
      </x:c>
      <x:c r="G32" t="str">
        <x:v>Pasted text(20261025-183839).txt / GERMANY / KPI_3</x:v>
      </x:c>
      <x:c r="H32" t="str">
        <x:v>text row 20</x:v>
      </x:c>
    </x:row>
    <x:row r="33">
      <x:c r="A33" t="str">
        <x:v>Austria</x:v>
      </x:c>
      <x:c r="B33" t="str">
        <x:v>band</x:v>
      </x:c>
      <x:c r="C33" t="str">
        <x:v>0 - 1 €</x:v>
      </x:c>
      <x:c r="D33" s="34" t="n">
        <x:v>5</x:v>
      </x:c>
      <x:c r="E33" s="34" t="n">
        <x:v>1.21</x:v>
      </x:c>
      <x:c r="F33" t="str">
        <x:v>EUR</x:v>
      </x:c>
      <x:c r="G33" t="str">
        <x:v>AUSTRIA.xlsx / KPI_3</x:v>
      </x:c>
      <x:c r="H33" t="str">
        <x:v>C6/D6</x:v>
      </x:c>
    </x:row>
    <x:row r="34">
      <x:c r="A34" t="str">
        <x:v>Austria</x:v>
      </x:c>
      <x:c r="B34" t="str">
        <x:v>band</x:v>
      </x:c>
      <x:c r="C34" t="str">
        <x:v>1 - 10 €</x:v>
      </x:c>
      <x:c r="D34" s="34" t="n">
        <x:v>19</x:v>
      </x:c>
      <x:c r="E34" s="34" t="n">
        <x:v>83.42</x:v>
      </x:c>
      <x:c r="F34" t="str">
        <x:v>EUR</x:v>
      </x:c>
      <x:c r="G34" t="str">
        <x:v>AUSTRIA.xlsx / KPI_3</x:v>
      </x:c>
      <x:c r="H34" t="str">
        <x:v>C7/D7</x:v>
      </x:c>
    </x:row>
    <x:row r="35">
      <x:c r="A35" t="str">
        <x:v>Austria</x:v>
      </x:c>
      <x:c r="B35" t="str">
        <x:v>band</x:v>
      </x:c>
      <x:c r="C35" t="str">
        <x:v>10 - 100 €</x:v>
      </x:c>
      <x:c r="D35" s="34" t="n">
        <x:v>32</x:v>
      </x:c>
      <x:c r="E35" s="34" t="n">
        <x:v>1265.6</x:v>
      </x:c>
      <x:c r="F35" t="str">
        <x:v>EUR</x:v>
      </x:c>
      <x:c r="G35" t="str">
        <x:v>AUSTRIA.xlsx / KPI_3</x:v>
      </x:c>
      <x:c r="H35" t="str">
        <x:v>C8/D8</x:v>
      </x:c>
    </x:row>
    <x:row r="36">
      <x:c r="A36" t="str">
        <x:v>Austria</x:v>
      </x:c>
      <x:c r="B36" t="str">
        <x:v>band</x:v>
      </x:c>
      <x:c r="C36" t="str">
        <x:v>100 - 1 000 €</x:v>
      </x:c>
      <x:c r="D36" s="34" t="n">
        <x:v>14</x:v>
      </x:c>
      <x:c r="E36" s="34" t="n">
        <x:v>3254</x:v>
      </x:c>
      <x:c r="F36" t="str">
        <x:v>EUR</x:v>
      </x:c>
      <x:c r="G36" t="str">
        <x:v>AUSTRIA.xlsx / KPI_3</x:v>
      </x:c>
      <x:c r="H36" t="str">
        <x:v>C9/D9</x:v>
      </x:c>
    </x:row>
    <x:row r="37">
      <x:c r="A37" t="str">
        <x:v>Austria</x:v>
      </x:c>
      <x:c r="B37" t="str">
        <x:v>band</x:v>
      </x:c>
      <x:c r="C37" t="str">
        <x:v>&gt; 1 000 €</x:v>
      </x:c>
      <x:c r="D37" s="34" t="n">
        <x:v>4</x:v>
      </x:c>
      <x:c r="E37" s="34" t="n">
        <x:v>7388.06</x:v>
      </x:c>
      <x:c r="F37" t="str">
        <x:v>EUR</x:v>
      </x:c>
      <x:c r="G37" t="str">
        <x:v>AUSTRIA.xlsx / KPI_3</x:v>
      </x:c>
      <x:c r="H37" t="str">
        <x:v>C10/D10</x:v>
      </x:c>
    </x:row>
    <x:row r="38">
      <x:c r="A38" t="str">
        <x:v>Austria</x:v>
      </x:c>
      <x:c r="B38" t="str">
        <x:v>vintage</x:v>
      </x:c>
      <x:c r="C38" t="str">
        <x:v>2019</x:v>
      </x:c>
      <x:c r="D38" s="34" t="n">
        <x:v>1</x:v>
      </x:c>
      <x:c r="E38" s="34" t="n">
        <x:v>2314.9</x:v>
      </x:c>
      <x:c r="F38" t="str">
        <x:v>EUR</x:v>
      </x:c>
      <x:c r="G38" t="str">
        <x:v>AUSTRIA.xlsx / KPI_3</x:v>
      </x:c>
      <x:c r="H38" t="str">
        <x:v>C15/D15</x:v>
      </x:c>
    </x:row>
    <x:row r="39">
      <x:c r="A39" t="str">
        <x:v>Austria</x:v>
      </x:c>
      <x:c r="B39" t="str">
        <x:v>vintage</x:v>
      </x:c>
      <x:c r="C39" t="str">
        <x:v>2020</x:v>
      </x:c>
      <x:c r="D39" s="34" t="n">
        <x:v>0</x:v>
      </x:c>
      <x:c r="E39" s="34" t="n">
        <x:v>0</x:v>
      </x:c>
      <x:c r="F39" t="str">
        <x:v>EUR</x:v>
      </x:c>
      <x:c r="G39" t="str">
        <x:v>AUSTRIA.xlsx / KPI_3</x:v>
      </x:c>
      <x:c r="H39" t="str">
        <x:v>C16/D16</x:v>
      </x:c>
    </x:row>
    <x:row r="40">
      <x:c r="A40" t="str">
        <x:v>Austria</x:v>
      </x:c>
      <x:c r="B40" t="str">
        <x:v>vintage</x:v>
      </x:c>
      <x:c r="C40" t="str">
        <x:v>2021</x:v>
      </x:c>
      <x:c r="D40" s="34" t="n">
        <x:v>1</x:v>
      </x:c>
      <x:c r="E40" s="34" t="n">
        <x:v>81.01</x:v>
      </x:c>
      <x:c r="F40" t="str">
        <x:v>EUR</x:v>
      </x:c>
      <x:c r="G40" t="str">
        <x:v>AUSTRIA.xlsx / KPI_3</x:v>
      </x:c>
      <x:c r="H40" t="str">
        <x:v>C17/D17</x:v>
      </x:c>
    </x:row>
    <x:row r="41">
      <x:c r="A41" t="str">
        <x:v>Austria</x:v>
      </x:c>
      <x:c r="B41" t="str">
        <x:v>vintage</x:v>
      </x:c>
      <x:c r="C41" t="str">
        <x:v>2022</x:v>
      </x:c>
      <x:c r="D41" s="34" t="n">
        <x:v>0</x:v>
      </x:c>
      <x:c r="E41" s="34" t="n">
        <x:v>0</x:v>
      </x:c>
      <x:c r="F41" t="str">
        <x:v>EUR</x:v>
      </x:c>
      <x:c r="G41" t="str">
        <x:v>AUSTRIA.xlsx / KPI_3</x:v>
      </x:c>
      <x:c r="H41" t="str">
        <x:v>C18/D18</x:v>
      </x:c>
    </x:row>
    <x:row r="42">
      <x:c r="A42" t="str">
        <x:v>Austria</x:v>
      </x:c>
      <x:c r="B42" t="str">
        <x:v>vintage</x:v>
      </x:c>
      <x:c r="C42" t="str">
        <x:v>2023</x:v>
      </x:c>
      <x:c r="D42" s="34" t="n">
        <x:v>1</x:v>
      </x:c>
      <x:c r="E42" s="34" t="n">
        <x:v>47.06</x:v>
      </x:c>
      <x:c r="F42" t="str">
        <x:v>EUR</x:v>
      </x:c>
      <x:c r="G42" t="str">
        <x:v>AUSTRIA.xlsx / KPI_3</x:v>
      </x:c>
      <x:c r="H42" t="str">
        <x:v>C19/D19</x:v>
      </x:c>
    </x:row>
    <x:row r="43">
      <x:c r="A43" t="str">
        <x:v>Austria</x:v>
      </x:c>
      <x:c r="B43" t="str">
        <x:v>vintage</x:v>
      </x:c>
      <x:c r="C43" t="str">
        <x:v>2024</x:v>
      </x:c>
      <x:c r="D43" s="34" t="n">
        <x:v>3</x:v>
      </x:c>
      <x:c r="E43" s="34" t="n">
        <x:v>3734.12</x:v>
      </x:c>
      <x:c r="F43" t="str">
        <x:v>EUR</x:v>
      </x:c>
      <x:c r="G43" t="str">
        <x:v>AUSTRIA.xlsx / KPI_3</x:v>
      </x:c>
      <x:c r="H43" t="str">
        <x:v>C20/D20</x:v>
      </x:c>
    </x:row>
    <x:row r="44">
      <x:c r="A44" t="str">
        <x:v>Austria</x:v>
      </x:c>
      <x:c r="B44" t="str">
        <x:v>vintage</x:v>
      </x:c>
      <x:c r="C44" t="str">
        <x:v>2025</x:v>
      </x:c>
      <x:c r="D44" s="34" t="n">
        <x:v>3</x:v>
      </x:c>
      <x:c r="E44" s="34" t="n">
        <x:v>429.88</x:v>
      </x:c>
      <x:c r="F44" t="str">
        <x:v>EUR</x:v>
      </x:c>
      <x:c r="G44" t="str">
        <x:v>AUSTRIA.xlsx / KPI_3</x:v>
      </x:c>
      <x:c r="H44" t="str">
        <x:v>C21/D21</x:v>
      </x:c>
    </x:row>
    <x:row r="45">
      <x:c r="A45" t="str">
        <x:v>Austria</x:v>
      </x:c>
      <x:c r="B45" t="str">
        <x:v>vintage</x:v>
      </x:c>
      <x:c r="C45" t="str">
        <x:v>2026</x:v>
      </x:c>
      <x:c r="D45" s="34" t="n">
        <x:v>65</x:v>
      </x:c>
      <x:c r="E45" s="34" t="n">
        <x:v>5385.32</x:v>
      </x:c>
      <x:c r="F45" t="str">
        <x:v>EUR</x:v>
      </x:c>
      <x:c r="G45" t="str">
        <x:v>AUSTRIA.xlsx / KPI_3</x:v>
      </x:c>
      <x:c r="H45" t="str">
        <x:v>C22/D22</x:v>
      </x:c>
    </x:row>
    <x:row r="46">
      <x:c r="A46" t="str">
        <x:v>Belgium</x:v>
      </x:c>
      <x:c r="B46" t="str">
        <x:v>band</x:v>
      </x:c>
      <x:c r="C46" t="str">
        <x:v>0 - 1 €</x:v>
      </x:c>
      <x:c r="D46" s="34" t="n">
        <x:v>11</x:v>
      </x:c>
      <x:c r="E46" s="34" t="n">
        <x:v>4</x:v>
      </x:c>
      <x:c r="F46" t="str">
        <x:v>EUR</x:v>
      </x:c>
      <x:c r="G46" t="str">
        <x:v>Pasted text(20261025-183839).txt / BELGIUM / KPI_3</x:v>
      </x:c>
      <x:c r="H46" t="str">
        <x:v>text row 4</x:v>
      </x:c>
    </x:row>
    <x:row r="47">
      <x:c r="A47" t="str">
        <x:v>Belgium</x:v>
      </x:c>
      <x:c r="B47" t="str">
        <x:v>band</x:v>
      </x:c>
      <x:c r="C47" t="str">
        <x:v>1 - 10 €</x:v>
      </x:c>
      <x:c r="D47" s="34" t="n">
        <x:v>12</x:v>
      </x:c>
      <x:c r="E47" s="34" t="n">
        <x:v>67</x:v>
      </x:c>
      <x:c r="F47" t="str">
        <x:v>EUR</x:v>
      </x:c>
      <x:c r="G47" t="str">
        <x:v>Pasted text(20261025-183839).txt / BELGIUM / KPI_3</x:v>
      </x:c>
      <x:c r="H47" t="str">
        <x:v>text row 5</x:v>
      </x:c>
    </x:row>
    <x:row r="48">
      <x:c r="A48" t="str">
        <x:v>Belgium</x:v>
      </x:c>
      <x:c r="B48" t="str">
        <x:v>band</x:v>
      </x:c>
      <x:c r="C48" t="str">
        <x:v>10 - 100 €</x:v>
      </x:c>
      <x:c r="D48" s="34" t="n">
        <x:v>79</x:v>
      </x:c>
      <x:c r="E48" s="34" t="n">
        <x:v>3911</x:v>
      </x:c>
      <x:c r="F48" t="str">
        <x:v>EUR</x:v>
      </x:c>
      <x:c r="G48" t="str">
        <x:v>Pasted text(20261025-183839).txt / BELGIUM / KPI_3</x:v>
      </x:c>
      <x:c r="H48" t="str">
        <x:v>text row 6</x:v>
      </x:c>
    </x:row>
    <x:row r="49">
      <x:c r="A49" t="str">
        <x:v>Belgium</x:v>
      </x:c>
      <x:c r="B49" t="str">
        <x:v>band</x:v>
      </x:c>
      <x:c r="C49" t="str">
        <x:v>100 - 1 000 €</x:v>
      </x:c>
      <x:c r="D49" s="34" t="n">
        <x:v>179</x:v>
      </x:c>
      <x:c r="E49" s="34" t="n">
        <x:v>54979</x:v>
      </x:c>
      <x:c r="F49" t="str">
        <x:v>EUR</x:v>
      </x:c>
      <x:c r="G49" t="str">
        <x:v>Pasted text(20261025-183839).txt / BELGIUM / KPI_3</x:v>
      </x:c>
      <x:c r="H49" t="str">
        <x:v>text row 7</x:v>
      </x:c>
    </x:row>
    <x:row r="50">
      <x:c r="A50" t="str">
        <x:v>Belgium</x:v>
      </x:c>
      <x:c r="B50" t="str">
        <x:v>band</x:v>
      </x:c>
      <x:c r="C50" t="str">
        <x:v>&gt; 1 000 €</x:v>
      </x:c>
      <x:c r="D50" s="34" t="n">
        <x:v>14</x:v>
      </x:c>
      <x:c r="E50" s="34" t="n">
        <x:v>77704</x:v>
      </x:c>
      <x:c r="F50" t="str">
        <x:v>EUR</x:v>
      </x:c>
      <x:c r="G50" t="str">
        <x:v>Pasted text(20261025-183839).txt / BELGIUM / KPI_3</x:v>
      </x:c>
      <x:c r="H50" t="str">
        <x:v>text row 8</x:v>
      </x:c>
    </x:row>
    <x:row r="51">
      <x:c r="A51" t="str">
        <x:v>Belgium</x:v>
      </x:c>
      <x:c r="B51" t="str">
        <x:v>vintage</x:v>
      </x:c>
      <x:c r="C51" t="str">
        <x:v>2018</x:v>
      </x:c>
      <x:c r="D51" s="34" t="n">
        <x:v>4</x:v>
      </x:c>
      <x:c r="E51" s="34" t="n">
        <x:v>559</x:v>
      </x:c>
      <x:c r="F51" t="str">
        <x:v>EUR</x:v>
      </x:c>
      <x:c r="G51" t="str">
        <x:v>Pasted text(20261025-183839).txt / BELGIUM / KPI_3</x:v>
      </x:c>
      <x:c r="H51" t="str">
        <x:v>text row 11</x:v>
      </x:c>
    </x:row>
    <x:row r="52">
      <x:c r="A52" t="str">
        <x:v>Belgium</x:v>
      </x:c>
      <x:c r="B52" t="str">
        <x:v>vintage</x:v>
      </x:c>
      <x:c r="C52" t="str">
        <x:v>2019</x:v>
      </x:c>
      <x:c r="D52" s="34" t="n">
        <x:v>4</x:v>
      </x:c>
      <x:c r="E52" s="34" t="n">
        <x:v>2056</x:v>
      </x:c>
      <x:c r="F52" t="str">
        <x:v>EUR</x:v>
      </x:c>
      <x:c r="G52" t="str">
        <x:v>Pasted text(20261025-183839).txt / BELGIUM / KPI_3</x:v>
      </x:c>
      <x:c r="H52" t="str">
        <x:v>text row 12</x:v>
      </x:c>
    </x:row>
    <x:row r="53">
      <x:c r="A53" t="str">
        <x:v>Belgium</x:v>
      </x:c>
      <x:c r="B53" t="str">
        <x:v>vintage</x:v>
      </x:c>
      <x:c r="C53" t="str">
        <x:v>2020</x:v>
      </x:c>
      <x:c r="D53" s="34" t="n">
        <x:v>9</x:v>
      </x:c>
      <x:c r="E53" s="34" t="n">
        <x:v>1953</x:v>
      </x:c>
      <x:c r="F53" t="str">
        <x:v>EUR</x:v>
      </x:c>
      <x:c r="G53" t="str">
        <x:v>Pasted text(20261025-183839).txt / BELGIUM / KPI_3</x:v>
      </x:c>
      <x:c r="H53" t="str">
        <x:v>text row 13</x:v>
      </x:c>
    </x:row>
    <x:row r="54">
      <x:c r="A54" t="str">
        <x:v>Belgium</x:v>
      </x:c>
      <x:c r="B54" t="str">
        <x:v>vintage</x:v>
      </x:c>
      <x:c r="C54" t="str">
        <x:v>2021</x:v>
      </x:c>
      <x:c r="D54" s="34" t="n">
        <x:v>22</x:v>
      </x:c>
      <x:c r="E54" s="34" t="n">
        <x:v>9241</x:v>
      </x:c>
      <x:c r="F54" t="str">
        <x:v>EUR</x:v>
      </x:c>
      <x:c r="G54" t="str">
        <x:v>Pasted text(20261025-183839).txt / BELGIUM / KPI_3</x:v>
      </x:c>
      <x:c r="H54" t="str">
        <x:v>text row 14</x:v>
      </x:c>
    </x:row>
    <x:row r="55">
      <x:c r="A55" t="str">
        <x:v>Belgium</x:v>
      </x:c>
      <x:c r="B55" t="str">
        <x:v>vintage</x:v>
      </x:c>
      <x:c r="C55" t="str">
        <x:v>2022</x:v>
      </x:c>
      <x:c r="D55" s="34" t="n">
        <x:v>11</x:v>
      </x:c>
      <x:c r="E55" s="34" t="n">
        <x:v>2958</x:v>
      </x:c>
      <x:c r="F55" t="str">
        <x:v>EUR</x:v>
      </x:c>
      <x:c r="G55" t="str">
        <x:v>Pasted text(20261025-183839).txt / BELGIUM / KPI_3</x:v>
      </x:c>
      <x:c r="H55" t="str">
        <x:v>text row 15</x:v>
      </x:c>
    </x:row>
    <x:row r="56">
      <x:c r="A56" t="str">
        <x:v>Belgium</x:v>
      </x:c>
      <x:c r="B56" t="str">
        <x:v>vintage</x:v>
      </x:c>
      <x:c r="C56" t="str">
        <x:v>2023</x:v>
      </x:c>
      <x:c r="D56" s="34" t="n">
        <x:v>4</x:v>
      </x:c>
      <x:c r="E56" s="34" t="n">
        <x:v>841</x:v>
      </x:c>
      <x:c r="F56" t="str">
        <x:v>EUR</x:v>
      </x:c>
      <x:c r="G56" t="str">
        <x:v>Pasted text(20261025-183839).txt / BELGIUM / KPI_3</x:v>
      </x:c>
      <x:c r="H56" t="str">
        <x:v>text row 16</x:v>
      </x:c>
    </x:row>
    <x:row r="57">
      <x:c r="A57" t="str">
        <x:v>Belgium</x:v>
      </x:c>
      <x:c r="B57" t="str">
        <x:v>vintage</x:v>
      </x:c>
      <x:c r="C57" t="str">
        <x:v>2024</x:v>
      </x:c>
      <x:c r="D57" s="34" t="n">
        <x:v>2</x:v>
      </x:c>
      <x:c r="E57" s="34" t="n">
        <x:v>5209</x:v>
      </x:c>
      <x:c r="F57" t="str">
        <x:v>EUR</x:v>
      </x:c>
      <x:c r="G57" t="str">
        <x:v>Pasted text(20261025-183839).txt / BELGIUM / KPI_3</x:v>
      </x:c>
      <x:c r="H57" t="str">
        <x:v>text row 17</x:v>
      </x:c>
    </x:row>
    <x:row r="58">
      <x:c r="A58" t="str">
        <x:v>Belgium</x:v>
      </x:c>
      <x:c r="B58" t="str">
        <x:v>vintage</x:v>
      </x:c>
      <x:c r="C58" t="str">
        <x:v>2025</x:v>
      </x:c>
      <x:c r="D58" s="34" t="n">
        <x:v>4</x:v>
      </x:c>
      <x:c r="E58" s="34" t="n">
        <x:v>1688</x:v>
      </x:c>
      <x:c r="F58" t="str">
        <x:v>EUR</x:v>
      </x:c>
      <x:c r="G58" t="str">
        <x:v>Pasted text(20261025-183839).txt / BELGIUM / KPI_3</x:v>
      </x:c>
      <x:c r="H58" t="str">
        <x:v>text row 18</x:v>
      </x:c>
    </x:row>
    <x:row r="59">
      <x:c r="A59" t="str">
        <x:v>Belgium</x:v>
      </x:c>
      <x:c r="B59" t="str">
        <x:v>vintage</x:v>
      </x:c>
      <x:c r="C59" t="str">
        <x:v>2026</x:v>
      </x:c>
      <x:c r="D59" s="34" t="n">
        <x:v>235</x:v>
      </x:c>
      <x:c r="E59" s="34" t="n">
        <x:v>112161</x:v>
      </x:c>
      <x:c r="F59" t="str">
        <x:v>EUR</x:v>
      </x:c>
      <x:c r="G59" t="str">
        <x:v>Pasted text(20261025-183839).txt / BELGIUM / KPI_3</x:v>
      </x:c>
      <x:c r="H59" t="str">
        <x:v>text row 19</x:v>
      </x:c>
    </x:row>
    <x:row r="60">
      <x:c r="A60" t="str">
        <x:v>Italy</x:v>
      </x:c>
      <x:c r="B60" t="str">
        <x:v>band</x:v>
      </x:c>
      <x:c r="C60" t="str">
        <x:v>0 - 1 €</x:v>
      </x:c>
      <x:c r="D60" s="34" t="n">
        <x:v>18778</x:v>
      </x:c>
      <x:c r="E60" s="34" t="n">
        <x:v>8558</x:v>
      </x:c>
      <x:c r="F60" t="str">
        <x:v>EUR</x:v>
      </x:c>
      <x:c r="G60" t="str">
        <x:v>Pasted text(20261025-183839).txt / ITALY / KPI_3</x:v>
      </x:c>
      <x:c r="H60" t="str">
        <x:v>text row 4</x:v>
      </x:c>
    </x:row>
    <x:row r="61">
      <x:c r="A61" t="str">
        <x:v>Italy</x:v>
      </x:c>
      <x:c r="B61" t="str">
        <x:v>band</x:v>
      </x:c>
      <x:c r="C61" t="str">
        <x:v>1 - 10 €</x:v>
      </x:c>
      <x:c r="D61" s="34" t="n">
        <x:v>75068</x:v>
      </x:c>
      <x:c r="E61" s="34" t="n">
        <x:v>205306</x:v>
      </x:c>
      <x:c r="F61" t="str">
        <x:v>EUR</x:v>
      </x:c>
      <x:c r="G61" t="str">
        <x:v>Pasted text(20261025-183839).txt / ITALY / KPI_3</x:v>
      </x:c>
      <x:c r="H61" t="str">
        <x:v>text row 5</x:v>
      </x:c>
    </x:row>
    <x:row r="62">
      <x:c r="A62" t="str">
        <x:v>Italy</x:v>
      </x:c>
      <x:c r="B62" t="str">
        <x:v>band</x:v>
      </x:c>
      <x:c r="C62" t="str">
        <x:v>10 - 100 €</x:v>
      </x:c>
      <x:c r="D62" s="34" t="n">
        <x:v>8379</x:v>
      </x:c>
      <x:c r="E62" s="34" t="n">
        <x:v>310582</x:v>
      </x:c>
      <x:c r="F62" t="str">
        <x:v>EUR</x:v>
      </x:c>
      <x:c r="G62" t="str">
        <x:v>Pasted text(20261025-183839).txt / ITALY / KPI_3</x:v>
      </x:c>
      <x:c r="H62" t="str">
        <x:v>text row 6</x:v>
      </x:c>
    </x:row>
    <x:row r="63">
      <x:c r="A63" t="str">
        <x:v>Italy</x:v>
      </x:c>
      <x:c r="B63" t="str">
        <x:v>band</x:v>
      </x:c>
      <x:c r="C63" t="str">
        <x:v>100 - 1 000 €</x:v>
      </x:c>
      <x:c r="D63" s="34" t="n">
        <x:v>5882</x:v>
      </x:c>
      <x:c r="E63" s="34" t="n">
        <x:v>1654928</x:v>
      </x:c>
      <x:c r="F63" t="str">
        <x:v>EUR</x:v>
      </x:c>
      <x:c r="G63" t="str">
        <x:v>Pasted text(20261025-183839).txt / ITALY / KPI_3</x:v>
      </x:c>
      <x:c r="H63" t="str">
        <x:v>text row 7</x:v>
      </x:c>
    </x:row>
    <x:row r="64">
      <x:c r="A64" t="str">
        <x:v>Italy</x:v>
      </x:c>
      <x:c r="B64" t="str">
        <x:v>band</x:v>
      </x:c>
      <x:c r="C64" t="str">
        <x:v>&gt; 1 000 €</x:v>
      </x:c>
      <x:c r="D64" s="34" t="n">
        <x:v>366</x:v>
      </x:c>
      <x:c r="E64" s="34" t="n">
        <x:v>843871</x:v>
      </x:c>
      <x:c r="F64" t="str">
        <x:v>EUR</x:v>
      </x:c>
      <x:c r="G64" t="str">
        <x:v>Pasted text(20261025-183839).txt / ITALY / KPI_3</x:v>
      </x:c>
      <x:c r="H64" t="str">
        <x:v>text row 8</x:v>
      </x:c>
    </x:row>
    <x:row r="65">
      <x:c r="A65" t="str">
        <x:v>Italy</x:v>
      </x:c>
      <x:c r="B65" t="str">
        <x:v>vintage</x:v>
      </x:c>
      <x:c r="C65" t="str">
        <x:v>&lt; 2018</x:v>
      </x:c>
      <x:c r="D65" s="34" t="n">
        <x:v>8231</x:v>
      </x:c>
      <x:c r="E65" s="34" t="n">
        <x:v>527268</x:v>
      </x:c>
      <x:c r="F65" t="str">
        <x:v>EUR</x:v>
      </x:c>
      <x:c r="G65" t="str">
        <x:v>Pasted text(20261025-183839).txt / ITALY / KPI_3</x:v>
      </x:c>
      <x:c r="H65" t="str">
        <x:v>text row 10</x:v>
      </x:c>
    </x:row>
    <x:row r="66">
      <x:c r="A66" t="str">
        <x:v>Italy</x:v>
      </x:c>
      <x:c r="B66" t="str">
        <x:v>vintage</x:v>
      </x:c>
      <x:c r="C66" t="str">
        <x:v>2018</x:v>
      </x:c>
      <x:c r="D66" s="34" t="n">
        <x:v>6209</x:v>
      </x:c>
      <x:c r="E66" s="34" t="n">
        <x:v>112892</x:v>
      </x:c>
      <x:c r="F66" t="str">
        <x:v>EUR</x:v>
      </x:c>
      <x:c r="G66" t="str">
        <x:v>Pasted text(20261025-183839).txt / ITALY / KPI_3</x:v>
      </x:c>
      <x:c r="H66" t="str">
        <x:v>text row 11</x:v>
      </x:c>
    </x:row>
    <x:row r="67">
      <x:c r="A67" t="str">
        <x:v>Italy</x:v>
      </x:c>
      <x:c r="B67" t="str">
        <x:v>vintage</x:v>
      </x:c>
      <x:c r="C67" t="str">
        <x:v>2019</x:v>
      </x:c>
      <x:c r="D67" s="34" t="n">
        <x:v>15777</x:v>
      </x:c>
      <x:c r="E67" s="34" t="n">
        <x:v>170983</x:v>
      </x:c>
      <x:c r="F67" t="str">
        <x:v>EUR</x:v>
      </x:c>
      <x:c r="G67" t="str">
        <x:v>Pasted text(20261025-183839).txt / ITALY / KPI_3</x:v>
      </x:c>
      <x:c r="H67" t="str">
        <x:v>text row 12</x:v>
      </x:c>
    </x:row>
    <x:row r="68">
      <x:c r="A68" t="str">
        <x:v>Italy</x:v>
      </x:c>
      <x:c r="B68" t="str">
        <x:v>vintage</x:v>
      </x:c>
      <x:c r="C68" t="str">
        <x:v>2020</x:v>
      </x:c>
      <x:c r="D68" s="34" t="n">
        <x:v>15829</x:v>
      </x:c>
      <x:c r="E68" s="34" t="n">
        <x:v>199362</x:v>
      </x:c>
      <x:c r="F68" t="str">
        <x:v>EUR</x:v>
      </x:c>
      <x:c r="G68" t="str">
        <x:v>Pasted text(20261025-183839).txt / ITALY / KPI_3</x:v>
      </x:c>
      <x:c r="H68" t="str">
        <x:v>text row 13</x:v>
      </x:c>
    </x:row>
    <x:row r="69">
      <x:c r="A69" t="str">
        <x:v>Italy</x:v>
      </x:c>
      <x:c r="B69" t="str">
        <x:v>vintage</x:v>
      </x:c>
      <x:c r="C69" t="str">
        <x:v>2021</x:v>
      </x:c>
      <x:c r="D69" s="34" t="n">
        <x:v>12963</x:v>
      </x:c>
      <x:c r="E69" s="34" t="n">
        <x:v>147913</x:v>
      </x:c>
      <x:c r="F69" t="str">
        <x:v>EUR</x:v>
      </x:c>
      <x:c r="G69" t="str">
        <x:v>Pasted text(20261025-183839).txt / ITALY / KPI_3</x:v>
      </x:c>
      <x:c r="H69" t="str">
        <x:v>text row 14</x:v>
      </x:c>
    </x:row>
    <x:row r="70">
      <x:c r="A70" t="str">
        <x:v>Italy</x:v>
      </x:c>
      <x:c r="B70" t="str">
        <x:v>vintage</x:v>
      </x:c>
      <x:c r="C70" t="str">
        <x:v>2022</x:v>
      </x:c>
      <x:c r="D70" s="34" t="n">
        <x:v>10844</x:v>
      </x:c>
      <x:c r="E70" s="34" t="n">
        <x:v>135893</x:v>
      </x:c>
      <x:c r="F70" t="str">
        <x:v>EUR</x:v>
      </x:c>
      <x:c r="G70" t="str">
        <x:v>Pasted text(20261025-183839).txt / ITALY / KPI_3</x:v>
      </x:c>
      <x:c r="H70" t="str">
        <x:v>text row 15</x:v>
      </x:c>
    </x:row>
    <x:row r="71">
      <x:c r="A71" t="str">
        <x:v>Italy</x:v>
      </x:c>
      <x:c r="B71" t="str">
        <x:v>vintage</x:v>
      </x:c>
      <x:c r="C71" t="str">
        <x:v>2023</x:v>
      </x:c>
      <x:c r="D71" s="34" t="n">
        <x:v>11955</x:v>
      </x:c>
      <x:c r="E71" s="34" t="n">
        <x:v>163480</x:v>
      </x:c>
      <x:c r="F71" t="str">
        <x:v>EUR</x:v>
      </x:c>
      <x:c r="G71" t="str">
        <x:v>Pasted text(20261025-183839).txt / ITALY / KPI_3</x:v>
      </x:c>
      <x:c r="H71" t="str">
        <x:v>text row 16</x:v>
      </x:c>
    </x:row>
    <x:row r="72">
      <x:c r="A72" t="str">
        <x:v>Italy</x:v>
      </x:c>
      <x:c r="B72" t="str">
        <x:v>vintage</x:v>
      </x:c>
      <x:c r="C72" t="str">
        <x:v>2024</x:v>
      </x:c>
      <x:c r="D72" s="34" t="n">
        <x:v>12805</x:v>
      </x:c>
      <x:c r="E72" s="34" t="n">
        <x:v>290503</x:v>
      </x:c>
      <x:c r="F72" t="str">
        <x:v>EUR</x:v>
      </x:c>
      <x:c r="G72" t="str">
        <x:v>Pasted text(20261025-183839).txt / ITALY / KPI_3</x:v>
      </x:c>
      <x:c r="H72" t="str">
        <x:v>text row 17</x:v>
      </x:c>
    </x:row>
    <x:row r="73">
      <x:c r="A73" t="str">
        <x:v>Italy</x:v>
      </x:c>
      <x:c r="B73" t="str">
        <x:v>vintage</x:v>
      </x:c>
      <x:c r="C73" t="str">
        <x:v>2025</x:v>
      </x:c>
      <x:c r="D73" s="34" t="n">
        <x:v>8118</x:v>
      </x:c>
      <x:c r="E73" s="34" t="n">
        <x:v>360502</x:v>
      </x:c>
      <x:c r="F73" t="str">
        <x:v>EUR</x:v>
      </x:c>
      <x:c r="G73" t="str">
        <x:v>Pasted text(20261025-183839).txt / ITALY / KPI_3</x:v>
      </x:c>
      <x:c r="H73" t="str">
        <x:v>text row 18</x:v>
      </x:c>
    </x:row>
    <x:row r="74">
      <x:c r="A74" t="str">
        <x:v>Italy</x:v>
      </x:c>
      <x:c r="B74" t="str">
        <x:v>vintage</x:v>
      </x:c>
      <x:c r="C74" t="str">
        <x:v>2026</x:v>
      </x:c>
      <x:c r="D74" s="34" t="n">
        <x:v>5742</x:v>
      </x:c>
      <x:c r="E74" s="34" t="n">
        <x:v>914449</x:v>
      </x:c>
      <x:c r="F74" t="str">
        <x:v>EUR</x:v>
      </x:c>
      <x:c r="G74" t="str">
        <x:v>Pasted text(20261025-183839).txt / ITALY / KPI_3</x:v>
      </x:c>
      <x:c r="H74" t="str">
        <x:v>text row 19</x:v>
      </x:c>
    </x:row>
    <x:row r="75">
      <x:c r="A75" t="str">
        <x:v>Portugal</x:v>
      </x:c>
      <x:c r="B75" t="str">
        <x:v>band</x:v>
      </x:c>
      <x:c r="C75" t="str">
        <x:v>0 - 1 €</x:v>
      </x:c>
      <x:c r="D75" s="34" t="n">
        <x:v>4094</x:v>
      </x:c>
      <x:c r="E75" s="34" t="n">
        <x:v>1230</x:v>
      </x:c>
      <x:c r="F75" t="str">
        <x:v>EUR</x:v>
      </x:c>
      <x:c r="G75" t="str">
        <x:v>Pasted text(20261025-183839).txt / PORTUGAL / KPI_3</x:v>
      </x:c>
      <x:c r="H75" t="str">
        <x:v>text row 4</x:v>
      </x:c>
    </x:row>
    <x:row r="76">
      <x:c r="A76" t="str">
        <x:v>Portugal</x:v>
      </x:c>
      <x:c r="B76" t="str">
        <x:v>band</x:v>
      </x:c>
      <x:c r="C76" t="str">
        <x:v>1 - 10 €</x:v>
      </x:c>
      <x:c r="D76" s="34" t="n">
        <x:v>3459</x:v>
      </x:c>
      <x:c r="E76" s="34" t="n">
        <x:v>14166</x:v>
      </x:c>
      <x:c r="F76" t="str">
        <x:v>EUR</x:v>
      </x:c>
      <x:c r="G76" t="str">
        <x:v>Pasted text(20261025-183839).txt / PORTUGAL / KPI_3</x:v>
      </x:c>
      <x:c r="H76" t="str">
        <x:v>text row 5</x:v>
      </x:c>
    </x:row>
    <x:row r="77">
      <x:c r="A77" t="str">
        <x:v>Portugal</x:v>
      </x:c>
      <x:c r="B77" t="str">
        <x:v>band</x:v>
      </x:c>
      <x:c r="C77" t="str">
        <x:v>10 - 100 €</x:v>
      </x:c>
      <x:c r="D77" s="34" t="n">
        <x:v>4817</x:v>
      </x:c>
      <x:c r="E77" s="34" t="n">
        <x:v>176203</x:v>
      </x:c>
      <x:c r="F77" t="str">
        <x:v>EUR</x:v>
      </x:c>
      <x:c r="G77" t="str">
        <x:v>Pasted text(20261025-183839).txt / PORTUGAL / KPI_3</x:v>
      </x:c>
      <x:c r="H77" t="str">
        <x:v>text row 6</x:v>
      </x:c>
    </x:row>
    <x:row r="78">
      <x:c r="A78" t="str">
        <x:v>Portugal</x:v>
      </x:c>
      <x:c r="B78" t="str">
        <x:v>band</x:v>
      </x:c>
      <x:c r="C78" t="str">
        <x:v>100 - 1 000 €</x:v>
      </x:c>
      <x:c r="D78" s="34" t="n">
        <x:v>1230</x:v>
      </x:c>
      <x:c r="E78" s="34" t="n">
        <x:v>301838</x:v>
      </x:c>
      <x:c r="F78" t="str">
        <x:v>EUR</x:v>
      </x:c>
      <x:c r="G78" t="str">
        <x:v>Pasted text(20261025-183839).txt / PORTUGAL / KPI_3</x:v>
      </x:c>
      <x:c r="H78" t="str">
        <x:v>text row 7</x:v>
      </x:c>
    </x:row>
    <x:row r="79">
      <x:c r="A79" t="str">
        <x:v>Portugal</x:v>
      </x:c>
      <x:c r="B79" t="str">
        <x:v>band</x:v>
      </x:c>
      <x:c r="C79" t="str">
        <x:v>&gt; 1 000 €</x:v>
      </x:c>
      <x:c r="D79" s="34" t="n">
        <x:v>41</x:v>
      </x:c>
      <x:c r="E79" s="34" t="n">
        <x:v>99975</x:v>
      </x:c>
      <x:c r="F79" t="str">
        <x:v>EUR</x:v>
      </x:c>
      <x:c r="G79" t="str">
        <x:v>Pasted text(20261025-183839).txt / PORTUGAL / KPI_3</x:v>
      </x:c>
      <x:c r="H79" t="str">
        <x:v>text row 8</x:v>
      </x:c>
    </x:row>
    <x:row r="80">
      <x:c r="A80" t="str">
        <x:v>Portugal</x:v>
      </x:c>
      <x:c r="B80" t="str">
        <x:v>vintage</x:v>
      </x:c>
      <x:c r="C80" t="str">
        <x:v>2024</x:v>
      </x:c>
      <x:c r="D80" s="34" t="n">
        <x:v>140</x:v>
      </x:c>
      <x:c r="E80" s="34" t="n">
        <x:v>9595</x:v>
      </x:c>
      <x:c r="F80" t="str">
        <x:v>EUR</x:v>
      </x:c>
      <x:c r="G80" t="str">
        <x:v>Pasted text(20261025-183839).txt / PORTUGAL / KPI_3</x:v>
      </x:c>
      <x:c r="H80" t="str">
        <x:v>text row 10</x:v>
      </x:c>
    </x:row>
    <x:row r="81">
      <x:c r="A81" t="str">
        <x:v>Portugal</x:v>
      </x:c>
      <x:c r="B81" t="str">
        <x:v>vintage</x:v>
      </x:c>
      <x:c r="C81" t="str">
        <x:v>2025</x:v>
      </x:c>
      <x:c r="D81" s="34" t="n">
        <x:v>2163</x:v>
      </x:c>
      <x:c r="E81" s="34" t="n">
        <x:v>106201</x:v>
      </x:c>
      <x:c r="F81" t="str">
        <x:v>EUR</x:v>
      </x:c>
      <x:c r="G81" t="str">
        <x:v>Pasted text(20261025-183839).txt / PORTUGAL / KPI_3</x:v>
      </x:c>
      <x:c r="H81" t="str">
        <x:v>text row 11</x:v>
      </x:c>
    </x:row>
    <x:row r="82">
      <x:c r="A82" t="str">
        <x:v>Portugal</x:v>
      </x:c>
      <x:c r="B82" t="str">
        <x:v>vintage</x:v>
      </x:c>
      <x:c r="C82" t="str">
        <x:v>2026</x:v>
      </x:c>
      <x:c r="D82" s="34" t="n">
        <x:v>11338</x:v>
      </x:c>
      <x:c r="E82" s="34" t="n">
        <x:v>477617</x:v>
      </x:c>
      <x:c r="F82" t="str">
        <x:v>EUR</x:v>
      </x:c>
      <x:c r="G82" t="str">
        <x:v>Pasted text(20261025-183839).txt / PORTUGAL / KPI_3</x:v>
      </x:c>
      <x:c r="H82" t="str">
        <x:v>text row 12</x:v>
      </x:c>
    </x:row>
    <x:row r="83">
      <x:c r="A83" t="str">
        <x:v>Portugal</x:v>
      </x:c>
      <x:c r="B83" t="str">
        <x:v>vintage</x:v>
      </x:c>
      <x:c r="C83" t="str">
        <x:v>2024</x:v>
      </x:c>
      <x:c r="D83" s="34" t="n">
        <x:v>140</x:v>
      </x:c>
      <x:c r="E83" s="34" t="n">
        <x:v>9595</x:v>
      </x:c>
      <x:c r="F83" t="str">
        <x:v>EUR</x:v>
      </x:c>
      <x:c r="G83" t="str">
        <x:v>Pasted text(20261025-183839).txt / PORTUGAL / KPI_3</x:v>
      </x:c>
      <x:c r="H83" t="str">
        <x:v>text row 15</x:v>
      </x:c>
      <x:c r="I83" t="str">
        <x:v>DUPLICATE 2024 VINTAGE — excluded from report</x:v>
      </x:c>
    </x:row>
    <x:row r="84">
      <x:c r="A84" t="str">
        <x:v>France</x:v>
      </x:c>
      <x:c r="B84" t="str">
        <x:v>band</x:v>
      </x:c>
      <x:c r="C84" t="str">
        <x:v>0 - 1 €</x:v>
      </x:c>
      <x:c r="D84" s="34" t="n">
        <x:v>2280</x:v>
      </x:c>
      <x:c r="E84" s="34" t="n">
        <x:v>611</x:v>
      </x:c>
      <x:c r="F84" t="str">
        <x:v>EUR</x:v>
      </x:c>
      <x:c r="G84" t="str">
        <x:v>Pasted text(20261025-183839).txt / FRANCE / KPI_3</x:v>
      </x:c>
      <x:c r="H84" t="str">
        <x:v>text row 4</x:v>
      </x:c>
    </x:row>
    <x:row r="85">
      <x:c r="A85" t="str">
        <x:v>France</x:v>
      </x:c>
      <x:c r="B85" t="str">
        <x:v>band</x:v>
      </x:c>
      <x:c r="C85" t="str">
        <x:v>1 - 10 €</x:v>
      </x:c>
      <x:c r="D85" s="34" t="n">
        <x:v>1773</x:v>
      </x:c>
      <x:c r="E85" s="34" t="n">
        <x:v>7665</x:v>
      </x:c>
      <x:c r="F85" t="str">
        <x:v>EUR</x:v>
      </x:c>
      <x:c r="G85" t="str">
        <x:v>Pasted text(20261025-183839).txt / FRANCE / KPI_3</x:v>
      </x:c>
      <x:c r="H85" t="str">
        <x:v>text row 5</x:v>
      </x:c>
    </x:row>
    <x:row r="86">
      <x:c r="A86" t="str">
        <x:v>France</x:v>
      </x:c>
      <x:c r="B86" t="str">
        <x:v>band</x:v>
      </x:c>
      <x:c r="C86" t="str">
        <x:v>10 - 100 €</x:v>
      </x:c>
      <x:c r="D86" s="34" t="n">
        <x:v>4974</x:v>
      </x:c>
      <x:c r="E86" s="34" t="n">
        <x:v>241529</x:v>
      </x:c>
      <x:c r="F86" t="str">
        <x:v>EUR</x:v>
      </x:c>
      <x:c r="G86" t="str">
        <x:v>Pasted text(20261025-183839).txt / FRANCE / KPI_3</x:v>
      </x:c>
      <x:c r="H86" t="str">
        <x:v>text row 6</x:v>
      </x:c>
    </x:row>
    <x:row r="87">
      <x:c r="A87" t="str">
        <x:v>France</x:v>
      </x:c>
      <x:c r="B87" t="str">
        <x:v>band</x:v>
      </x:c>
      <x:c r="C87" t="str">
        <x:v>100 - 1 000 €</x:v>
      </x:c>
      <x:c r="D87" s="34" t="n">
        <x:v>5181</x:v>
      </x:c>
      <x:c r="E87" s="34" t="n">
        <x:v>1478164</x:v>
      </x:c>
      <x:c r="F87" t="str">
        <x:v>EUR</x:v>
      </x:c>
      <x:c r="G87" t="str">
        <x:v>Pasted text(20261025-183839).txt / FRANCE / KPI_3</x:v>
      </x:c>
      <x:c r="H87" t="str">
        <x:v>text row 7</x:v>
      </x:c>
    </x:row>
    <x:row r="88">
      <x:c r="A88" t="str">
        <x:v>France</x:v>
      </x:c>
      <x:c r="B88" t="str">
        <x:v>band</x:v>
      </x:c>
      <x:c r="C88" t="str">
        <x:v>&gt; 1 000 €</x:v>
      </x:c>
      <x:c r="D88" s="34" t="n">
        <x:v>608</x:v>
      </x:c>
      <x:c r="E88" s="34" t="n">
        <x:v>1589619</x:v>
      </x:c>
      <x:c r="F88" t="str">
        <x:v>EUR</x:v>
      </x:c>
      <x:c r="G88" t="str">
        <x:v>Pasted text(20261025-183839).txt / FRANCE / KPI_3</x:v>
      </x:c>
      <x:c r="H88" t="str">
        <x:v>text row 8</x:v>
      </x:c>
    </x:row>
    <x:row r="89">
      <x:c r="A89" t="str">
        <x:v>France</x:v>
      </x:c>
      <x:c r="B89" t="str">
        <x:v>vintage</x:v>
      </x:c>
      <x:c r="C89" t="str">
        <x:v>&lt; 2018</x:v>
      </x:c>
      <x:c r="D89" s="34" t="n">
        <x:v>264</x:v>
      </x:c>
      <x:c r="E89" s="34" t="n">
        <x:v>42586</x:v>
      </x:c>
      <x:c r="F89" t="str">
        <x:v>EUR</x:v>
      </x:c>
      <x:c r="G89" t="str">
        <x:v>Pasted text(20261025-183839).txt / FRANCE / KPI_3</x:v>
      </x:c>
      <x:c r="H89" t="str">
        <x:v>text row 10</x:v>
      </x:c>
    </x:row>
    <x:row r="90">
      <x:c r="A90" t="str">
        <x:v>France</x:v>
      </x:c>
      <x:c r="B90" t="str">
        <x:v>vintage</x:v>
      </x:c>
      <x:c r="C90" t="str">
        <x:v>2018</x:v>
      </x:c>
      <x:c r="D90" s="34" t="n">
        <x:v>4</x:v>
      </x:c>
      <x:c r="E90" s="34" t="n">
        <x:v>5395</x:v>
      </x:c>
      <x:c r="F90" t="str">
        <x:v>EUR</x:v>
      </x:c>
      <x:c r="G90" t="str">
        <x:v>Pasted text(20261025-183839).txt / FRANCE / KPI_3</x:v>
      </x:c>
      <x:c r="H90" t="str">
        <x:v>text row 11</x:v>
      </x:c>
    </x:row>
    <x:row r="91">
      <x:c r="A91" t="str">
        <x:v>France</x:v>
      </x:c>
      <x:c r="B91" t="str">
        <x:v>vintage</x:v>
      </x:c>
      <x:c r="C91" t="str">
        <x:v>2019</x:v>
      </x:c>
      <x:c r="D91" s="34" t="n">
        <x:v>6</x:v>
      </x:c>
      <x:c r="E91" s="34" t="n">
        <x:v>2361</x:v>
      </x:c>
      <x:c r="F91" t="str">
        <x:v>EUR</x:v>
      </x:c>
      <x:c r="G91" t="str">
        <x:v>Pasted text(20261025-183839).txt / FRANCE / KPI_3</x:v>
      </x:c>
      <x:c r="H91" t="str">
        <x:v>text row 12</x:v>
      </x:c>
    </x:row>
    <x:row r="92">
      <x:c r="A92" t="str">
        <x:v>France</x:v>
      </x:c>
      <x:c r="B92" t="str">
        <x:v>vintage</x:v>
      </x:c>
      <x:c r="C92" t="str">
        <x:v>2021</x:v>
      </x:c>
      <x:c r="D92" s="34" t="n">
        <x:v>1</x:v>
      </x:c>
      <x:c r="E92" s="34" t="n">
        <x:v>1</x:v>
      </x:c>
      <x:c r="F92" t="str">
        <x:v>EUR</x:v>
      </x:c>
      <x:c r="G92" t="str">
        <x:v>Pasted text(20261025-183839).txt / FRANCE / KPI_3</x:v>
      </x:c>
      <x:c r="H92" t="str">
        <x:v>text row 14</x:v>
      </x:c>
    </x:row>
    <x:row r="93">
      <x:c r="A93" t="str">
        <x:v>France</x:v>
      </x:c>
      <x:c r="B93" t="str">
        <x:v>vintage</x:v>
      </x:c>
      <x:c r="C93" t="str">
        <x:v>2023</x:v>
      </x:c>
      <x:c r="D93" s="34" t="n">
        <x:v>1</x:v>
      </x:c>
      <x:c r="E93" s="34" t="n">
        <x:v>963</x:v>
      </x:c>
      <x:c r="F93" t="str">
        <x:v>EUR</x:v>
      </x:c>
      <x:c r="G93" t="str">
        <x:v>Pasted text(20261025-183839).txt / FRANCE / KPI_3</x:v>
      </x:c>
      <x:c r="H93" t="str">
        <x:v>text row 16</x:v>
      </x:c>
    </x:row>
    <x:row r="94">
      <x:c r="A94" t="str">
        <x:v>France</x:v>
      </x:c>
      <x:c r="B94" t="str">
        <x:v>vintage</x:v>
      </x:c>
      <x:c r="C94" t="str">
        <x:v>2024</x:v>
      </x:c>
      <x:c r="D94" s="34" t="n">
        <x:v>21</x:v>
      </x:c>
      <x:c r="E94" s="34" t="n">
        <x:v>30040</x:v>
      </x:c>
      <x:c r="F94" t="str">
        <x:v>EUR</x:v>
      </x:c>
      <x:c r="G94" t="str">
        <x:v>Pasted text(20261025-183839).txt / FRANCE / KPI_3</x:v>
      </x:c>
      <x:c r="H94" t="str">
        <x:v>text row 17</x:v>
      </x:c>
    </x:row>
    <x:row r="95">
      <x:c r="A95" t="str">
        <x:v>France</x:v>
      </x:c>
      <x:c r="B95" t="str">
        <x:v>vintage</x:v>
      </x:c>
      <x:c r="C95" t="str">
        <x:v>2025</x:v>
      </x:c>
      <x:c r="D95" s="34" t="n">
        <x:v>970</x:v>
      </x:c>
      <x:c r="E95" s="34" t="n">
        <x:v>267461</x:v>
      </x:c>
      <x:c r="F95" t="str">
        <x:v>EUR</x:v>
      </x:c>
      <x:c r="G95" t="str">
        <x:v>Pasted text(20261025-183839).txt / FRANCE / KPI_3</x:v>
      </x:c>
      <x:c r="H95" t="str">
        <x:v>text row 18</x:v>
      </x:c>
    </x:row>
    <x:row r="96">
      <x:c r="A96" t="str">
        <x:v>France</x:v>
      </x:c>
      <x:c r="B96" t="str">
        <x:v>vintage</x:v>
      </x:c>
      <x:c r="C96" t="str">
        <x:v>2026</x:v>
      </x:c>
      <x:c r="D96" s="34" t="n">
        <x:v>13549</x:v>
      </x:c>
      <x:c r="E96" s="34" t="n">
        <x:v>2968779</x:v>
      </x:c>
      <x:c r="F96" t="str">
        <x:v>EUR</x:v>
      </x:c>
      <x:c r="G96" t="str">
        <x:v>Pasted text(20261025-183839).txt / FRANCE / KPI_3</x:v>
      </x:c>
      <x:c r="H96" t="str">
        <x:v>text row 19</x:v>
      </x:c>
    </x:row>
    <x:row r="97">
      <x:c r="A97" t="str">
        <x:v>UK</x:v>
      </x:c>
      <x:c r="B97" t="str">
        <x:v>band</x:v>
      </x:c>
      <x:c r="C97" t="str">
        <x:v>0 - 1 €</x:v>
      </x:c>
      <x:c r="D97" s="34" t="n">
        <x:v>998098</x:v>
      </x:c>
      <x:c r="E97" s="34" t="n">
        <x:v>-190563</x:v>
      </x:c>
      <x:c r="F97" t="str">
        <x:v>GBP</x:v>
      </x:c>
      <x:c r="G97" t="str">
        <x:v>Pasted text(20261025-183839).txt / UK / KPI_3</x:v>
      </x:c>
      <x:c r="H97" t="str">
        <x:v>text row 4</x:v>
      </x:c>
    </x:row>
    <x:row r="98">
      <x:c r="A98" t="str">
        <x:v>UK</x:v>
      </x:c>
      <x:c r="B98" t="str">
        <x:v>band</x:v>
      </x:c>
      <x:c r="C98" t="str">
        <x:v>1 - 10 €</x:v>
      </x:c>
      <x:c r="D98" s="34" t="n">
        <x:v>14278</x:v>
      </x:c>
      <x:c r="E98" s="34" t="n">
        <x:v>65482</x:v>
      </x:c>
      <x:c r="F98" t="str">
        <x:v>GBP</x:v>
      </x:c>
      <x:c r="G98" t="str">
        <x:v>Pasted text(20261025-183839).txt / UK / KPI_3</x:v>
      </x:c>
      <x:c r="H98" t="str">
        <x:v>text row 5</x:v>
      </x:c>
    </x:row>
    <x:row r="99">
      <x:c r="A99" t="str">
        <x:v>UK</x:v>
      </x:c>
      <x:c r="B99" t="str">
        <x:v>band</x:v>
      </x:c>
      <x:c r="C99" t="str">
        <x:v>10 - 100 €</x:v>
      </x:c>
      <x:c r="D99" s="34" t="n">
        <x:v>15298</x:v>
      </x:c>
      <x:c r="E99" s="34" t="n">
        <x:v>540040</x:v>
      </x:c>
      <x:c r="F99" t="str">
        <x:v>GBP</x:v>
      </x:c>
      <x:c r="G99" t="str">
        <x:v>Pasted text(20261025-183839).txt / UK / KPI_3</x:v>
      </x:c>
      <x:c r="H99" t="str">
        <x:v>text row 6</x:v>
      </x:c>
    </x:row>
    <x:row r="100">
      <x:c r="A100" t="str">
        <x:v>UK</x:v>
      </x:c>
      <x:c r="B100" t="str">
        <x:v>band</x:v>
      </x:c>
      <x:c r="C100" t="str">
        <x:v>100 - 1 000 €</x:v>
      </x:c>
      <x:c r="D100" s="34" t="n">
        <x:v>3141</x:v>
      </x:c>
      <x:c r="E100" s="34" t="n">
        <x:v>869367</x:v>
      </x:c>
      <x:c r="F100" t="str">
        <x:v>GBP</x:v>
      </x:c>
      <x:c r="G100" t="str">
        <x:v>Pasted text(20261025-183839).txt / UK / KPI_3</x:v>
      </x:c>
      <x:c r="H100" t="str">
        <x:v>text row 7</x:v>
      </x:c>
    </x:row>
    <x:row r="101">
      <x:c r="A101" t="str">
        <x:v>UK</x:v>
      </x:c>
      <x:c r="B101" t="str">
        <x:v>band</x:v>
      </x:c>
      <x:c r="C101" t="str">
        <x:v>&gt; 1 000 €</x:v>
      </x:c>
      <x:c r="D101" s="34" t="n">
        <x:v>431</x:v>
      </x:c>
      <x:c r="E101" s="34" t="n">
        <x:v>1159877</x:v>
      </x:c>
      <x:c r="F101" t="str">
        <x:v>GBP</x:v>
      </x:c>
      <x:c r="G101" t="str">
        <x:v>Pasted text(20261025-183839).txt / UK / KPI_3</x:v>
      </x:c>
      <x:c r="H101" t="str">
        <x:v>text row 8</x:v>
      </x:c>
    </x:row>
    <x:row r="102">
      <x:c r="A102" t="str">
        <x:v>UK</x:v>
      </x:c>
      <x:c r="B102" t="str">
        <x:v>vintage</x:v>
      </x:c>
      <x:c r="C102" t="str">
        <x:v>&lt; 2018</x:v>
      </x:c>
      <x:c r="D102" s="34" t="n">
        <x:v>1321</x:v>
      </x:c>
      <x:c r="E102" s="34" t="n">
        <x:v>68632</x:v>
      </x:c>
      <x:c r="F102" t="str">
        <x:v>GBP</x:v>
      </x:c>
      <x:c r="G102" t="str">
        <x:v>Pasted text(20261025-183839).txt / UK / KPI_3</x:v>
      </x:c>
      <x:c r="H102" t="str">
        <x:v>text row 10</x:v>
      </x:c>
    </x:row>
    <x:row r="103">
      <x:c r="A103" t="str">
        <x:v>UK</x:v>
      </x:c>
      <x:c r="B103" t="str">
        <x:v>vintage</x:v>
      </x:c>
      <x:c r="C103" t="str">
        <x:v>2018</x:v>
      </x:c>
      <x:c r="D103" s="34" t="n">
        <x:v>817</x:v>
      </x:c>
      <x:c r="E103" s="34" t="n">
        <x:v>84026</x:v>
      </x:c>
      <x:c r="F103" t="str">
        <x:v>GBP</x:v>
      </x:c>
      <x:c r="G103" t="str">
        <x:v>Pasted text(20261025-183839).txt / UK / KPI_3</x:v>
      </x:c>
      <x:c r="H103" t="str">
        <x:v>text row 11</x:v>
      </x:c>
    </x:row>
    <x:row r="104">
      <x:c r="A104" t="str">
        <x:v>UK</x:v>
      </x:c>
      <x:c r="B104" t="str">
        <x:v>vintage</x:v>
      </x:c>
      <x:c r="C104" t="str">
        <x:v>2019</x:v>
      </x:c>
      <x:c r="D104" s="34" t="n">
        <x:v>953</x:v>
      </x:c>
      <x:c r="E104" s="34" t="n">
        <x:v>100521</x:v>
      </x:c>
      <x:c r="F104" t="str">
        <x:v>GBP</x:v>
      </x:c>
      <x:c r="G104" t="str">
        <x:v>Pasted text(20261025-183839).txt / UK / KPI_3</x:v>
      </x:c>
      <x:c r="H104" t="str">
        <x:v>text row 12</x:v>
      </x:c>
    </x:row>
    <x:row r="105">
      <x:c r="A105" t="str">
        <x:v>UK</x:v>
      </x:c>
      <x:c r="B105" t="str">
        <x:v>vintage</x:v>
      </x:c>
      <x:c r="C105" t="str">
        <x:v>2020</x:v>
      </x:c>
      <x:c r="D105" s="34" t="n">
        <x:v>752</x:v>
      </x:c>
      <x:c r="E105" s="34" t="n">
        <x:v>75096</x:v>
      </x:c>
      <x:c r="F105" t="str">
        <x:v>GBP</x:v>
      </x:c>
      <x:c r="G105" t="str">
        <x:v>Pasted text(20261025-183839).txt / UK / KPI_3</x:v>
      </x:c>
      <x:c r="H105" t="str">
        <x:v>text row 13</x:v>
      </x:c>
    </x:row>
    <x:row r="106">
      <x:c r="A106" t="str">
        <x:v>UK</x:v>
      </x:c>
      <x:c r="B106" t="str">
        <x:v>vintage</x:v>
      </x:c>
      <x:c r="C106" t="str">
        <x:v>2021</x:v>
      </x:c>
      <x:c r="D106" s="34" t="n">
        <x:v>727</x:v>
      </x:c>
      <x:c r="E106" s="34" t="n">
        <x:v>86007</x:v>
      </x:c>
      <x:c r="F106" t="str">
        <x:v>GBP</x:v>
      </x:c>
      <x:c r="G106" t="str">
        <x:v>Pasted text(20261025-183839).txt / UK / KPI_3</x:v>
      </x:c>
      <x:c r="H106" t="str">
        <x:v>text row 14</x:v>
      </x:c>
    </x:row>
    <x:row r="107">
      <x:c r="A107" t="str">
        <x:v>UK</x:v>
      </x:c>
      <x:c r="B107" t="str">
        <x:v>vintage</x:v>
      </x:c>
      <x:c r="C107" t="str">
        <x:v>2022</x:v>
      </x:c>
      <x:c r="D107" s="34" t="n">
        <x:v>1294</x:v>
      </x:c>
      <x:c r="E107" s="34" t="n">
        <x:v>114129</x:v>
      </x:c>
      <x:c r="F107" t="str">
        <x:v>GBP</x:v>
      </x:c>
      <x:c r="G107" t="str">
        <x:v>Pasted text(20261025-183839).txt / UK / KPI_3</x:v>
      </x:c>
      <x:c r="H107" t="str">
        <x:v>text row 15</x:v>
      </x:c>
    </x:row>
    <x:row r="108">
      <x:c r="A108" t="str">
        <x:v>UK</x:v>
      </x:c>
      <x:c r="B108" t="str">
        <x:v>vintage</x:v>
      </x:c>
      <x:c r="C108" t="str">
        <x:v>2023</x:v>
      </x:c>
      <x:c r="D108" s="34" t="n">
        <x:v>3920</x:v>
      </x:c>
      <x:c r="E108" s="34" t="n">
        <x:v>206814</x:v>
      </x:c>
      <x:c r="F108" t="str">
        <x:v>GBP</x:v>
      </x:c>
      <x:c r="G108" t="str">
        <x:v>Pasted text(20261025-183839).txt / UK / KPI_3</x:v>
      </x:c>
      <x:c r="H108" t="str">
        <x:v>text row 16</x:v>
      </x:c>
    </x:row>
    <x:row r="109">
      <x:c r="A109" t="str">
        <x:v>UK</x:v>
      </x:c>
      <x:c r="B109" t="str">
        <x:v>vintage</x:v>
      </x:c>
      <x:c r="C109" t="str">
        <x:v>2024</x:v>
      </x:c>
      <x:c r="D109" s="34" t="n">
        <x:v>10012</x:v>
      </x:c>
      <x:c r="E109" s="34" t="n">
        <x:v>759953</x:v>
      </x:c>
      <x:c r="F109" t="str">
        <x:v>GBP</x:v>
      </x:c>
      <x:c r="G109" t="str">
        <x:v>Pasted text(20261025-183839).txt / UK / KPI_3</x:v>
      </x:c>
      <x:c r="H109" t="str">
        <x:v>text row 17</x:v>
      </x:c>
    </x:row>
    <x:row r="110">
      <x:c r="A110" t="str">
        <x:v>UK</x:v>
      </x:c>
      <x:c r="B110" t="str">
        <x:v>vintage</x:v>
      </x:c>
      <x:c r="C110" t="str">
        <x:v>2025</x:v>
      </x:c>
      <x:c r="D110" s="34" t="n">
        <x:v>16647</x:v>
      </x:c>
      <x:c r="E110" s="34" t="n">
        <x:v>626510</x:v>
      </x:c>
      <x:c r="F110" t="str">
        <x:v>GBP</x:v>
      </x:c>
      <x:c r="G110" t="str">
        <x:v>Pasted text(20261025-183839).txt / UK / KPI_3</x:v>
      </x:c>
      <x:c r="H110" t="str">
        <x:v>text row 18</x:v>
      </x:c>
    </x:row>
    <x:row r="111">
      <x:c r="A111" t="str">
        <x:v>UK</x:v>
      </x:c>
      <x:c r="B111" t="str">
        <x:v>vintage</x:v>
      </x:c>
      <x:c r="C111" t="str">
        <x:v>2026</x:v>
      </x:c>
      <x:c r="D111" s="34" t="n">
        <x:v>14520</x:v>
      </x:c>
      <x:c r="E111" s="34" t="n">
        <x:v>322515</x:v>
      </x:c>
      <x:c r="F111" t="str">
        <x:v>GBP</x:v>
      </x:c>
      <x:c r="G111" t="str">
        <x:v>Pasted text(20261025-183839).txt / UK / KPI_3</x:v>
      </x:c>
      <x:c r="H111" t="str">
        <x:v>text row 19</x:v>
      </x:c>
    </x:row>
    <x:row r="112">
      <x:c r="A112" t="str">
        <x:v>South Africa</x:v>
      </x:c>
      <x:c r="B112" t="str">
        <x:v>band</x:v>
      </x:c>
      <x:c r="C112" t="str">
        <x:v>0 - 1 €</x:v>
      </x:c>
      <x:c r="D112" s="34" t="n">
        <x:v>71052</x:v>
      </x:c>
      <x:c r="E112" s="34" t="n">
        <x:v>31178863.209999945</x:v>
      </x:c>
      <x:c r="F112" t="str">
        <x:v>ZAR</x:v>
      </x:c>
      <x:c r="G112" t="str">
        <x:v>RCS.xlsx / KPI_3</x:v>
      </x:c>
      <x:c r="H112" t="str">
        <x:v>C6/D6</x:v>
      </x:c>
    </x:row>
    <x:row r="113">
      <x:c r="A113" t="str">
        <x:v>South Africa</x:v>
      </x:c>
      <x:c r="B113" t="str">
        <x:v>band</x:v>
      </x:c>
      <x:c r="C113" t="str">
        <x:v>1 - 10 €</x:v>
      </x:c>
      <x:c r="D113" s="34" t="n">
        <x:v>0</x:v>
      </x:c>
      <x:c r="E113" s="34" t="n">
        <x:v>0</x:v>
      </x:c>
      <x:c r="F113" t="str">
        <x:v>ZAR</x:v>
      </x:c>
      <x:c r="G113" t="str">
        <x:v>RCS.xlsx / KPI_3</x:v>
      </x:c>
      <x:c r="H113" t="str">
        <x:v>C7/D7</x:v>
      </x:c>
    </x:row>
    <x:row r="114">
      <x:c r="A114" t="str">
        <x:v>South Africa</x:v>
      </x:c>
      <x:c r="B114" t="str">
        <x:v>band</x:v>
      </x:c>
      <x:c r="C114" t="str">
        <x:v>10 - 100 €</x:v>
      </x:c>
      <x:c r="D114" s="34" t="n">
        <x:v>0</x:v>
      </x:c>
      <x:c r="E114" s="34" t="n">
        <x:v>0</x:v>
      </x:c>
      <x:c r="F114" t="str">
        <x:v>ZAR</x:v>
      </x:c>
      <x:c r="G114" t="str">
        <x:v>RCS.xlsx / KPI_3</x:v>
      </x:c>
      <x:c r="H114" t="str">
        <x:v>C8/D8</x:v>
      </x:c>
    </x:row>
    <x:row r="115">
      <x:c r="A115" t="str">
        <x:v>South Africa</x:v>
      </x:c>
      <x:c r="B115" t="str">
        <x:v>band</x:v>
      </x:c>
      <x:c r="C115" t="str">
        <x:v>100 - 1 000 €</x:v>
      </x:c>
      <x:c r="D115" s="34" t="n">
        <x:v>0</x:v>
      </x:c>
      <x:c r="E115" s="34" t="n">
        <x:v>0</x:v>
      </x:c>
      <x:c r="F115" t="str">
        <x:v>ZAR</x:v>
      </x:c>
      <x:c r="G115" t="str">
        <x:v>RCS.xlsx / KPI_3</x:v>
      </x:c>
      <x:c r="H115" t="str">
        <x:v>C9/D9</x:v>
      </x:c>
    </x:row>
    <x:row r="116">
      <x:c r="A116" t="str">
        <x:v>South Africa</x:v>
      </x:c>
      <x:c r="B116" t="str">
        <x:v>band</x:v>
      </x:c>
      <x:c r="C116" t="str">
        <x:v>&gt; 1 000 €</x:v>
      </x:c>
      <x:c r="D116" s="34" t="n">
        <x:v>0</x:v>
      </x:c>
      <x:c r="E116" s="34" t="n">
        <x:v>0</x:v>
      </x:c>
      <x:c r="F116" t="str">
        <x:v>ZAR</x:v>
      </x:c>
      <x:c r="G116" t="str">
        <x:v>RCS.xlsx / KPI_3</x:v>
      </x:c>
      <x:c r="H116" t="str">
        <x:v>C10/D10</x:v>
      </x:c>
    </x:row>
    <x:row r="117">
      <x:c r="A117" t="str">
        <x:v>South Africa</x:v>
      </x:c>
      <x:c r="B117" t="str">
        <x:v>vintage</x:v>
      </x:c>
      <x:c r="C117" t="str">
        <x:v>&lt; 2019</x:v>
      </x:c>
      <x:c r="D117" s="34" t="n">
        <x:v>199</x:v>
      </x:c>
      <x:c r="E117" s="34" t="n">
        <x:v>751149.81</x:v>
      </x:c>
      <x:c r="F117" t="str">
        <x:v>ZAR</x:v>
      </x:c>
      <x:c r="G117" t="str">
        <x:v>RCS.xlsx / KPI_3</x:v>
      </x:c>
      <x:c r="H117" t="str">
        <x:v>C13/D13</x:v>
      </x:c>
    </x:row>
    <x:row r="118">
      <x:c r="A118" t="str">
        <x:v>South Africa</x:v>
      </x:c>
      <x:c r="B118" t="str">
        <x:v>vintage</x:v>
      </x:c>
      <x:c r="C118" t="str">
        <x:v>2019</x:v>
      </x:c>
      <x:c r="D118" s="34" t="n">
        <x:v>82</x:v>
      </x:c>
      <x:c r="E118" s="34" t="n">
        <x:v>227540</x:v>
      </x:c>
      <x:c r="F118" t="str">
        <x:v>ZAR</x:v>
      </x:c>
      <x:c r="G118" t="str">
        <x:v>RCS.xlsx / KPI_3</x:v>
      </x:c>
      <x:c r="H118" t="str">
        <x:v>C14/D14</x:v>
      </x:c>
    </x:row>
    <x:row r="119">
      <x:c r="A119" t="str">
        <x:v>South Africa</x:v>
      </x:c>
      <x:c r="B119" t="str">
        <x:v>vintage</x:v>
      </x:c>
      <x:c r="C119" t="str">
        <x:v>2020</x:v>
      </x:c>
      <x:c r="D119" s="34" t="n">
        <x:v>577</x:v>
      </x:c>
      <x:c r="E119" s="34" t="n">
        <x:v>1055811.67</x:v>
      </x:c>
      <x:c r="F119" t="str">
        <x:v>ZAR</x:v>
      </x:c>
      <x:c r="G119" t="str">
        <x:v>RCS.xlsx / KPI_3</x:v>
      </x:c>
      <x:c r="H119" t="str">
        <x:v>C15/D15</x:v>
      </x:c>
    </x:row>
    <x:row r="120">
      <x:c r="A120" t="str">
        <x:v>South Africa</x:v>
      </x:c>
      <x:c r="B120" t="str">
        <x:v>vintage</x:v>
      </x:c>
      <x:c r="C120" t="str">
        <x:v>2021</x:v>
      </x:c>
      <x:c r="D120" s="34" t="n">
        <x:v>3490</x:v>
      </x:c>
      <x:c r="E120" s="34" t="n">
        <x:v>1891299.92</x:v>
      </x:c>
      <x:c r="F120" t="str">
        <x:v>ZAR</x:v>
      </x:c>
      <x:c r="G120" t="str">
        <x:v>RCS.xlsx / KPI_3</x:v>
      </x:c>
      <x:c r="H120" t="str">
        <x:v>C16/D16</x:v>
      </x:c>
    </x:row>
    <x:row r="121">
      <x:c r="A121" t="str">
        <x:v>South Africa</x:v>
      </x:c>
      <x:c r="B121" t="str">
        <x:v>vintage</x:v>
      </x:c>
      <x:c r="C121" t="str">
        <x:v>2022</x:v>
      </x:c>
      <x:c r="D121" s="34" t="n">
        <x:v>3177</x:v>
      </x:c>
      <x:c r="E121" s="34" t="n">
        <x:v>1803180.89</x:v>
      </x:c>
      <x:c r="F121" t="str">
        <x:v>ZAR</x:v>
      </x:c>
      <x:c r="G121" t="str">
        <x:v>RCS.xlsx / KPI_3</x:v>
      </x:c>
      <x:c r="H121" t="str">
        <x:v>C17/D17</x:v>
      </x:c>
    </x:row>
    <x:row r="122">
      <x:c r="A122" t="str">
        <x:v>South Africa</x:v>
      </x:c>
      <x:c r="B122" t="str">
        <x:v>vintage</x:v>
      </x:c>
      <x:c r="C122" t="str">
        <x:v>2023</x:v>
      </x:c>
      <x:c r="D122" s="34" t="n">
        <x:v>4518</x:v>
      </x:c>
      <x:c r="E122" s="34" t="n">
        <x:v>2617980.37999999</x:v>
      </x:c>
      <x:c r="F122" t="str">
        <x:v>ZAR</x:v>
      </x:c>
      <x:c r="G122" t="str">
        <x:v>RCS.xlsx / KPI_3</x:v>
      </x:c>
      <x:c r="H122" t="str">
        <x:v>C18/D18</x:v>
      </x:c>
    </x:row>
    <x:row r="123">
      <x:c r="A123" t="str">
        <x:v>South Africa</x:v>
      </x:c>
      <x:c r="B123" t="str">
        <x:v>vintage</x:v>
      </x:c>
      <x:c r="C123" t="str">
        <x:v>2024</x:v>
      </x:c>
      <x:c r="D123" s="34" t="n">
        <x:v>6481</x:v>
      </x:c>
      <x:c r="E123" s="34" t="n">
        <x:v>3470230.67</x:v>
      </x:c>
      <x:c r="F123" t="str">
        <x:v>ZAR</x:v>
      </x:c>
      <x:c r="G123" t="str">
        <x:v>RCS.xlsx / KPI_3</x:v>
      </x:c>
      <x:c r="H123" t="str">
        <x:v>C19/D19</x:v>
      </x:c>
    </x:row>
    <x:row r="124">
      <x:c r="A124" t="str">
        <x:v>South Africa</x:v>
      </x:c>
      <x:c r="B124" t="str">
        <x:v>vintage</x:v>
      </x:c>
      <x:c r="C124" t="str">
        <x:v>2025</x:v>
      </x:c>
      <x:c r="D124" s="34" t="n">
        <x:v>13904</x:v>
      </x:c>
      <x:c r="E124" s="34" t="n">
        <x:v>7308977.3999999</x:v>
      </x:c>
      <x:c r="F124" t="str">
        <x:v>ZAR</x:v>
      </x:c>
      <x:c r="G124" t="str">
        <x:v>RCS.xlsx / KPI_3</x:v>
      </x:c>
      <x:c r="H124" t="str">
        <x:v>C20/D20</x:v>
      </x:c>
    </x:row>
    <x:row r="125">
      <x:c r="A125" t="str">
        <x:v>South Africa</x:v>
      </x:c>
      <x:c r="B125" t="str">
        <x:v>vintage</x:v>
      </x:c>
      <x:c r="C125" t="str">
        <x:v>2026</x:v>
      </x:c>
      <x:c r="D125" s="34" t="n">
        <x:v>38624</x:v>
      </x:c>
      <x:c r="E125" s="34" t="n">
        <x:v>12052692.47</x:v>
      </x:c>
      <x:c r="F125" t="str">
        <x:v>ZAR</x:v>
      </x:c>
      <x:c r="G125" t="str">
        <x:v>RCS.xlsx / KPI_3</x:v>
      </x:c>
      <x:c r="H125" t="str">
        <x:v>C21/D21</x:v>
      </x:c>
    </x:row>
    <x:row r="126">
      <x:c r="A126" t="str">
        <x:v>Denmark</x:v>
      </x:c>
      <x:c r="B126" t="str">
        <x:v>band</x:v>
      </x:c>
      <x:c r="C126" t="str">
        <x:v>0 - 7,5 Kr</x:v>
      </x:c>
      <x:c r="D126" s="34" t="n">
        <x:v>135</x:v>
      </x:c>
      <x:c r="E126" s="34" t="n">
        <x:v>313.4800000000001</x:v>
      </x:c>
      <x:c r="F126" t="str">
        <x:v>DKK</x:v>
      </x:c>
      <x:c r="G126" t="str">
        <x:v>NORDICS.xlsx / DEN_KPI_3</x:v>
      </x:c>
      <x:c r="H126" t="str">
        <x:v>C6/D6</x:v>
      </x:c>
    </x:row>
    <x:row r="127">
      <x:c r="A127" t="str">
        <x:v>Denmark</x:v>
      </x:c>
      <x:c r="B127" t="str">
        <x:v>band</x:v>
      </x:c>
      <x:c r="C127" t="str">
        <x:v>7,5 - 75 Kr</x:v>
      </x:c>
      <x:c r="D127" s="34" t="n">
        <x:v>205</x:v>
      </x:c>
      <x:c r="E127" s="34" t="n">
        <x:v>6945.040000000003</x:v>
      </x:c>
      <x:c r="F127" t="str">
        <x:v>DKK</x:v>
      </x:c>
      <x:c r="G127" t="str">
        <x:v>NORDICS.xlsx / DEN_KPI_3</x:v>
      </x:c>
      <x:c r="H127" t="str">
        <x:v>C7/D7</x:v>
      </x:c>
    </x:row>
    <x:row r="128">
      <x:c r="A128" t="str">
        <x:v>Denmark</x:v>
      </x:c>
      <x:c r="B128" t="str">
        <x:v>band</x:v>
      </x:c>
      <x:c r="C128" t="str">
        <x:v>75 - 747 Kr</x:v>
      </x:c>
      <x:c r="D128" s="34" t="n">
        <x:v>300</x:v>
      </x:c>
      <x:c r="E128" s="34" t="n">
        <x:v>78102.59999999999</x:v>
      </x:c>
      <x:c r="F128" t="str">
        <x:v>DKK</x:v>
      </x:c>
      <x:c r="G128" t="str">
        <x:v>NORDICS.xlsx / DEN_KPI_3</x:v>
      </x:c>
      <x:c r="H128" t="str">
        <x:v>C8/D8</x:v>
      </x:c>
    </x:row>
    <x:row r="129">
      <x:c r="A129" t="str">
        <x:v>Denmark</x:v>
      </x:c>
      <x:c r="B129" t="str">
        <x:v>band</x:v>
      </x:c>
      <x:c r="C129" t="str">
        <x:v>747 - 7474 Kr</x:v>
      </x:c>
      <x:c r="D129" s="34" t="n">
        <x:v>51</x:v>
      </x:c>
      <x:c r="E129" s="34" t="n">
        <x:v>83888.11999999998</x:v>
      </x:c>
      <x:c r="F129" t="str">
        <x:v>DKK</x:v>
      </x:c>
      <x:c r="G129" t="str">
        <x:v>NORDICS.xlsx / DEN_KPI_3</x:v>
      </x:c>
      <x:c r="H129" t="str">
        <x:v>C9/D9</x:v>
      </x:c>
    </x:row>
    <x:row r="130">
      <x:c r="A130" t="str">
        <x:v>Denmark</x:v>
      </x:c>
      <x:c r="B130" t="str">
        <x:v>band</x:v>
      </x:c>
      <x:c r="C130" t="str">
        <x:v>&gt;7474 Kr</x:v>
      </x:c>
      <x:c r="D130" s="34" t="n">
        <x:v>1</x:v>
      </x:c>
      <x:c r="E130" s="34" t="n">
        <x:v>13048.57</x:v>
      </x:c>
      <x:c r="F130" t="str">
        <x:v>DKK</x:v>
      </x:c>
      <x:c r="G130" t="str">
        <x:v>NORDICS.xlsx / DEN_KPI_3</x:v>
      </x:c>
      <x:c r="H130" t="str">
        <x:v>C10/D10</x:v>
      </x:c>
    </x:row>
    <x:row r="131">
      <x:c r="A131" t="str">
        <x:v>Denmark</x:v>
      </x:c>
      <x:c r="B131" t="str">
        <x:v>vintage</x:v>
      </x:c>
      <x:c r="C131" t="str">
        <x:v>&lt; 2018</x:v>
      </x:c>
      <x:c r="D131" s="34" t="n">
        <x:v>0</x:v>
      </x:c>
      <x:c r="E131" s="34" t="n">
        <x:v>0</x:v>
      </x:c>
      <x:c r="F131" t="str">
        <x:v>DKK</x:v>
      </x:c>
      <x:c r="G131" t="str">
        <x:v>NORDICS.xlsx / DEN_KPI_3</x:v>
      </x:c>
      <x:c r="H131" t="str">
        <x:v>C13/D13</x:v>
      </x:c>
    </x:row>
    <x:row r="132">
      <x:c r="A132" t="str">
        <x:v>Denmark</x:v>
      </x:c>
      <x:c r="B132" t="str">
        <x:v>vintage</x:v>
      </x:c>
      <x:c r="C132" t="str">
        <x:v>2018</x:v>
      </x:c>
      <x:c r="D132" s="34" t="n">
        <x:v>0</x:v>
      </x:c>
      <x:c r="E132" s="34" t="n">
        <x:v>0</x:v>
      </x:c>
      <x:c r="F132" t="str">
        <x:v>DKK</x:v>
      </x:c>
      <x:c r="G132" t="str">
        <x:v>NORDICS.xlsx / DEN_KPI_3</x:v>
      </x:c>
      <x:c r="H132" t="str">
        <x:v>C14/D14</x:v>
      </x:c>
    </x:row>
    <x:row r="133">
      <x:c r="A133" t="str">
        <x:v>Denmark</x:v>
      </x:c>
      <x:c r="B133" t="str">
        <x:v>vintage</x:v>
      </x:c>
      <x:c r="C133" t="str">
        <x:v>2019</x:v>
      </x:c>
      <x:c r="D133" s="34" t="n">
        <x:v>0</x:v>
      </x:c>
      <x:c r="E133" s="34" t="n">
        <x:v>0</x:v>
      </x:c>
      <x:c r="F133" t="str">
        <x:v>DKK</x:v>
      </x:c>
      <x:c r="G133" t="str">
        <x:v>NORDICS.xlsx / DEN_KPI_3</x:v>
      </x:c>
      <x:c r="H133" t="str">
        <x:v>C15/D15</x:v>
      </x:c>
    </x:row>
    <x:row r="134">
      <x:c r="A134" t="str">
        <x:v>Denmark</x:v>
      </x:c>
      <x:c r="B134" t="str">
        <x:v>vintage</x:v>
      </x:c>
      <x:c r="C134" t="str">
        <x:v>2020</x:v>
      </x:c>
      <x:c r="D134" s="34" t="n">
        <x:v>0</x:v>
      </x:c>
      <x:c r="E134" s="34" t="n">
        <x:v>0</x:v>
      </x:c>
      <x:c r="F134" t="str">
        <x:v>DKK</x:v>
      </x:c>
      <x:c r="G134" t="str">
        <x:v>NORDICS.xlsx / DEN_KPI_3</x:v>
      </x:c>
      <x:c r="H134" t="str">
        <x:v>C16/D16</x:v>
      </x:c>
    </x:row>
    <x:row r="135">
      <x:c r="A135" t="str">
        <x:v>Denmark</x:v>
      </x:c>
      <x:c r="B135" t="str">
        <x:v>vintage</x:v>
      </x:c>
      <x:c r="C135" t="str">
        <x:v>2021</x:v>
      </x:c>
      <x:c r="D135" s="34" t="n">
        <x:v>0</x:v>
      </x:c>
      <x:c r="E135" s="34" t="n">
        <x:v>0</x:v>
      </x:c>
      <x:c r="F135" t="str">
        <x:v>DKK</x:v>
      </x:c>
      <x:c r="G135" t="str">
        <x:v>NORDICS.xlsx / DEN_KPI_3</x:v>
      </x:c>
      <x:c r="H135" t="str">
        <x:v>C17/D17</x:v>
      </x:c>
    </x:row>
    <x:row r="136">
      <x:c r="A136" t="str">
        <x:v>Denmark</x:v>
      </x:c>
      <x:c r="B136" t="str">
        <x:v>vintage</x:v>
      </x:c>
      <x:c r="C136" t="str">
        <x:v>2022</x:v>
      </x:c>
      <x:c r="D136" s="34" t="n">
        <x:v>0</x:v>
      </x:c>
      <x:c r="E136" s="34" t="n">
        <x:v>0</x:v>
      </x:c>
      <x:c r="F136" t="str">
        <x:v>DKK</x:v>
      </x:c>
      <x:c r="G136" t="str">
        <x:v>NORDICS.xlsx / DEN_KPI_3</x:v>
      </x:c>
      <x:c r="H136" t="str">
        <x:v>C18/D18</x:v>
      </x:c>
    </x:row>
    <x:row r="137">
      <x:c r="A137" t="str">
        <x:v>Denmark</x:v>
      </x:c>
      <x:c r="B137" t="str">
        <x:v>vintage</x:v>
      </x:c>
      <x:c r="C137" t="str">
        <x:v>2023</x:v>
      </x:c>
      <x:c r="D137" s="34" t="n">
        <x:v>0</x:v>
      </x:c>
      <x:c r="E137" s="34" t="n">
        <x:v>0</x:v>
      </x:c>
      <x:c r="F137" t="str">
        <x:v>DKK</x:v>
      </x:c>
      <x:c r="G137" t="str">
        <x:v>NORDICS.xlsx / DEN_KPI_3</x:v>
      </x:c>
      <x:c r="H137" t="str">
        <x:v>C19/D19</x:v>
      </x:c>
    </x:row>
    <x:row r="138">
      <x:c r="A138" t="str">
        <x:v>Denmark</x:v>
      </x:c>
      <x:c r="B138" t="str">
        <x:v>vintage</x:v>
      </x:c>
      <x:c r="C138" t="str">
        <x:v>2024</x:v>
      </x:c>
      <x:c r="D138" s="34" t="n">
        <x:v>0</x:v>
      </x:c>
      <x:c r="E138" s="34" t="n">
        <x:v>0</x:v>
      </x:c>
      <x:c r="F138" t="str">
        <x:v>DKK</x:v>
      </x:c>
      <x:c r="G138" t="str">
        <x:v>NORDICS.xlsx / DEN_KPI_3</x:v>
      </x:c>
      <x:c r="H138" t="str">
        <x:v>C20/D20</x:v>
      </x:c>
    </x:row>
    <x:row r="139">
      <x:c r="A139" t="str">
        <x:v>Denmark</x:v>
      </x:c>
      <x:c r="B139" t="str">
        <x:v>vintage</x:v>
      </x:c>
      <x:c r="C139" t="str">
        <x:v>2025</x:v>
      </x:c>
      <x:c r="D139" s="34" t="n">
        <x:v>0</x:v>
      </x:c>
      <x:c r="E139" s="34" t="n">
        <x:v>0</x:v>
      </x:c>
      <x:c r="F139" t="str">
        <x:v>DKK</x:v>
      </x:c>
      <x:c r="G139" t="str">
        <x:v>NORDICS.xlsx / DEN_KPI_3</x:v>
      </x:c>
      <x:c r="H139" t="str">
        <x:v>C21/D21</x:v>
      </x:c>
    </x:row>
    <x:row r="140">
      <x:c r="A140" t="str">
        <x:v>Denmark</x:v>
      </x:c>
      <x:c r="B140" t="str">
        <x:v>vintage</x:v>
      </x:c>
      <x:c r="C140" t="str">
        <x:v>2026</x:v>
      </x:c>
      <x:c r="D140" s="34" t="n">
        <x:v>692</x:v>
      </x:c>
      <x:c r="E140" s="34" t="n">
        <x:v>182297.8099999999</x:v>
      </x:c>
      <x:c r="F140" t="str">
        <x:v>DKK</x:v>
      </x:c>
      <x:c r="G140" t="str">
        <x:v>NORDICS.xlsx / DEN_KPI_3</x:v>
      </x:c>
      <x:c r="H140" t="str">
        <x:v>C22/D22</x:v>
      </x:c>
    </x:row>
    <x:row r="141">
      <x:c r="A141" t="str">
        <x:v>Norway</x:v>
      </x:c>
      <x:c r="B141" t="str">
        <x:v>band</x:v>
      </x:c>
      <x:c r="C141" t="str">
        <x:v>0 - 11,3 Kr</x:v>
      </x:c>
      <x:c r="D141" s="34" t="n">
        <x:v>215</x:v>
      </x:c>
      <x:c r="E141" s="34" t="n">
        <x:v>900.8400000000005</x:v>
      </x:c>
      <x:c r="F141" t="str">
        <x:v>NOK</x:v>
      </x:c>
      <x:c r="G141" t="str">
        <x:v>NORDICS.xlsx / NOR_KPI_3</x:v>
      </x:c>
      <x:c r="H141" t="str">
        <x:v>C6/D6</x:v>
      </x:c>
    </x:row>
    <x:row r="142">
      <x:c r="A142" t="str">
        <x:v>Norway</x:v>
      </x:c>
      <x:c r="B142" t="str">
        <x:v>band</x:v>
      </x:c>
      <x:c r="C142" t="str">
        <x:v>11,3 - 113 Kr</x:v>
      </x:c>
      <x:c r="D142" s="34" t="n">
        <x:v>118</x:v>
      </x:c>
      <x:c r="E142" s="34" t="n">
        <x:v>4661.589999999999</x:v>
      </x:c>
      <x:c r="F142" t="str">
        <x:v>NOK</x:v>
      </x:c>
      <x:c r="G142" t="str">
        <x:v>NORDICS.xlsx / NOR_KPI_3</x:v>
      </x:c>
      <x:c r="H142" t="str">
        <x:v>C7/D7</x:v>
      </x:c>
    </x:row>
    <x:row r="143">
      <x:c r="A143" t="str">
        <x:v>Norway</x:v>
      </x:c>
      <x:c r="B143" t="str">
        <x:v>band</x:v>
      </x:c>
      <x:c r="C143" t="str">
        <x:v>113 - 1131 Kr</x:v>
      </x:c>
      <x:c r="D143" s="34" t="n">
        <x:v>108</x:v>
      </x:c>
      <x:c r="E143" s="34" t="n">
        <x:v>46587.51</x:v>
      </x:c>
      <x:c r="F143" t="str">
        <x:v>NOK</x:v>
      </x:c>
      <x:c r="G143" t="str">
        <x:v>NORDICS.xlsx / NOR_KPI_3</x:v>
      </x:c>
      <x:c r="H143" t="str">
        <x:v>C8/D8</x:v>
      </x:c>
    </x:row>
    <x:row r="144">
      <x:c r="A144" t="str">
        <x:v>Norway</x:v>
      </x:c>
      <x:c r="B144" t="str">
        <x:v>band</x:v>
      </x:c>
      <x:c r="C144" t="str">
        <x:v>1131 - 11311 Kr</x:v>
      </x:c>
      <x:c r="D144" s="34" t="n">
        <x:v>20</x:v>
      </x:c>
      <x:c r="E144" s="34" t="n">
        <x:v>70098.11999999998</x:v>
      </x:c>
      <x:c r="F144" t="str">
        <x:v>NOK</x:v>
      </x:c>
      <x:c r="G144" t="str">
        <x:v>NORDICS.xlsx / NOR_KPI_3</x:v>
      </x:c>
      <x:c r="H144" t="str">
        <x:v>C9/D9</x:v>
      </x:c>
    </x:row>
    <x:row r="145">
      <x:c r="A145" t="str">
        <x:v>Norway</x:v>
      </x:c>
      <x:c r="B145" t="str">
        <x:v>band</x:v>
      </x:c>
      <x:c r="C145" t="str">
        <x:v>&gt;11311 Kr</x:v>
      </x:c>
      <x:c r="D145" s="34" t="n">
        <x:v>0</x:v>
      </x:c>
      <x:c r="E145" s="34" t="n">
        <x:v>0</x:v>
      </x:c>
      <x:c r="F145" t="str">
        <x:v>NOK</x:v>
      </x:c>
      <x:c r="G145" t="str">
        <x:v>NORDICS.xlsx / NOR_KPI_3</x:v>
      </x:c>
      <x:c r="H145" t="str">
        <x:v>C10/D10</x:v>
      </x:c>
    </x:row>
    <x:row r="146">
      <x:c r="A146" t="str">
        <x:v>Norway</x:v>
      </x:c>
      <x:c r="B146" t="str">
        <x:v>vintage</x:v>
      </x:c>
      <x:c r="C146" t="str">
        <x:v>&lt; 2018</x:v>
      </x:c>
      <x:c r="D146" s="34" t="n">
        <x:v>0</x:v>
      </x:c>
      <x:c r="E146" s="34" t="n">
        <x:v>0</x:v>
      </x:c>
      <x:c r="F146" t="str">
        <x:v>NOK</x:v>
      </x:c>
      <x:c r="G146" t="str">
        <x:v>NORDICS.xlsx / NOR_KPI_3</x:v>
      </x:c>
      <x:c r="H146" t="str">
        <x:v>C13/D13</x:v>
      </x:c>
    </x:row>
    <x:row r="147">
      <x:c r="A147" t="str">
        <x:v>Norway</x:v>
      </x:c>
      <x:c r="B147" t="str">
        <x:v>vintage</x:v>
      </x:c>
      <x:c r="C147" t="str">
        <x:v>2018</x:v>
      </x:c>
      <x:c r="D147" s="34" t="n">
        <x:v>0</x:v>
      </x:c>
      <x:c r="E147" s="34" t="n">
        <x:v>0</x:v>
      </x:c>
      <x:c r="F147" t="str">
        <x:v>NOK</x:v>
      </x:c>
      <x:c r="G147" t="str">
        <x:v>NORDICS.xlsx / NOR_KPI_3</x:v>
      </x:c>
      <x:c r="H147" t="str">
        <x:v>C14/D14</x:v>
      </x:c>
    </x:row>
    <x:row r="148">
      <x:c r="A148" t="str">
        <x:v>Norway</x:v>
      </x:c>
      <x:c r="B148" t="str">
        <x:v>vintage</x:v>
      </x:c>
      <x:c r="C148" t="str">
        <x:v>2019</x:v>
      </x:c>
      <x:c r="D148" s="34" t="n">
        <x:v>0</x:v>
      </x:c>
      <x:c r="E148" s="34" t="n">
        <x:v>0</x:v>
      </x:c>
      <x:c r="F148" t="str">
        <x:v>NOK</x:v>
      </x:c>
      <x:c r="G148" t="str">
        <x:v>NORDICS.xlsx / NOR_KPI_3</x:v>
      </x:c>
      <x:c r="H148" t="str">
        <x:v>C15/D15</x:v>
      </x:c>
    </x:row>
    <x:row r="149">
      <x:c r="A149" t="str">
        <x:v>Norway</x:v>
      </x:c>
      <x:c r="B149" t="str">
        <x:v>vintage</x:v>
      </x:c>
      <x:c r="C149" t="str">
        <x:v>2020</x:v>
      </x:c>
      <x:c r="D149" s="34" t="n">
        <x:v>0</x:v>
      </x:c>
      <x:c r="E149" s="34" t="n">
        <x:v>0</x:v>
      </x:c>
      <x:c r="F149" t="str">
        <x:v>NOK</x:v>
      </x:c>
      <x:c r="G149" t="str">
        <x:v>NORDICS.xlsx / NOR_KPI_3</x:v>
      </x:c>
      <x:c r="H149" t="str">
        <x:v>C16/D16</x:v>
      </x:c>
    </x:row>
    <x:row r="150">
      <x:c r="A150" t="str">
        <x:v>Norway</x:v>
      </x:c>
      <x:c r="B150" t="str">
        <x:v>vintage</x:v>
      </x:c>
      <x:c r="C150" t="str">
        <x:v>2021</x:v>
      </x:c>
      <x:c r="D150" s="34" t="n">
        <x:v>0</x:v>
      </x:c>
      <x:c r="E150" s="34" t="n">
        <x:v>0</x:v>
      </x:c>
      <x:c r="F150" t="str">
        <x:v>NOK</x:v>
      </x:c>
      <x:c r="G150" t="str">
        <x:v>NORDICS.xlsx / NOR_KPI_3</x:v>
      </x:c>
      <x:c r="H150" t="str">
        <x:v>C17/D17</x:v>
      </x:c>
    </x:row>
    <x:row r="151">
      <x:c r="A151" t="str">
        <x:v>Norway</x:v>
      </x:c>
      <x:c r="B151" t="str">
        <x:v>vintage</x:v>
      </x:c>
      <x:c r="C151" t="str">
        <x:v>2022</x:v>
      </x:c>
      <x:c r="D151" s="34" t="n">
        <x:v>0</x:v>
      </x:c>
      <x:c r="E151" s="34" t="n">
        <x:v>0</x:v>
      </x:c>
      <x:c r="F151" t="str">
        <x:v>NOK</x:v>
      </x:c>
      <x:c r="G151" t="str">
        <x:v>NORDICS.xlsx / NOR_KPI_3</x:v>
      </x:c>
      <x:c r="H151" t="str">
        <x:v>C18/D18</x:v>
      </x:c>
    </x:row>
    <x:row r="152">
      <x:c r="A152" t="str">
        <x:v>Norway</x:v>
      </x:c>
      <x:c r="B152" t="str">
        <x:v>vintage</x:v>
      </x:c>
      <x:c r="C152" t="str">
        <x:v>2023</x:v>
      </x:c>
      <x:c r="D152" s="34" t="n">
        <x:v>0</x:v>
      </x:c>
      <x:c r="E152" s="34" t="n">
        <x:v>0</x:v>
      </x:c>
      <x:c r="F152" t="str">
        <x:v>NOK</x:v>
      </x:c>
      <x:c r="G152" t="str">
        <x:v>NORDICS.xlsx / NOR_KPI_3</x:v>
      </x:c>
      <x:c r="H152" t="str">
        <x:v>C19/D19</x:v>
      </x:c>
    </x:row>
    <x:row r="153">
      <x:c r="A153" t="str">
        <x:v>Norway</x:v>
      </x:c>
      <x:c r="B153" t="str">
        <x:v>vintage</x:v>
      </x:c>
      <x:c r="C153" t="str">
        <x:v>2024</x:v>
      </x:c>
      <x:c r="D153" s="34" t="n">
        <x:v>0</x:v>
      </x:c>
      <x:c r="E153" s="34" t="n">
        <x:v>0</x:v>
      </x:c>
      <x:c r="F153" t="str">
        <x:v>NOK</x:v>
      </x:c>
      <x:c r="G153" t="str">
        <x:v>NORDICS.xlsx / NOR_KPI_3</x:v>
      </x:c>
      <x:c r="H153" t="str">
        <x:v>C20/D20</x:v>
      </x:c>
    </x:row>
    <x:row r="154">
      <x:c r="A154" t="str">
        <x:v>Norway</x:v>
      </x:c>
      <x:c r="B154" t="str">
        <x:v>vintage</x:v>
      </x:c>
      <x:c r="C154" t="str">
        <x:v>2025</x:v>
      </x:c>
      <x:c r="D154" s="34" t="n">
        <x:v>0</x:v>
      </x:c>
      <x:c r="E154" s="34" t="n">
        <x:v>0</x:v>
      </x:c>
      <x:c r="F154" t="str">
        <x:v>NOK</x:v>
      </x:c>
      <x:c r="G154" t="str">
        <x:v>NORDICS.xlsx / NOR_KPI_3</x:v>
      </x:c>
      <x:c r="H154" t="str">
        <x:v>C21/D21</x:v>
      </x:c>
    </x:row>
    <x:row r="155">
      <x:c r="A155" t="str">
        <x:v>Norway</x:v>
      </x:c>
      <x:c r="B155" t="str">
        <x:v>vintage</x:v>
      </x:c>
      <x:c r="C155" t="str">
        <x:v>2026</x:v>
      </x:c>
      <x:c r="D155" s="34" t="n">
        <x:v>461</x:v>
      </x:c>
      <x:c r="E155" s="34" t="n">
        <x:v>122248.06</x:v>
      </x:c>
      <x:c r="F155" t="str">
        <x:v>NOK</x:v>
      </x:c>
      <x:c r="G155" t="str">
        <x:v>NORDICS.xlsx / NOR_KPI_3</x:v>
      </x:c>
      <x:c r="H155" t="str">
        <x:v>C22/D22</x:v>
      </x:c>
    </x:row>
    <x:row r="156">
      <x:c r="A156" t="str">
        <x:v>Sweden</x:v>
      </x:c>
      <x:c r="B156" t="str">
        <x:v>band</x:v>
      </x:c>
      <x:c r="C156" t="str">
        <x:v>0 - 11,1 Kr</x:v>
      </x:c>
      <x:c r="D156" s="34" t="n">
        <x:v>161</x:v>
      </x:c>
      <x:c r="E156" s="34" t="n">
        <x:v>263.21999999999997</x:v>
      </x:c>
      <x:c r="F156" t="str">
        <x:v>SEK</x:v>
      </x:c>
      <x:c r="G156" t="str">
        <x:v>NORDICS.xlsx / SWE_KPI_3</x:v>
      </x:c>
      <x:c r="H156" t="str">
        <x:v>C6/D6</x:v>
      </x:c>
    </x:row>
    <x:row r="157">
      <x:c r="A157" t="str">
        <x:v>Sweden</x:v>
      </x:c>
      <x:c r="B157" t="str">
        <x:v>band</x:v>
      </x:c>
      <x:c r="C157" t="str">
        <x:v>11,1 - 111 Kr</x:v>
      </x:c>
      <x:c r="D157" s="34" t="n">
        <x:v>119</x:v>
      </x:c>
      <x:c r="E157" s="34" t="n">
        <x:v>6340.86</x:v>
      </x:c>
      <x:c r="F157" t="str">
        <x:v>SEK</x:v>
      </x:c>
      <x:c r="G157" t="str">
        <x:v>NORDICS.xlsx / SWE_KPI_3</x:v>
      </x:c>
      <x:c r="H157" t="str">
        <x:v>C7/D7</x:v>
      </x:c>
    </x:row>
    <x:row r="158">
      <x:c r="A158" t="str">
        <x:v>Sweden</x:v>
      </x:c>
      <x:c r="B158" t="str">
        <x:v>band</x:v>
      </x:c>
      <x:c r="C158" t="str">
        <x:v>111 - 1109 Kr</x:v>
      </x:c>
      <x:c r="D158" s="34" t="n">
        <x:v>175</x:v>
      </x:c>
      <x:c r="E158" s="34" t="n">
        <x:v>65226.56999999998</x:v>
      </x:c>
      <x:c r="F158" t="str">
        <x:v>SEK</x:v>
      </x:c>
      <x:c r="G158" t="str">
        <x:v>NORDICS.xlsx / SWE_KPI_3</x:v>
      </x:c>
      <x:c r="H158" t="str">
        <x:v>C8/D8</x:v>
      </x:c>
    </x:row>
    <x:row r="159">
      <x:c r="A159" t="str">
        <x:v>Sweden</x:v>
      </x:c>
      <x:c r="B159" t="str">
        <x:v>band</x:v>
      </x:c>
      <x:c r="C159" t="str">
        <x:v>1109 - 11094 Kr</x:v>
      </x:c>
      <x:c r="D159" s="34" t="n">
        <x:v>32</x:v>
      </x:c>
      <x:c r="E159" s="34" t="n">
        <x:v>84813.40999999996</x:v>
      </x:c>
      <x:c r="F159" t="str">
        <x:v>SEK</x:v>
      </x:c>
      <x:c r="G159" t="str">
        <x:v>NORDICS.xlsx / SWE_KPI_3</x:v>
      </x:c>
      <x:c r="H159" t="str">
        <x:v>C9/D9</x:v>
      </x:c>
    </x:row>
    <x:row r="160">
      <x:c r="A160" t="str">
        <x:v>Sweden</x:v>
      </x:c>
      <x:c r="B160" t="str">
        <x:v>band</x:v>
      </x:c>
      <x:c r="C160" t="str">
        <x:v>&gt;11094 Kr</x:v>
      </x:c>
      <x:c r="D160" s="34" t="n">
        <x:v>0</x:v>
      </x:c>
      <x:c r="E160" s="34" t="n">
        <x:v>0</x:v>
      </x:c>
      <x:c r="F160" t="str">
        <x:v>SEK</x:v>
      </x:c>
      <x:c r="G160" t="str">
        <x:v>NORDICS.xlsx / SWE_KPI_3</x:v>
      </x:c>
      <x:c r="H160" t="str">
        <x:v>C10/D10</x:v>
      </x:c>
    </x:row>
    <x:row r="161">
      <x:c r="A161" t="str">
        <x:v>Sweden</x:v>
      </x:c>
      <x:c r="B161" t="str">
        <x:v>vintage</x:v>
      </x:c>
      <x:c r="C161" t="str">
        <x:v>&lt; 2018</x:v>
      </x:c>
      <x:c r="D161" s="34" t="n">
        <x:v>0</x:v>
      </x:c>
      <x:c r="E161" s="34" t="n">
        <x:v>0</x:v>
      </x:c>
      <x:c r="F161" t="str">
        <x:v>SEK</x:v>
      </x:c>
      <x:c r="G161" t="str">
        <x:v>NORDICS.xlsx / SWE_KPI_3</x:v>
      </x:c>
      <x:c r="H161" t="str">
        <x:v>C13/D13</x:v>
      </x:c>
    </x:row>
    <x:row r="162">
      <x:c r="A162" t="str">
        <x:v>Sweden</x:v>
      </x:c>
      <x:c r="B162" t="str">
        <x:v>vintage</x:v>
      </x:c>
      <x:c r="C162" t="str">
        <x:v>2018</x:v>
      </x:c>
      <x:c r="D162" s="34" t="n">
        <x:v>0</x:v>
      </x:c>
      <x:c r="E162" s="34" t="n">
        <x:v>0</x:v>
      </x:c>
      <x:c r="F162" t="str">
        <x:v>SEK</x:v>
      </x:c>
      <x:c r="G162" t="str">
        <x:v>NORDICS.xlsx / SWE_KPI_3</x:v>
      </x:c>
      <x:c r="H162" t="str">
        <x:v>C14/D14</x:v>
      </x:c>
    </x:row>
    <x:row r="163">
      <x:c r="A163" t="str">
        <x:v>Sweden</x:v>
      </x:c>
      <x:c r="B163" t="str">
        <x:v>vintage</x:v>
      </x:c>
      <x:c r="C163" t="str">
        <x:v>2019</x:v>
      </x:c>
      <x:c r="D163" s="34" t="n">
        <x:v>0</x:v>
      </x:c>
      <x:c r="E163" s="34" t="n">
        <x:v>0</x:v>
      </x:c>
      <x:c r="F163" t="str">
        <x:v>SEK</x:v>
      </x:c>
      <x:c r="G163" t="str">
        <x:v>NORDICS.xlsx / SWE_KPI_3</x:v>
      </x:c>
      <x:c r="H163" t="str">
        <x:v>C15/D15</x:v>
      </x:c>
    </x:row>
    <x:row r="164">
      <x:c r="A164" t="str">
        <x:v>Sweden</x:v>
      </x:c>
      <x:c r="B164" t="str">
        <x:v>vintage</x:v>
      </x:c>
      <x:c r="C164" t="str">
        <x:v>2020</x:v>
      </x:c>
      <x:c r="D164" s="34" t="n">
        <x:v>0</x:v>
      </x:c>
      <x:c r="E164" s="34" t="n">
        <x:v>0</x:v>
      </x:c>
      <x:c r="F164" t="str">
        <x:v>SEK</x:v>
      </x:c>
      <x:c r="G164" t="str">
        <x:v>NORDICS.xlsx / SWE_KPI_3</x:v>
      </x:c>
      <x:c r="H164" t="str">
        <x:v>C16/D16</x:v>
      </x:c>
    </x:row>
    <x:row r="165">
      <x:c r="A165" t="str">
        <x:v>Sweden</x:v>
      </x:c>
      <x:c r="B165" t="str">
        <x:v>vintage</x:v>
      </x:c>
      <x:c r="C165" t="str">
        <x:v>2021</x:v>
      </x:c>
      <x:c r="D165" s="34" t="n">
        <x:v>0</x:v>
      </x:c>
      <x:c r="E165" s="34" t="n">
        <x:v>0</x:v>
      </x:c>
      <x:c r="F165" t="str">
        <x:v>SEK</x:v>
      </x:c>
      <x:c r="G165" t="str">
        <x:v>NORDICS.xlsx / SWE_KPI_3</x:v>
      </x:c>
      <x:c r="H165" t="str">
        <x:v>C17/D17</x:v>
      </x:c>
    </x:row>
    <x:row r="166">
      <x:c r="A166" t="str">
        <x:v>Sweden</x:v>
      </x:c>
      <x:c r="B166" t="str">
        <x:v>vintage</x:v>
      </x:c>
      <x:c r="C166" t="str">
        <x:v>2022</x:v>
      </x:c>
      <x:c r="D166" s="34" t="n">
        <x:v>0</x:v>
      </x:c>
      <x:c r="E166" s="34" t="n">
        <x:v>0</x:v>
      </x:c>
      <x:c r="F166" t="str">
        <x:v>SEK</x:v>
      </x:c>
      <x:c r="G166" t="str">
        <x:v>NORDICS.xlsx / SWE_KPI_3</x:v>
      </x:c>
      <x:c r="H166" t="str">
        <x:v>C18/D18</x:v>
      </x:c>
    </x:row>
    <x:row r="167">
      <x:c r="A167" t="str">
        <x:v>Sweden</x:v>
      </x:c>
      <x:c r="B167" t="str">
        <x:v>vintage</x:v>
      </x:c>
      <x:c r="C167" t="str">
        <x:v>2023</x:v>
      </x:c>
      <x:c r="D167" s="34" t="n">
        <x:v>0</x:v>
      </x:c>
      <x:c r="E167" s="34" t="n">
        <x:v>0</x:v>
      </x:c>
      <x:c r="F167" t="str">
        <x:v>SEK</x:v>
      </x:c>
      <x:c r="G167" t="str">
        <x:v>NORDICS.xlsx / SWE_KPI_3</x:v>
      </x:c>
      <x:c r="H167" t="str">
        <x:v>C19/D19</x:v>
      </x:c>
    </x:row>
    <x:row r="168">
      <x:c r="A168" t="str">
        <x:v>Sweden</x:v>
      </x:c>
      <x:c r="B168" t="str">
        <x:v>vintage</x:v>
      </x:c>
      <x:c r="C168" t="str">
        <x:v>2024</x:v>
      </x:c>
      <x:c r="D168" s="34" t="n">
        <x:v>0</x:v>
      </x:c>
      <x:c r="E168" s="34" t="n">
        <x:v>0</x:v>
      </x:c>
      <x:c r="F168" t="str">
        <x:v>SEK</x:v>
      </x:c>
      <x:c r="G168" t="str">
        <x:v>NORDICS.xlsx / SWE_KPI_3</x:v>
      </x:c>
      <x:c r="H168" t="str">
        <x:v>C20/D20</x:v>
      </x:c>
    </x:row>
    <x:row r="169">
      <x:c r="A169" t="str">
        <x:v>Sweden</x:v>
      </x:c>
      <x:c r="B169" t="str">
        <x:v>vintage</x:v>
      </x:c>
      <x:c r="C169" t="str">
        <x:v>2025</x:v>
      </x:c>
      <x:c r="D169" s="34" t="n">
        <x:v>0</x:v>
      </x:c>
      <x:c r="E169" s="34" t="n">
        <x:v>0</x:v>
      </x:c>
      <x:c r="F169" t="str">
        <x:v>SEK</x:v>
      </x:c>
      <x:c r="G169" t="str">
        <x:v>NORDICS.xlsx / SWE_KPI_3</x:v>
      </x:c>
      <x:c r="H169" t="str">
        <x:v>C21/D21</x:v>
      </x:c>
    </x:row>
    <x:row r="170">
      <x:c r="A170" t="str">
        <x:v>Sweden</x:v>
      </x:c>
      <x:c r="B170" t="str">
        <x:v>vintage</x:v>
      </x:c>
      <x:c r="C170" t="str">
        <x:v>2026</x:v>
      </x:c>
      <x:c r="D170" s="34" t="n">
        <x:v>487</x:v>
      </x:c>
      <x:c r="E170" s="34" t="n">
        <x:v>156644.06000000014</x:v>
      </x:c>
      <x:c r="F170" t="str">
        <x:v>SEK</x:v>
      </x:c>
      <x:c r="G170" t="str">
        <x:v>NORDICS.xlsx / SWE_KPI_3</x:v>
      </x:c>
      <x:c r="H170" t="str">
        <x:v>C22/D22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42" t="str">
        <x:v>Country</x:v>
      </x:c>
      <x:c r="B1" s="42" t="str">
        <x:v>Vintage</x:v>
      </x:c>
      <x:c r="C1" s="42" t="str">
        <x:v>Q2 stock EUR</x:v>
      </x:c>
      <x:c r="D1" s="42" t="str">
        <x:v>Source</x:v>
      </x:c>
    </x:row>
    <x:row r="2">
      <x:c r="A2" t="str">
        <x:v>Spain</x:v>
      </x:c>
      <x:c r="B2" t="str">
        <x:v>&lt;2025</x:v>
      </x:c>
      <x:c r="C2" s="34" t="n">
        <x:v>359833.84</x:v>
      </x:c>
      <x:c r="D2" t="str">
        <x:v>STOCK_VINTAGES / 2026Q2 / Spain</x:v>
      </x:c>
    </x:row>
    <x:row r="3">
      <x:c r="A3" t="str">
        <x:v>Spain</x:v>
      </x:c>
      <x:c r="B3" t="str">
        <x:v>2025</x:v>
      </x:c>
      <x:c r="C3" s="34" t="n">
        <x:v>69303.28</x:v>
      </x:c>
      <x:c r="D3" t="str">
        <x:v>STOCK_VINTAGES / 2026Q2 / Spain</x:v>
      </x:c>
    </x:row>
    <x:row r="4">
      <x:c r="A4" t="str">
        <x:v>Spain</x:v>
      </x:c>
      <x:c r="B4" t="str">
        <x:v>2026</x:v>
      </x:c>
      <x:c r="C4" s="34" t="n">
        <x:v>1358674.68</x:v>
      </x:c>
      <x:c r="D4" t="str">
        <x:v>STOCK_VINTAGES / 2026Q2 / Spain</x:v>
      </x:c>
    </x:row>
    <x:row r="5">
      <x:c r="A5" t="str">
        <x:v>Germany</x:v>
      </x:c>
      <x:c r="B5" t="str">
        <x:v>&lt;2025</x:v>
      </x:c>
      <x:c r="C5" s="34" t="n">
        <x:v>933115.21</x:v>
      </x:c>
      <x:c r="D5" t="str">
        <x:v>STOCK_VINTAGES / 2026Q2 / Germany</x:v>
      </x:c>
    </x:row>
    <x:row r="6">
      <x:c r="A6" t="str">
        <x:v>Germany</x:v>
      </x:c>
      <x:c r="B6" t="str">
        <x:v>2025</x:v>
      </x:c>
      <x:c r="C6" s="34" t="n">
        <x:v>553548.07</x:v>
      </x:c>
      <x:c r="D6" t="str">
        <x:v>STOCK_VINTAGES / 2026Q2 / Germany</x:v>
      </x:c>
    </x:row>
    <x:row r="7">
      <x:c r="A7" t="str">
        <x:v>Germany</x:v>
      </x:c>
      <x:c r="B7" t="str">
        <x:v>2026</x:v>
      </x:c>
      <x:c r="C7" s="34" t="n">
        <x:v>1986809.9</x:v>
      </x:c>
      <x:c r="D7" t="str">
        <x:v>STOCK_VINTAGES / 2026Q2 / Germany</x:v>
      </x:c>
    </x:row>
    <x:row r="8">
      <x:c r="A8" t="str">
        <x:v>Austria</x:v>
      </x:c>
      <x:c r="B8" t="str">
        <x:v>&lt;2025</x:v>
      </x:c>
      <x:c r="C8" s="34" t="n">
        <x:v>6177.09</x:v>
      </x:c>
      <x:c r="D8" t="str">
        <x:v>STOCK_VINTAGES / 2026Q2 / Austria</x:v>
      </x:c>
    </x:row>
    <x:row r="9">
      <x:c r="A9" t="str">
        <x:v>Austria</x:v>
      </x:c>
      <x:c r="B9" t="str">
        <x:v>2025</x:v>
      </x:c>
      <x:c r="C9" s="34" t="n">
        <x:v>429.88</x:v>
      </x:c>
      <x:c r="D9" t="str">
        <x:v>STOCK_VINTAGES / 2026Q2 / Austria</x:v>
      </x:c>
    </x:row>
    <x:row r="10">
      <x:c r="A10" t="str">
        <x:v>Austria</x:v>
      </x:c>
      <x:c r="B10" t="str">
        <x:v>2026</x:v>
      </x:c>
      <x:c r="C10" s="34" t="n">
        <x:v>5385.32</x:v>
      </x:c>
      <x:c r="D10" t="str">
        <x:v>STOCK_VINTAGES / 2026Q2 / Austria</x:v>
      </x:c>
    </x:row>
    <x:row r="11">
      <x:c r="A11" t="str">
        <x:v>Belgium</x:v>
      </x:c>
      <x:c r="B11" t="str">
        <x:v>&lt;2025</x:v>
      </x:c>
      <x:c r="C11" s="34" t="n">
        <x:v>22815.25</x:v>
      </x:c>
      <x:c r="D11" t="str">
        <x:v>STOCK_VINTAGES / 2026Q2 / Belgium</x:v>
      </x:c>
    </x:row>
    <x:row r="12">
      <x:c r="A12" t="str">
        <x:v>Belgium</x:v>
      </x:c>
      <x:c r="B12" t="str">
        <x:v>2025</x:v>
      </x:c>
      <x:c r="C12" s="34" t="n">
        <x:v>1688.47</x:v>
      </x:c>
      <x:c r="D12" t="str">
        <x:v>STOCK_VINTAGES / 2026Q2 / Belgium</x:v>
      </x:c>
    </x:row>
    <x:row r="13">
      <x:c r="A13" t="str">
        <x:v>Belgium</x:v>
      </x:c>
      <x:c r="B13" t="str">
        <x:v>2026</x:v>
      </x:c>
      <x:c r="C13" s="34" t="n">
        <x:v>112160.5</x:v>
      </x:c>
      <x:c r="D13" t="str">
        <x:v>STOCK_VINTAGES / 2026Q2 / Belgium</x:v>
      </x:c>
    </x:row>
    <x:row r="14">
      <x:c r="A14" t="str">
        <x:v>Italy</x:v>
      </x:c>
      <x:c r="B14" t="str">
        <x:v>&lt;2025</x:v>
      </x:c>
      <x:c r="C14" s="34" t="n">
        <x:v>1748293.45</x:v>
      </x:c>
      <x:c r="D14" t="str">
        <x:v>STOCK_VINTAGES / 2026Q2 / Italy</x:v>
      </x:c>
    </x:row>
    <x:row r="15">
      <x:c r="A15" t="str">
        <x:v>Italy</x:v>
      </x:c>
      <x:c r="B15" t="str">
        <x:v>2025</x:v>
      </x:c>
      <x:c r="C15" s="34" t="n">
        <x:v>360502.48</x:v>
      </x:c>
      <x:c r="D15" t="str">
        <x:v>STOCK_VINTAGES / 2026Q2 / Italy</x:v>
      </x:c>
    </x:row>
    <x:row r="16">
      <x:c r="A16" t="str">
        <x:v>Italy</x:v>
      </x:c>
      <x:c r="B16" t="str">
        <x:v>2026</x:v>
      </x:c>
      <x:c r="C16" s="34" t="n">
        <x:v>914448.7</x:v>
      </x:c>
      <x:c r="D16" t="str">
        <x:v>STOCK_VINTAGES / 2026Q2 / Italy</x:v>
      </x:c>
    </x:row>
    <x:row r="17">
      <x:c r="A17" t="str">
        <x:v>Portugal</x:v>
      </x:c>
      <x:c r="B17" t="str">
        <x:v>&lt;2025</x:v>
      </x:c>
      <x:c r="C17" s="34" t="n">
        <x:v>9595.18</x:v>
      </x:c>
      <x:c r="D17" t="str">
        <x:v>STOCK_VINTAGES / 2026Q2 / Portugal</x:v>
      </x:c>
    </x:row>
    <x:row r="18">
      <x:c r="A18" t="str">
        <x:v>Portugal</x:v>
      </x:c>
      <x:c r="B18" t="str">
        <x:v>2025</x:v>
      </x:c>
      <x:c r="C18" s="34" t="n">
        <x:v>106201.13</x:v>
      </x:c>
      <x:c r="D18" t="str">
        <x:v>STOCK_VINTAGES / 2026Q2 / Portugal</x:v>
      </x:c>
    </x:row>
    <x:row r="19">
      <x:c r="A19" t="str">
        <x:v>Portugal</x:v>
      </x:c>
      <x:c r="B19" t="str">
        <x:v>2026</x:v>
      </x:c>
      <x:c r="C19" s="34" t="n">
        <x:v>477616.69</x:v>
      </x:c>
      <x:c r="D19" t="str">
        <x:v>STOCK_VINTAGES / 2026Q2 / Portugal</x:v>
      </x:c>
    </x:row>
    <x:row r="20">
      <x:c r="A20" t="str">
        <x:v>France</x:v>
      </x:c>
      <x:c r="B20" t="str">
        <x:v>&lt;2025</x:v>
      </x:c>
      <x:c r="C20" s="34" t="n">
        <x:v>81346.53</x:v>
      </x:c>
      <x:c r="D20" t="str">
        <x:v>STOCK_VINTAGES / 2026Q2 / France</x:v>
      </x:c>
    </x:row>
    <x:row r="21">
      <x:c r="A21" t="str">
        <x:v>France</x:v>
      </x:c>
      <x:c r="B21" t="str">
        <x:v>2025</x:v>
      </x:c>
      <x:c r="C21" s="34" t="n">
        <x:v>267460.69</x:v>
      </x:c>
      <x:c r="D21" t="str">
        <x:v>STOCK_VINTAGES / 2026Q2 / France</x:v>
      </x:c>
    </x:row>
    <x:row r="22">
      <x:c r="A22" t="str">
        <x:v>France</x:v>
      </x:c>
      <x:c r="B22" t="str">
        <x:v>2026</x:v>
      </x:c>
      <x:c r="C22" s="34" t="n">
        <x:v>2968779.5</x:v>
      </x:c>
      <x:c r="D22" t="str">
        <x:v>STOCK_VINTAGES / 2026Q2 / France</x:v>
      </x:c>
    </x:row>
    <x:row r="23">
      <x:c r="A23" t="str">
        <x:v>UK</x:v>
      </x:c>
      <x:c r="B23" t="str">
        <x:v>&lt;2025</x:v>
      </x:c>
      <x:c r="C23" s="34" t="n">
        <x:v>1735254.079</x:v>
      </x:c>
      <x:c r="D23" t="str">
        <x:v>STOCK_VINTAGES / 2026Q2 / UK</x:v>
      </x:c>
    </x:row>
    <x:row r="24">
      <x:c r="A24" t="str">
        <x:v>UK</x:v>
      </x:c>
      <x:c r="B24" t="str">
        <x:v>2025</x:v>
      </x:c>
      <x:c r="C24" s="34" t="n">
        <x:v>727107.5663</x:v>
      </x:c>
      <x:c r="D24" t="str">
        <x:v>STOCK_VINTAGES / 2026Q2 / UK</x:v>
      </x:c>
    </x:row>
    <x:row r="25">
      <x:c r="A25" t="str">
        <x:v>UK</x:v>
      </x:c>
      <x:c r="B25" t="str">
        <x:v>2026</x:v>
      </x:c>
      <x:c r="C25" s="34" t="n">
        <x:v>374300.0095</x:v>
      </x:c>
      <x:c r="D25" t="str">
        <x:v>STOCK_VINTAGES / 2026Q2 / UK</x:v>
      </x:c>
    </x:row>
    <x:row r="26">
      <x:c r="A26" t="str">
        <x:v>South Africa</x:v>
      </x:c>
      <x:c r="B26" t="str">
        <x:v>&lt;2025</x:v>
      </x:c>
      <x:c r="C26" s="34" t="n">
        <x:v>870959.9422</x:v>
      </x:c>
      <x:c r="D26" t="str">
        <x:v>STOCK_VINTAGES / 2026Q2 / South Africa</x:v>
      </x:c>
    </x:row>
    <x:row r="27">
      <x:c r="A27" t="str">
        <x:v>South Africa</x:v>
      </x:c>
      <x:c r="B27" t="str">
        <x:v>2025</x:v>
      </x:c>
      <x:c r="C27" s="34" t="n">
        <x:v>390377.843</x:v>
      </x:c>
      <x:c r="D27" t="str">
        <x:v>STOCK_VINTAGES / 2026Q2 / South Africa</x:v>
      </x:c>
    </x:row>
    <x:row r="28">
      <x:c r="A28" t="str">
        <x:v>South Africa</x:v>
      </x:c>
      <x:c r="B28" t="str">
        <x:v>2026</x:v>
      </x:c>
      <x:c r="C28" s="34" t="n">
        <x:v>643743.1436</x:v>
      </x:c>
      <x:c r="D28" t="str">
        <x:v>STOCK_VINTAGES / 2026Q2 / South Africa</x:v>
      </x:c>
    </x:row>
    <x:row r="29">
      <x:c r="A29" t="str">
        <x:v>Romania</x:v>
      </x:c>
      <x:c r="B29" t="str">
        <x:v>&lt;2025</x:v>
      </x:c>
      <x:c r="C29" s="34" t="n">
        <x:v>416.673</x:v>
      </x:c>
      <x:c r="D29" t="str">
        <x:v>STOCK_VINTAGES / 2026Q2 / Romania</x:v>
      </x:c>
    </x:row>
    <x:row r="30">
      <x:c r="A30" t="str">
        <x:v>Romania</x:v>
      </x:c>
      <x:c r="B30" t="str">
        <x:v>2025</x:v>
      </x:c>
      <x:c r="C30" s="34" t="n">
        <x:v>1682.6214</x:v>
      </x:c>
      <x:c r="D30" t="str">
        <x:v>STOCK_VINTAGES / 2026Q2 / Romania</x:v>
      </x:c>
    </x:row>
    <x:row r="31">
      <x:c r="A31" t="str">
        <x:v>Romania</x:v>
      </x:c>
      <x:c r="B31" t="str">
        <x:v>2026</x:v>
      </x:c>
      <x:c r="C31" s="34" t="n">
        <x:v>46788.2242</x:v>
      </x:c>
      <x:c r="D31" t="str">
        <x:v>STOCK_VINTAGES / 2026Q2 / Romania</x:v>
      </x:c>
    </x:row>
    <x:row r="32">
      <x:c r="A32" t="str">
        <x:v>Brazil</x:v>
      </x:c>
      <x:c r="B32" t="str">
        <x:v>&lt;2025</x:v>
      </x:c>
      <x:c r="C32" s="34" t="n">
        <x:v>3658647.9909</x:v>
      </x:c>
      <x:c r="D32" t="str">
        <x:v>STOCK_VINTAGES / 2026Q2 / Brazil</x:v>
      </x:c>
    </x:row>
    <x:row r="33">
      <x:c r="A33" t="str">
        <x:v>Brazil</x:v>
      </x:c>
      <x:c r="B33" t="str">
        <x:v>2025</x:v>
      </x:c>
      <x:c r="C33" s="34" t="n">
        <x:v>114496.0866</x:v>
      </x:c>
      <x:c r="D33" t="str">
        <x:v>STOCK_VINTAGES / 2026Q2 / Brazil</x:v>
      </x:c>
    </x:row>
    <x:row r="34">
      <x:c r="A34" t="str">
        <x:v>Brazil</x:v>
      </x:c>
      <x:c r="B34" t="str">
        <x:v>2026</x:v>
      </x:c>
      <x:c r="C34" s="34" t="n">
        <x:v>11051.3425</x:v>
      </x:c>
      <x:c r="D34" t="str">
        <x:v>STOCK_VINTAGES / 2026Q2 / Brazil</x:v>
      </x:c>
    </x:row>
    <x:row r="35">
      <x:c r="A35" t="str">
        <x:v>Denmark</x:v>
      </x:c>
      <x:c r="B35" t="str">
        <x:v>&lt;2025</x:v>
      </x:c>
      <x:c r="C35" s="34" t="n">
        <x:v>0</x:v>
      </x:c>
      <x:c r="D35" t="str">
        <x:v>STOCK_VINTAGES / 2026Q2 / Denmark</x:v>
      </x:c>
    </x:row>
    <x:row r="36">
      <x:c r="A36" t="str">
        <x:v>Denmark</x:v>
      </x:c>
      <x:c r="B36" t="str">
        <x:v>2025</x:v>
      </x:c>
      <x:c r="C36" s="34" t="n">
        <x:v>0</x:v>
      </x:c>
      <x:c r="D36" t="str">
        <x:v>STOCK_VINTAGES / 2026Q2 / Denmark</x:v>
      </x:c>
    </x:row>
    <x:row r="37">
      <x:c r="A37" t="str">
        <x:v>Denmark</x:v>
      </x:c>
      <x:c r="B37" t="str">
        <x:v>2026</x:v>
      </x:c>
      <x:c r="C37" s="34" t="n">
        <x:v>24388.7401</x:v>
      </x:c>
      <x:c r="D37" t="str">
        <x:v>STOCK_VINTAGES / 2026Q2 / Denmark</x:v>
      </x:c>
    </x:row>
    <x:row r="38">
      <x:c r="A38" t="str">
        <x:v>Norway</x:v>
      </x:c>
      <x:c r="B38" t="str">
        <x:v>&lt;2025</x:v>
      </x:c>
      <x:c r="C38" s="34" t="n">
        <x:v>0</x:v>
      </x:c>
      <x:c r="D38" t="str">
        <x:v>STOCK_VINTAGES / 2026Q2 / Norway</x:v>
      </x:c>
    </x:row>
    <x:row r="39">
      <x:c r="A39" t="str">
        <x:v>Norway</x:v>
      </x:c>
      <x:c r="B39" t="str">
        <x:v>2025</x:v>
      </x:c>
      <x:c r="C39" s="34" t="n">
        <x:v>0</x:v>
      </x:c>
      <x:c r="D39" t="str">
        <x:v>STOCK_VINTAGES / 2026Q2 / Norway</x:v>
      </x:c>
    </x:row>
    <x:row r="40">
      <x:c r="A40" t="str">
        <x:v>Norway</x:v>
      </x:c>
      <x:c r="B40" t="str">
        <x:v>2026</x:v>
      </x:c>
      <x:c r="C40" s="34" t="n">
        <x:v>10807.6386</x:v>
      </x:c>
      <x:c r="D40" t="str">
        <x:v>STOCK_VINTAGES / 2026Q2 / Norway</x:v>
      </x:c>
    </x:row>
    <x:row r="41">
      <x:c r="A41" t="str">
        <x:v>Sweden</x:v>
      </x:c>
      <x:c r="B41" t="str">
        <x:v>&lt;2025</x:v>
      </x:c>
      <x:c r="C41" s="34" t="n">
        <x:v>0</x:v>
      </x:c>
      <x:c r="D41" t="str">
        <x:v>STOCK_VINTAGES / 2026Q2 / Sweden</x:v>
      </x:c>
    </x:row>
    <x:row r="42">
      <x:c r="A42" t="str">
        <x:v>Sweden</x:v>
      </x:c>
      <x:c r="B42" t="str">
        <x:v>2025</x:v>
      </x:c>
      <x:c r="C42" s="34" t="n">
        <x:v>0</x:v>
      </x:c>
      <x:c r="D42" t="str">
        <x:v>STOCK_VINTAGES / 2026Q2 / Sweden</x:v>
      </x:c>
    </x:row>
    <x:row r="43">
      <x:c r="A43" t="str">
        <x:v>Sweden</x:v>
      </x:c>
      <x:c r="B43" t="str">
        <x:v>2026</x:v>
      </x:c>
      <x:c r="C43" s="34" t="n">
        <x:v>14140.069</x:v>
      </x:c>
      <x:c r="D43" t="str">
        <x:v>STOCK_VINTAGES / 2026Q2 / Sweden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42" t="str">
        <x:v>Reporting group</x:v>
      </x:c>
      <x:c r="B1" s="42" t="str">
        <x:v>Month</x:v>
      </x:c>
      <x:c r="C1" s="42" t="str">
        <x:v>Flow EUR</x:v>
      </x:c>
      <x:c r="D1" s="42" t="str">
        <x:v>Processed EUR</x:v>
      </x:c>
      <x:c r="E1" s="42" t="str">
        <x:v>Efficiency amount</x:v>
      </x:c>
      <x:c r="F1" s="42" t="str">
        <x:v>Source cell</x:v>
      </x:c>
      <x:c r="G1" s="42" t="str">
        <x:v>Source file</x:v>
      </x:c>
    </x:row>
    <x:row r="2">
      <x:c r="A2" t="str">
        <x:v>Spain</x:v>
      </x:c>
      <x:c r="B2" t="str">
        <x:v>2026-01</x:v>
      </x:c>
      <x:c r="C2" s="34" t="n">
        <x:v>2802915.75</x:v>
      </x:c>
      <x:c r="D2" s="34" t="n">
        <x:v>2783756.22</x:v>
      </x:c>
      <x:c r="E2" s="36" t="n">
        <x:v>0.993164429</x:v>
      </x:c>
      <x:c r="F2" t="str">
        <x:v>'Evolution flux'!H7;H19;H31</x:v>
      </x:c>
      <x:c r="G2" t="str">
        <x:v>Synthese Soldes Créditeurs Q2 2026.xlsx</x:v>
      </x:c>
    </x:row>
    <x:row r="3">
      <x:c r="A3" t="str">
        <x:v>Spain</x:v>
      </x:c>
      <x:c r="B3" t="str">
        <x:v>2026-02</x:v>
      </x:c>
      <x:c r="C3" s="34" t="n">
        <x:v>3537190.04</x:v>
      </x:c>
      <x:c r="D3" s="34" t="n">
        <x:v>3482860.67</x:v>
      </x:c>
      <x:c r="E3" s="36" t="n">
        <x:v>0.984640528</x:v>
      </x:c>
      <x:c r="F3" t="str">
        <x:v>'Evolution flux'!G7;G19;G31</x:v>
      </x:c>
      <x:c r="G3" t="str">
        <x:v>Synthese Soldes Créditeurs Q2 2026.xlsx</x:v>
      </x:c>
    </x:row>
    <x:row r="4">
      <x:c r="A4" t="str">
        <x:v>Spain</x:v>
      </x:c>
      <x:c r="B4" t="str">
        <x:v>2026-03</x:v>
      </x:c>
      <x:c r="C4" s="34" t="n">
        <x:v>3807379.25</x:v>
      </x:c>
      <x:c r="D4" s="34" t="n">
        <x:v>3741802.42</x:v>
      </x:c>
      <x:c r="E4" s="36" t="n">
        <x:v>0.982776386</x:v>
      </x:c>
      <x:c r="F4" t="str">
        <x:v>'Evolution flux'!F7;F19;F31</x:v>
      </x:c>
      <x:c r="G4" t="str">
        <x:v>Synthese Soldes Créditeurs Q2 2026.xlsx</x:v>
      </x:c>
    </x:row>
    <x:row r="5">
      <x:c r="A5" t="str">
        <x:v>Spain</x:v>
      </x:c>
      <x:c r="B5" t="str">
        <x:v>2026-04</x:v>
      </x:c>
      <x:c r="C5" s="34" t="n">
        <x:v>3480226.74</x:v>
      </x:c>
      <x:c r="D5" s="34" t="n">
        <x:v>3374632.89</x:v>
      </x:c>
      <x:c r="E5" s="36" t="n">
        <x:v>0.969658917</x:v>
      </x:c>
      <x:c r="F5" t="str">
        <x:v>'Evolution flux'!E7;E19;E31</x:v>
      </x:c>
      <x:c r="G5" t="str">
        <x:v>Synthese Soldes Créditeurs Q2 2026.xlsx</x:v>
      </x:c>
    </x:row>
    <x:row r="6">
      <x:c r="A6" t="str">
        <x:v>Spain</x:v>
      </x:c>
      <x:c r="B6" t="str">
        <x:v>2026-05</x:v>
      </x:c>
      <x:c r="C6" s="34" t="n">
        <x:v>3189964.34</x:v>
      </x:c>
      <x:c r="D6" s="34" t="n">
        <x:v>3024426.78</x:v>
      </x:c>
      <x:c r="E6" s="36" t="n">
        <x:v>0.948106768</x:v>
      </x:c>
      <x:c r="F6" t="str">
        <x:v>'Evolution flux'!D7;D19;D31</x:v>
      </x:c>
      <x:c r="G6" t="str">
        <x:v>Synthese Soldes Créditeurs Q2 2026.xlsx</x:v>
      </x:c>
    </x:row>
    <x:row r="7">
      <x:c r="A7" t="str">
        <x:v>Spain</x:v>
      </x:c>
      <x:c r="B7" t="str">
        <x:v>2026-06</x:v>
      </x:c>
      <x:c r="C7" s="34" t="n">
        <x:v>3807084.01</x:v>
      </x:c>
      <x:c r="D7" s="34" t="n">
        <x:v>2866507.6</x:v>
      </x:c>
      <x:c r="E7" s="36" t="n">
        <x:v>0.752940464</x:v>
      </x:c>
      <x:c r="F7" t="str">
        <x:v>'Evolution flux'!C7;C19;C31</x:v>
      </x:c>
      <x:c r="G7" t="str">
        <x:v>Synthese Soldes Créditeurs Q2 2026.xlsx</x:v>
      </x:c>
    </x:row>
    <x:row r="8">
      <x:c r="A8" t="str">
        <x:v>Germany + Austria</x:v>
      </x:c>
      <x:c r="B8" t="str">
        <x:v>2026-01</x:v>
      </x:c>
      <x:c r="C8" s="34" t="n">
        <x:v>604356.03</x:v>
      </x:c>
      <x:c r="D8" s="34" t="n">
        <x:v>429368.98</x:v>
      </x:c>
      <x:c r="E8" s="36" t="n">
        <x:v>0.710457013</x:v>
      </x:c>
      <x:c r="F8" t="str">
        <x:v>'Evolution flux'!H8;H20;H32</x:v>
      </x:c>
      <x:c r="G8" t="str">
        <x:v>Synthese Soldes Créditeurs Q2 2026.xlsx</x:v>
      </x:c>
    </x:row>
    <x:row r="9">
      <x:c r="A9" t="str">
        <x:v>Germany + Austria</x:v>
      </x:c>
      <x:c r="B9" t="str">
        <x:v>2026-02</x:v>
      </x:c>
      <x:c r="C9" s="34" t="n">
        <x:v>986741.32</x:v>
      </x:c>
      <x:c r="D9" s="34" t="n">
        <x:v>733133.88</x:v>
      </x:c>
      <x:c r="E9" s="36" t="n">
        <x:v>0.742984879</x:v>
      </x:c>
      <x:c r="F9" t="str">
        <x:v>'Evolution flux'!G8;G20;G32</x:v>
      </x:c>
      <x:c r="G9" t="str">
        <x:v>Synthese Soldes Créditeurs Q2 2026.xlsx</x:v>
      </x:c>
    </x:row>
    <x:row r="10">
      <x:c r="A10" t="str">
        <x:v>Germany + Austria</x:v>
      </x:c>
      <x:c r="B10" t="str">
        <x:v>2026-03</x:v>
      </x:c>
      <x:c r="C10" s="34" t="n">
        <x:v>827458.96</x:v>
      </x:c>
      <x:c r="D10" s="34" t="n">
        <x:v>641037.2</x:v>
      </x:c>
      <x:c r="E10" s="36" t="n">
        <x:v>0.774705733</x:v>
      </x:c>
      <x:c r="F10" t="str">
        <x:v>'Evolution flux'!F8;F20;F32</x:v>
      </x:c>
      <x:c r="G10" t="str">
        <x:v>Synthese Soldes Créditeurs Q2 2026.xlsx</x:v>
      </x:c>
    </x:row>
    <x:row r="11">
      <x:c r="A11" t="str">
        <x:v>Germany + Austria</x:v>
      </x:c>
      <x:c r="B11" t="str">
        <x:v>2026-04</x:v>
      </x:c>
      <x:c r="C11" s="34" t="n">
        <x:v>718495.51</x:v>
      </x:c>
      <x:c r="D11" s="34" t="n">
        <x:v>463744.01</x:v>
      </x:c>
      <x:c r="E11" s="36" t="n">
        <x:v>0.645437589</x:v>
      </x:c>
      <x:c r="F11" t="str">
        <x:v>'Evolution flux'!E8;E20;E32</x:v>
      </x:c>
      <x:c r="G11" t="str">
        <x:v>Synthese Soldes Créditeurs Q2 2026.xlsx</x:v>
      </x:c>
    </x:row>
    <x:row r="12">
      <x:c r="A12" t="str">
        <x:v>Germany + Austria</x:v>
      </x:c>
      <x:c r="B12" t="str">
        <x:v>2026-05</x:v>
      </x:c>
      <x:c r="C12" s="34" t="n">
        <x:v>745568.1</x:v>
      </x:c>
      <x:c r="D12" s="34" t="n">
        <x:v>458576.25</x:v>
      </x:c>
      <x:c r="E12" s="36" t="n">
        <x:v>0.615069569</x:v>
      </x:c>
      <x:c r="F12" t="str">
        <x:v>'Evolution flux'!D8;D20;D32</x:v>
      </x:c>
      <x:c r="G12" t="str">
        <x:v>Synthese Soldes Créditeurs Q2 2026.xlsx</x:v>
      </x:c>
    </x:row>
    <x:row r="13">
      <x:c r="A13" t="str">
        <x:v>Germany + Austria</x:v>
      </x:c>
      <x:c r="B13" t="str">
        <x:v>2026-06</x:v>
      </x:c>
      <x:c r="C13" s="34" t="n">
        <x:v>1143531.38</x:v>
      </x:c>
      <x:c r="D13" s="34" t="n">
        <x:v>308531.79</x:v>
      </x:c>
      <x:c r="E13" s="36" t="n">
        <x:v>0.269806142</x:v>
      </x:c>
      <x:c r="F13" t="str">
        <x:v>'Evolution flux'!C8;C20;C32</x:v>
      </x:c>
      <x:c r="G13" t="str">
        <x:v>Synthese Soldes Créditeurs Q2 2026.xlsx</x:v>
      </x:c>
    </x:row>
    <x:row r="14">
      <x:c r="A14" t="str">
        <x:v>Belgium</x:v>
      </x:c>
      <x:c r="B14" t="str">
        <x:v>2026-01</x:v>
      </x:c>
      <x:c r="C14" s="34" t="n">
        <x:v>114219.87</x:v>
      </x:c>
      <x:c r="D14" s="34" t="n">
        <x:v>114219.87</x:v>
      </x:c>
      <x:c r="E14" s="36" t="n">
        <x:v>1</x:v>
      </x:c>
      <x:c r="F14" t="str">
        <x:v>'Evolution flux'!H9;H21;H33</x:v>
      </x:c>
      <x:c r="G14" t="str">
        <x:v>Synthese Soldes Créditeurs Q2 2026.xlsx</x:v>
      </x:c>
    </x:row>
    <x:row r="15">
      <x:c r="A15" t="str">
        <x:v>Belgium</x:v>
      </x:c>
      <x:c r="B15" t="str">
        <x:v>2026-02</x:v>
      </x:c>
      <x:c r="C15" s="34" t="n">
        <x:v>112478.19</x:v>
      </x:c>
      <x:c r="D15" s="34" t="n">
        <x:v>112467.91</x:v>
      </x:c>
      <x:c r="E15" s="36" t="n">
        <x:v>0.999908605</x:v>
      </x:c>
      <x:c r="F15" t="str">
        <x:v>'Evolution flux'!G9;G21;G33</x:v>
      </x:c>
      <x:c r="G15" t="str">
        <x:v>Synthese Soldes Créditeurs Q2 2026.xlsx</x:v>
      </x:c>
    </x:row>
    <x:row r="16">
      <x:c r="A16" t="str">
        <x:v>Belgium</x:v>
      </x:c>
      <x:c r="B16" t="str">
        <x:v>2026-03</x:v>
      </x:c>
      <x:c r="C16" s="34" t="n">
        <x:v>145235.76</x:v>
      </x:c>
      <x:c r="D16" s="34" t="n">
        <x:v>141358.76</x:v>
      </x:c>
      <x:c r="E16" s="36" t="n">
        <x:v>0.973305472</x:v>
      </x:c>
      <x:c r="F16" t="str">
        <x:v>'Evolution flux'!F9;F21;F33</x:v>
      </x:c>
      <x:c r="G16" t="str">
        <x:v>Synthese Soldes Créditeurs Q2 2026.xlsx</x:v>
      </x:c>
    </x:row>
    <x:row r="17">
      <x:c r="A17" t="str">
        <x:v>Belgium</x:v>
      </x:c>
      <x:c r="B17" t="str">
        <x:v>2026-04</x:v>
      </x:c>
      <x:c r="C17" s="34" t="n">
        <x:v>105004.84</x:v>
      </x:c>
      <x:c r="D17" s="34" t="n">
        <x:v>105004.84</x:v>
      </x:c>
      <x:c r="E17" s="36" t="n">
        <x:v>1</x:v>
      </x:c>
      <x:c r="F17" t="str">
        <x:v>'Evolution flux'!E9;E21;E33</x:v>
      </x:c>
      <x:c r="G17" t="str">
        <x:v>Synthese Soldes Créditeurs Q2 2026.xlsx</x:v>
      </x:c>
    </x:row>
    <x:row r="18">
      <x:c r="A18" t="str">
        <x:v>Belgium</x:v>
      </x:c>
      <x:c r="B18" t="str">
        <x:v>2026-05</x:v>
      </x:c>
      <x:c r="C18" s="34" t="n">
        <x:v>68163.69</x:v>
      </x:c>
      <x:c r="D18" s="34" t="n">
        <x:v>64231.56</x:v>
      </x:c>
      <x:c r="E18" s="36" t="n">
        <x:v>0.942313422</x:v>
      </x:c>
      <x:c r="F18" t="str">
        <x:v>'Evolution flux'!D9;D21;D33</x:v>
      </x:c>
      <x:c r="G18" t="str">
        <x:v>Synthese Soldes Créditeurs Q2 2026.xlsx</x:v>
      </x:c>
    </x:row>
    <x:row r="19">
      <x:c r="A19" t="str">
        <x:v>Belgium</x:v>
      </x:c>
      <x:c r="B19" t="str">
        <x:v>2026-06</x:v>
      </x:c>
      <x:c r="C19" s="34" t="n">
        <x:v>104341.09</x:v>
      </x:c>
      <x:c r="D19" s="34" t="n">
        <x:v>0</x:v>
      </x:c>
      <x:c r="E19" s="36" t="n">
        <x:v>0</x:v>
      </x:c>
      <x:c r="F19" t="str">
        <x:v>'Evolution flux'!C9;C21;C33</x:v>
      </x:c>
      <x:c r="G19" t="str">
        <x:v>Synthese Soldes Créditeurs Q2 2026.xlsx</x:v>
      </x:c>
    </x:row>
    <x:row r="20">
      <x:c r="A20" t="str">
        <x:v>Italy</x:v>
      </x:c>
      <x:c r="B20" t="str">
        <x:v>2026-01</x:v>
      </x:c>
      <x:c r="C20" s="34" t="n">
        <x:v>946898.07</x:v>
      </x:c>
      <x:c r="D20" s="34" t="n">
        <x:v>932106.09</x:v>
      </x:c>
      <x:c r="E20" s="36" t="n">
        <x:v>0.984378488</x:v>
      </x:c>
      <x:c r="F20" t="str">
        <x:v>'Evolution flux'!H10;H22;H34</x:v>
      </x:c>
      <x:c r="G20" t="str">
        <x:v>Synthese Soldes Créditeurs Q2 2026.xlsx</x:v>
      </x:c>
    </x:row>
    <x:row r="21">
      <x:c r="A21" t="str">
        <x:v>Italy</x:v>
      </x:c>
      <x:c r="B21" t="str">
        <x:v>2026-02</x:v>
      </x:c>
      <x:c r="C21" s="34" t="n">
        <x:v>951551.94</x:v>
      </x:c>
      <x:c r="D21" s="34" t="n">
        <x:v>934237.24</x:v>
      </x:c>
      <x:c r="E21" s="36" t="n">
        <x:v>0.981803726</x:v>
      </x:c>
      <x:c r="F21" t="str">
        <x:v>'Evolution flux'!G10;G22;G34</x:v>
      </x:c>
      <x:c r="G21" t="str">
        <x:v>Synthese Soldes Créditeurs Q2 2026.xlsx</x:v>
      </x:c>
    </x:row>
    <x:row r="22">
      <x:c r="A22" t="str">
        <x:v>Italy</x:v>
      </x:c>
      <x:c r="B22" t="str">
        <x:v>2026-03</x:v>
      </x:c>
      <x:c r="C22" s="34" t="n">
        <x:v>1177760.63</x:v>
      </x:c>
      <x:c r="D22" s="34" t="n">
        <x:v>1157024.74</x:v>
      </x:c>
      <x:c r="E22" s="36" t="n">
        <x:v>0.982393799</x:v>
      </x:c>
      <x:c r="F22" t="str">
        <x:v>'Evolution flux'!F10;F22;F34</x:v>
      </x:c>
      <x:c r="G22" t="str">
        <x:v>Synthese Soldes Créditeurs Q2 2026.xlsx</x:v>
      </x:c>
    </x:row>
    <x:row r="23">
      <x:c r="A23" t="str">
        <x:v>Italy</x:v>
      </x:c>
      <x:c r="B23" t="str">
        <x:v>2026-04</x:v>
      </x:c>
      <x:c r="C23" s="34" t="n">
        <x:v>1199203.76</x:v>
      </x:c>
      <x:c r="D23" s="34" t="n">
        <x:v>1160766.91</x:v>
      </x:c>
      <x:c r="E23" s="36" t="n">
        <x:v>0.967948024</x:v>
      </x:c>
      <x:c r="F23" t="str">
        <x:v>'Evolution flux'!E10;E22;E34</x:v>
      </x:c>
      <x:c r="G23" t="str">
        <x:v>Synthese Soldes Créditeurs Q2 2026.xlsx</x:v>
      </x:c>
    </x:row>
    <x:row r="24">
      <x:c r="A24" t="str">
        <x:v>Italy</x:v>
      </x:c>
      <x:c r="B24" t="str">
        <x:v>2026-05</x:v>
      </x:c>
      <x:c r="C24" s="34" t="n">
        <x:v>1425617.1</x:v>
      </x:c>
      <x:c r="D24" s="34" t="n">
        <x:v>1327354.5</x:v>
      </x:c>
      <x:c r="E24" s="36" t="n">
        <x:v>0.931073638</x:v>
      </x:c>
      <x:c r="F24" t="str">
        <x:v>'Evolution flux'!D10;D22;D34</x:v>
      </x:c>
      <x:c r="G24" t="str">
        <x:v>Synthese Soldes Créditeurs Q2 2026.xlsx</x:v>
      </x:c>
    </x:row>
    <x:row r="25">
      <x:c r="A25" t="str">
        <x:v>Italy</x:v>
      </x:c>
      <x:c r="B25" t="str">
        <x:v>2026-06</x:v>
      </x:c>
      <x:c r="C25" s="34" t="n">
        <x:v>977488.48</x:v>
      </x:c>
      <x:c r="D25" s="34" t="n">
        <x:v>516771.89</x:v>
      </x:c>
      <x:c r="E25" s="36" t="n">
        <x:v>0.528673126</x:v>
      </x:c>
      <x:c r="F25" t="str">
        <x:v>'Evolution flux'!C10;C22;C34</x:v>
      </x:c>
      <x:c r="G25" t="str">
        <x:v>Synthese Soldes Créditeurs Q2 2026.xlsx</x:v>
      </x:c>
    </x:row>
    <x:row r="26">
      <x:c r="A26" t="str">
        <x:v>Portugal</x:v>
      </x:c>
      <x:c r="B26" t="str">
        <x:v>2026-01</x:v>
      </x:c>
      <x:c r="C26" s="34" t="n">
        <x:v>4070537.61</x:v>
      </x:c>
      <x:c r="D26" s="34" t="n">
        <x:v>4034529.69</x:v>
      </x:c>
      <x:c r="E26" s="36" t="n">
        <x:v>0.991154014</x:v>
      </x:c>
      <x:c r="F26" t="str">
        <x:v>'Evolution flux'!H11;H23;H35</x:v>
      </x:c>
      <x:c r="G26" t="str">
        <x:v>Synthese Soldes Créditeurs Q2 2026.xlsx</x:v>
      </x:c>
    </x:row>
    <x:row r="27">
      <x:c r="A27" t="str">
        <x:v>Portugal</x:v>
      </x:c>
      <x:c r="B27" t="str">
        <x:v>2026-02</x:v>
      </x:c>
      <x:c r="C27" s="34" t="n">
        <x:v>3652684.59</x:v>
      </x:c>
      <x:c r="D27" s="34" t="n">
        <x:v>3620218.88</x:v>
      </x:c>
      <x:c r="E27" s="36" t="n">
        <x:v>0.991111822</x:v>
      </x:c>
      <x:c r="F27" t="str">
        <x:v>'Evolution flux'!G11;G23;G35</x:v>
      </x:c>
      <x:c r="G27" t="str">
        <x:v>Synthese Soldes Créditeurs Q2 2026.xlsx</x:v>
      </x:c>
    </x:row>
    <x:row r="28">
      <x:c r="A28" t="str">
        <x:v>Portugal</x:v>
      </x:c>
      <x:c r="B28" t="str">
        <x:v>2026-03</x:v>
      </x:c>
      <x:c r="C28" s="34" t="n">
        <x:v>2538191.24</x:v>
      </x:c>
      <x:c r="D28" s="34" t="n">
        <x:v>2495861.2</x:v>
      </x:c>
      <x:c r="E28" s="36" t="n">
        <x:v>0.983322754</x:v>
      </x:c>
      <x:c r="F28" t="str">
        <x:v>'Evolution flux'!F11;F23;F35</x:v>
      </x:c>
      <x:c r="G28" t="str">
        <x:v>Synthese Soldes Créditeurs Q2 2026.xlsx</x:v>
      </x:c>
    </x:row>
    <x:row r="29">
      <x:c r="A29" t="str">
        <x:v>Portugal</x:v>
      </x:c>
      <x:c r="B29" t="str">
        <x:v>2026-04</x:v>
      </x:c>
      <x:c r="C29" s="34" t="n">
        <x:v>1651173.83</x:v>
      </x:c>
      <x:c r="D29" s="34" t="n">
        <x:v>1576930.82</x:v>
      </x:c>
      <x:c r="E29" s="36" t="n">
        <x:v>0.955036224</x:v>
      </x:c>
      <x:c r="F29" t="str">
        <x:v>'Evolution flux'!E11;E23;E35</x:v>
      </x:c>
      <x:c r="G29" t="str">
        <x:v>Synthese Soldes Créditeurs Q2 2026.xlsx</x:v>
      </x:c>
    </x:row>
    <x:row r="30">
      <x:c r="A30" t="str">
        <x:v>Portugal</x:v>
      </x:c>
      <x:c r="B30" t="str">
        <x:v>2026-05</x:v>
      </x:c>
      <x:c r="C30" s="34" t="n">
        <x:v>1240718.41</x:v>
      </x:c>
      <x:c r="D30" s="34" t="n">
        <x:v>1166565.18</x:v>
      </x:c>
      <x:c r="E30" s="36" t="n">
        <x:v>0.940233634</x:v>
      </x:c>
      <x:c r="F30" t="str">
        <x:v>'Evolution flux'!D11;D23;D35</x:v>
      </x:c>
      <x:c r="G30" t="str">
        <x:v>Synthese Soldes Créditeurs Q2 2026.xlsx</x:v>
      </x:c>
    </x:row>
    <x:row r="31">
      <x:c r="A31" t="str">
        <x:v>Portugal</x:v>
      </x:c>
      <x:c r="B31" t="str">
        <x:v>2026-06</x:v>
      </x:c>
      <x:c r="C31" s="34" t="n">
        <x:v>1121255.28</x:v>
      </x:c>
      <x:c r="D31" s="34" t="n">
        <x:v>903050.9</x:v>
      </x:c>
      <x:c r="E31" s="36" t="n">
        <x:v>0.805392774</x:v>
      </x:c>
      <x:c r="F31" t="str">
        <x:v>'Evolution flux'!C11;C23;C35</x:v>
      </x:c>
      <x:c r="G31" t="str">
        <x:v>Synthese Soldes Créditeurs Q2 2026.xlsx</x:v>
      </x:c>
    </x:row>
    <x:row r="32">
      <x:c r="A32" t="str">
        <x:v>France</x:v>
      </x:c>
      <x:c r="B32" t="str">
        <x:v>2026-01</x:v>
      </x:c>
      <x:c r="C32" s="34" t="n">
        <x:v>1413554.03</x:v>
      </x:c>
      <x:c r="D32" s="34" t="n">
        <x:v>1382080.91</x:v>
      </x:c>
      <x:c r="E32" s="36" t="n">
        <x:v>0.97773476</x:v>
      </x:c>
      <x:c r="F32" t="str">
        <x:v>'Evolution flux'!H12;H24;H36</x:v>
      </x:c>
      <x:c r="G32" t="str">
        <x:v>Synthese Soldes Créditeurs Q2 2026.xlsx</x:v>
      </x:c>
    </x:row>
    <x:row r="33">
      <x:c r="A33" t="str">
        <x:v>France</x:v>
      </x:c>
      <x:c r="B33" t="str">
        <x:v>2026-02</x:v>
      </x:c>
      <x:c r="C33" s="34" t="n">
        <x:v>1770440.23</x:v>
      </x:c>
      <x:c r="D33" s="34" t="n">
        <x:v>1729340.33</x:v>
      </x:c>
      <x:c r="E33" s="36" t="n">
        <x:v>0.976785491</x:v>
      </x:c>
      <x:c r="F33" t="str">
        <x:v>'Evolution flux'!G12;G24;G36</x:v>
      </x:c>
      <x:c r="G33" t="str">
        <x:v>Synthese Soldes Créditeurs Q2 2026.xlsx</x:v>
      </x:c>
    </x:row>
    <x:row r="34">
      <x:c r="A34" t="str">
        <x:v>France</x:v>
      </x:c>
      <x:c r="B34" t="str">
        <x:v>2026-03</x:v>
      </x:c>
      <x:c r="C34" s="34" t="n">
        <x:v>2064608.86</x:v>
      </x:c>
      <x:c r="D34" s="34" t="n">
        <x:v>1852618.71</x:v>
      </x:c>
      <x:c r="E34" s="36" t="n">
        <x:v>0.897321883</x:v>
      </x:c>
      <x:c r="F34" t="str">
        <x:v>'Evolution flux'!F12;F24;F36</x:v>
      </x:c>
      <x:c r="G34" t="str">
        <x:v>Synthese Soldes Créditeurs Q2 2026.xlsx</x:v>
      </x:c>
    </x:row>
    <x:row r="35">
      <x:c r="A35" t="str">
        <x:v>France</x:v>
      </x:c>
      <x:c r="B35" t="str">
        <x:v>2026-04</x:v>
      </x:c>
      <x:c r="C35" s="34" t="n">
        <x:v>1903277.35</x:v>
      </x:c>
      <x:c r="D35" s="34" t="n">
        <x:v>1533214.17</x:v>
      </x:c>
      <x:c r="E35" s="36" t="n">
        <x:v>0.80556529</x:v>
      </x:c>
      <x:c r="F35" t="str">
        <x:v>'Evolution flux'!E12;E24;E36</x:v>
      </x:c>
      <x:c r="G35" t="str">
        <x:v>Synthese Soldes Créditeurs Q2 2026.xlsx</x:v>
      </x:c>
    </x:row>
    <x:row r="36">
      <x:c r="A36" t="str">
        <x:v>France</x:v>
      </x:c>
      <x:c r="B36" t="str">
        <x:v>2026-05</x:v>
      </x:c>
      <x:c r="C36" s="34" t="n">
        <x:v>1439561.33</x:v>
      </x:c>
      <x:c r="D36" s="34" t="n">
        <x:v>716410.83</x:v>
      </x:c>
      <x:c r="E36" s="36" t="n">
        <x:v>0.497659124</x:v>
      </x:c>
      <x:c r="F36" t="str">
        <x:v>'Evolution flux'!D12;D24;D36</x:v>
      </x:c>
      <x:c r="G36" t="str">
        <x:v>Synthese Soldes Créditeurs Q2 2026.xlsx</x:v>
      </x:c>
    </x:row>
    <x:row r="37">
      <x:c r="A37" t="str">
        <x:v>France</x:v>
      </x:c>
      <x:c r="B37" t="str">
        <x:v>2026-06</x:v>
      </x:c>
      <x:c r="C37" s="34" t="n">
        <x:v>1584909.76</x:v>
      </x:c>
      <x:c r="D37" s="34" t="n">
        <x:v>30181.39</x:v>
      </x:c>
      <x:c r="E37" s="36" t="n">
        <x:v>0.019042971</x:v>
      </x:c>
      <x:c r="F37" t="str">
        <x:v>'Evolution flux'!C12;C24;C36</x:v>
      </x:c>
      <x:c r="G37" t="str">
        <x:v>Synthese Soldes Créditeurs Q2 2026.xlsx</x:v>
      </x:c>
    </x:row>
    <x:row r="38">
      <x:c r="A38" t="str">
        <x:v>UK</x:v>
      </x:c>
      <x:c r="B38" t="str">
        <x:v>2026-01</x:v>
      </x:c>
      <x:c r="C38" s="34" t="n">
        <x:v>140099.353635</x:v>
      </x:c>
      <x:c r="D38" s="34" t="n">
        <x:v>94315.125146</x:v>
      </x:c>
      <x:c r="E38" s="36" t="n">
        <x:v>0.673201715</x:v>
      </x:c>
      <x:c r="F38" t="str">
        <x:v>'Evolution flux'!H13;H25;H37</x:v>
      </x:c>
      <x:c r="G38" t="str">
        <x:v>Synthese Soldes Créditeurs Q2 2026.xlsx</x:v>
      </x:c>
    </x:row>
    <x:row r="39">
      <x:c r="A39" t="str">
        <x:v>UK</x:v>
      </x:c>
      <x:c r="B39" t="str">
        <x:v>2026-02</x:v>
      </x:c>
      <x:c r="C39" s="34" t="n">
        <x:v>189849.960086</x:v>
      </x:c>
      <x:c r="D39" s="34" t="n">
        <x:v>136900.957862</x:v>
      </x:c>
      <x:c r="E39" s="36" t="n">
        <x:v>0.721100799</x:v>
      </x:c>
      <x:c r="F39" t="str">
        <x:v>'Evolution flux'!G13;G25;G37</x:v>
      </x:c>
      <x:c r="G39" t="str">
        <x:v>Synthese Soldes Créditeurs Q2 2026.xlsx</x:v>
      </x:c>
    </x:row>
    <x:row r="40">
      <x:c r="A40" t="str">
        <x:v>UK</x:v>
      </x:c>
      <x:c r="B40" t="str">
        <x:v>2026-03</x:v>
      </x:c>
      <x:c r="C40" s="34" t="n">
        <x:v>373803.600056</x:v>
      </x:c>
      <x:c r="D40" s="34" t="n">
        <x:v>249939.596245</x:v>
      </x:c>
      <x:c r="E40" s="36" t="n">
        <x:v>0.668638815</x:v>
      </x:c>
      <x:c r="F40" t="str">
        <x:v>'Evolution flux'!F13;F25;F37</x:v>
      </x:c>
      <x:c r="G40" t="str">
        <x:v>Synthese Soldes Créditeurs Q2 2026.xlsx</x:v>
      </x:c>
    </x:row>
    <x:row r="41">
      <x:c r="A41" t="str">
        <x:v>UK</x:v>
      </x:c>
      <x:c r="B41" t="str">
        <x:v>2026-04</x:v>
      </x:c>
      <x:c r="C41" s="34" t="n">
        <x:v>102343.465392</x:v>
      </x:c>
      <x:c r="D41" s="34" t="n">
        <x:v>67212.745528</x:v>
      </x:c>
      <x:c r="E41" s="36" t="n">
        <x:v>0.65673705</x:v>
      </x:c>
      <x:c r="F41" t="str">
        <x:v>'Evolution flux'!E13;E25;E37</x:v>
      </x:c>
      <x:c r="G41" t="str">
        <x:v>Synthese Soldes Créditeurs Q2 2026.xlsx</x:v>
      </x:c>
    </x:row>
    <x:row r="42">
      <x:c r="A42" t="str">
        <x:v>UK</x:v>
      </x:c>
      <x:c r="B42" t="str">
        <x:v>2026-05</x:v>
      </x:c>
      <x:c r="C42" s="34" t="n">
        <x:v>62503.975886</x:v>
      </x:c>
      <x:c r="D42" s="34" t="n">
        <x:v>27335.572403</x:v>
      </x:c>
      <x:c r="E42" s="36" t="n">
        <x:v>0.437341337</x:v>
      </x:c>
      <x:c r="F42" t="str">
        <x:v>'Evolution flux'!D13;D25;D37</x:v>
      </x:c>
      <x:c r="G42" t="str">
        <x:v>Synthese Soldes Créditeurs Q2 2026.xlsx</x:v>
      </x:c>
    </x:row>
    <x:row r="43">
      <x:c r="A43" t="str">
        <x:v>UK</x:v>
      </x:c>
      <x:c r="B43" t="str">
        <x:v>2026-06</x:v>
      </x:c>
      <x:c r="C43" s="34" t="n">
        <x:v>64851.374092</x:v>
      </x:c>
      <x:c r="D43" s="34" t="n">
        <x:v>8871.608434</x:v>
      </x:c>
      <x:c r="E43" s="36" t="n">
        <x:v>0.136799082</x:v>
      </x:c>
      <x:c r="F43" t="str">
        <x:v>'Evolution flux'!C13;C25;C37</x:v>
      </x:c>
      <x:c r="G43" t="str">
        <x:v>Synthese Soldes Créditeurs Q2 2026.xlsx</x:v>
      </x:c>
    </x:row>
    <x:row r="44">
      <x:c r="A44" t="str">
        <x:v>South Africa</x:v>
      </x:c>
      <x:c r="B44" t="str">
        <x:v>2026-01</x:v>
      </x:c>
      <x:c r="C44" s="34" t="n">
        <x:v>160859.289589</x:v>
      </x:c>
      <x:c r="D44" s="34" t="n">
        <x:v>104452.861438</x:v>
      </x:c>
      <x:c r="E44" s="36" t="n">
        <x:v>0.649343048</x:v>
      </x:c>
      <x:c r="F44" t="str">
        <x:v>'Evolution flux'!H14;H26;H38</x:v>
      </x:c>
      <x:c r="G44" t="str">
        <x:v>Synthese Soldes Créditeurs Q2 2026.xlsx</x:v>
      </x:c>
    </x:row>
    <x:row r="45">
      <x:c r="A45" t="str">
        <x:v>South Africa</x:v>
      </x:c>
      <x:c r="B45" t="str">
        <x:v>2026-02</x:v>
      </x:c>
      <x:c r="C45" s="34" t="n">
        <x:v>171151.715229</x:v>
      </x:c>
      <x:c r="D45" s="34" t="n">
        <x:v>112037.232041</x:v>
      </x:c>
      <x:c r="E45" s="36" t="n">
        <x:v>0.654607708</x:v>
      </x:c>
      <x:c r="F45" t="str">
        <x:v>'Evolution flux'!G14;G26;G38</x:v>
      </x:c>
      <x:c r="G45" t="str">
        <x:v>Synthese Soldes Créditeurs Q2 2026.xlsx</x:v>
      </x:c>
    </x:row>
    <x:row r="46">
      <x:c r="A46" t="str">
        <x:v>South Africa</x:v>
      </x:c>
      <x:c r="B46" t="str">
        <x:v>2026-03</x:v>
      </x:c>
      <x:c r="C46" s="34" t="n">
        <x:v>211900.114458</x:v>
      </x:c>
      <x:c r="D46" s="34" t="n">
        <x:v>121078.462648</x:v>
      </x:c>
      <x:c r="E46" s="36" t="n">
        <x:v>0.571394041</x:v>
      </x:c>
      <x:c r="F46" t="str">
        <x:v>'Evolution flux'!F14;F26;F38</x:v>
      </x:c>
      <x:c r="G46" t="str">
        <x:v>Synthese Soldes Créditeurs Q2 2026.xlsx</x:v>
      </x:c>
    </x:row>
    <x:row r="47">
      <x:c r="A47" t="str">
        <x:v>South Africa</x:v>
      </x:c>
      <x:c r="B47" t="str">
        <x:v>2026-04</x:v>
      </x:c>
      <x:c r="C47" s="34" t="n">
        <x:v>200004.47646</x:v>
      </x:c>
      <x:c r="D47" s="34" t="n">
        <x:v>105065.128971</x:v>
      </x:c>
      <x:c r="E47" s="36" t="n">
        <x:v>0.525313887</x:v>
      </x:c>
      <x:c r="F47" t="str">
        <x:v>'Evolution flux'!E14;E26;E38</x:v>
      </x:c>
      <x:c r="G47" t="str">
        <x:v>Synthese Soldes Créditeurs Q2 2026.xlsx</x:v>
      </x:c>
    </x:row>
    <x:row r="48">
      <x:c r="A48" t="str">
        <x:v>South Africa</x:v>
      </x:c>
      <x:c r="B48" t="str">
        <x:v>2026-05</x:v>
      </x:c>
      <x:c r="C48" s="34" t="n">
        <x:v>206318.82635</x:v>
      </x:c>
      <x:c r="D48" s="34" t="n">
        <x:v>88276.847747</x:v>
      </x:c>
      <x:c r="E48" s="36" t="n">
        <x:v>0.427866178</x:v>
      </x:c>
      <x:c r="F48" t="str">
        <x:v>'Evolution flux'!D14;D26;D38</x:v>
      </x:c>
      <x:c r="G48" t="str">
        <x:v>Synthese Soldes Créditeurs Q2 2026.xlsx</x:v>
      </x:c>
    </x:row>
    <x:row r="49">
      <x:c r="A49" t="str">
        <x:v>South Africa</x:v>
      </x:c>
      <x:c r="B49" t="str">
        <x:v>2026-06</x:v>
      </x:c>
      <x:c r="C49" s="34" t="n">
        <x:v>225610.213342</x:v>
      </x:c>
      <x:c r="D49" s="34" t="n">
        <x:v>1190.958941</x:v>
      </x:c>
      <x:c r="E49" s="36" t="n">
        <x:v>0.005278834</x:v>
      </x:c>
      <x:c r="F49" t="str">
        <x:v>'Evolution flux'!C14;C26;C38</x:v>
      </x:c>
      <x:c r="G49" t="str">
        <x:v>Synthese Soldes Créditeurs Q2 2026.xlsx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2" t="str">
        <x:v>Reporting group</x:v>
      </x:c>
      <x:c r="B1" s="42" t="str">
        <x:v>Q1 amount</x:v>
      </x:c>
      <x:c r="C1" s="42" t="str">
        <x:v>Q2 amount</x:v>
      </x:c>
      <x:c r="D1" s="42" t="str">
        <x:v>Q1 number</x:v>
      </x:c>
      <x:c r="E1" s="42" t="str">
        <x:v>Q2 number</x:v>
      </x:c>
      <x:c r="F1" s="42" t="str">
        <x:v>Provenance</x:v>
      </x:c>
    </x:row>
    <x:row r="2">
      <x:c r="A2" t="str">
        <x:v>Spain</x:v>
      </x:c>
      <x:c r="B2" s="36" t="n">
        <x:v>0.980209143</x:v>
      </x:c>
      <x:c r="C2" s="36" t="n">
        <x:v>0.9931644289</x:v>
      </x:c>
      <x:c r="D2" s="36" t="n">
        <x:v>0.9367893882</x:v>
      </x:c>
      <x:c r="E2" s="36" t="n">
        <x:v>0.9894054396</x:v>
      </x:c>
      <x:c r="F2" t="str">
        <x:v>EFF_QUARTERS original Q2 synthesis</x:v>
      </x:c>
    </x:row>
    <x:row r="3">
      <x:c r="A3" t="str">
        <x:v>Germany + Austria</x:v>
      </x:c>
      <x:c r="B3" s="36" t="n">
        <x:v>0.8381372226</x:v>
      </x:c>
      <x:c r="C3" s="36" t="n">
        <x:v>0.7104570132</x:v>
      </x:c>
      <x:c r="D3" s="36" t="n">
        <x:v>0.6662200636</x:v>
      </x:c>
      <x:c r="E3" s="36" t="n">
        <x:v>0.5989641973</x:v>
      </x:c>
      <x:c r="F3" t="str">
        <x:v>EFF_QUARTERS original Q2 synthesis</x:v>
      </x:c>
    </x:row>
    <x:row r="4">
      <x:c r="A4" t="str">
        <x:v>Belgium</x:v>
      </x:c>
      <x:c r="B4" s="36" t="n">
        <x:v>0.9854512629</x:v>
      </x:c>
      <x:c r="C4" s="36" t="n">
        <x:v>1</x:v>
      </x:c>
      <x:c r="D4" s="36" t="n">
        <x:v>0.9529860229</x:v>
      </x:c>
      <x:c r="E4" s="36" t="n">
        <x:v>1</x:v>
      </x:c>
      <x:c r="F4" t="str">
        <x:v>EFF_QUARTERS original Q2 synthesis</x:v>
      </x:c>
    </x:row>
    <x:row r="5">
      <x:c r="A5" t="str">
        <x:v>Italy</x:v>
      </x:c>
      <x:c r="B5" s="36" t="n">
        <x:v>0.9882626719</x:v>
      </x:c>
      <x:c r="C5" s="36" t="n">
        <x:v>0.9843784875</x:v>
      </x:c>
      <x:c r="D5" s="36" t="n">
        <x:v>0.876199262</x:v>
      </x:c>
      <x:c r="E5" s="36" t="n">
        <x:v>0.9484958979</x:v>
      </x:c>
      <x:c r="F5" t="str">
        <x:v>EFF_QUARTERS original Q2 synthesis</x:v>
      </x:c>
    </x:row>
    <x:row r="6">
      <x:c r="A6" t="str">
        <x:v>Portugal</x:v>
      </x:c>
      <x:c r="B6" s="36" t="n">
        <x:v>0.996689267</x:v>
      </x:c>
      <x:c r="C6" s="36" t="n">
        <x:v>0.9911540137</x:v>
      </x:c>
      <x:c r="D6" s="36" t="n">
        <x:v>0.928469412</x:v>
      </x:c>
      <x:c r="E6" s="36" t="n">
        <x:v>0.607877719</x:v>
      </x:c>
      <x:c r="F6" t="str">
        <x:v>EFF_QUARTERS original Q2 synthesis</x:v>
      </x:c>
    </x:row>
    <x:row r="7">
      <x:c r="A7" t="str">
        <x:v>France</x:v>
      </x:c>
      <x:c r="B7" s="36" t="n">
        <x:v>0.9984478951</x:v>
      </x:c>
      <x:c r="C7" s="36" t="n">
        <x:v>0.9777347598</x:v>
      </x:c>
      <x:c r="D7" s="36" t="n">
        <x:v>1</x:v>
      </x:c>
      <x:c r="E7" s="36" t="n">
        <x:v>0.9403706688</x:v>
      </x:c>
      <x:c r="F7" t="str">
        <x:v>EFF_QUARTERS original Q2 synthesis</x:v>
      </x:c>
    </x:row>
    <x:row r="8">
      <x:c r="A8" t="str">
        <x:v>UK</x:v>
      </x:c>
      <x:c r="B8" s="36" t="n">
        <x:v>1</x:v>
      </x:c>
      <x:c r="C8" s="36" t="n">
        <x:v>0.6732017151</x:v>
      </x:c>
      <x:c r="D8" s="36" t="n">
        <x:v>1</x:v>
      </x:c>
      <x:c r="E8" s="36" t="n">
        <x:v>0.3012975256</x:v>
      </x:c>
      <x:c r="F8" t="str">
        <x:v>EFF_QUARTERS original Q2 synthesis</x:v>
      </x:c>
    </x:row>
    <x:row r="9">
      <x:c r="A9" t="str">
        <x:v>South Africa</x:v>
      </x:c>
      <x:c r="B9" s="36" t="n">
        <x:v>0.6645309376</x:v>
      </x:c>
      <x:c r="C9" s="36" t="n">
        <x:v>0.6493430482</x:v>
      </x:c>
      <x:c r="D9" s="36" t="n">
        <x:v>0.8342387704</x:v>
      </x:c>
      <x:c r="E9" s="36" t="n">
        <x:v>0.8549981234</x:v>
      </x:c>
      <x:c r="F9" t="str">
        <x:v>EFF_QUARTERS original Q2 synthesis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2" t="str">
        <x:v>Quarter</x:v>
      </x:c>
      <x:c r="B1" s="42" t="str">
        <x:v>Currency</x:v>
      </x:c>
      <x:c r="C1" s="42" t="str">
        <x:v>Closing LCY / EUR</x:v>
      </x:c>
      <x:c r="D1" s="42" t="str">
        <x:v>Average LCY / EUR</x:v>
      </x:c>
      <x:c r="E1" s="42" t="str">
        <x:v>Quarter-specific rate file</x:v>
      </x:c>
      <x:c r="F1" s="42" t="str">
        <x:v>Source cell</x:v>
      </x:c>
    </x:row>
    <x:row r="2">
      <x:c r="A2" t="str">
        <x:v>2026Q2</x:v>
      </x:c>
      <x:c r="B2" t="str">
        <x:v>EUR</x:v>
      </x:c>
      <x:c r="C2" s="38" t="n">
        <x:v>1</x:v>
      </x:c>
      <x:c r="D2" s="38" t="n">
        <x:v>1</x:v>
      </x:c>
      <x:c r="E2" t="str">
        <x:v>Taux(1).xlsx</x:v>
      </x:c>
      <x:c r="F2" t="str">
        <x:v>'Table des taux M'!E53</x:v>
      </x:c>
    </x:row>
    <x:row r="3">
      <x:c r="A3" t="str">
        <x:v>2026Q2</x:v>
      </x:c>
      <x:c r="B3" t="str">
        <x:v>GBP</x:v>
      </x:c>
      <x:c r="C3" s="38" t="n">
        <x:v>0.861647587</x:v>
      </x:c>
      <x:c r="D3" s="38" t="n">
        <x:v>0.867287172</x:v>
      </x:c>
      <x:c r="E3" t="str">
        <x:v>Taux(1).xlsx</x:v>
      </x:c>
      <x:c r="F3" t="str">
        <x:v>'Table des taux M'!E59</x:v>
      </x:c>
    </x:row>
    <x:row r="4">
      <x:c r="A4" t="str">
        <x:v>2026Q2</x:v>
      </x:c>
      <x:c r="B4" t="str">
        <x:v>ZAR</x:v>
      </x:c>
      <x:c r="C4" s="38" t="n">
        <x:v>18.72282849</x:v>
      </x:c>
      <x:c r="D4" s="38" t="n">
        <x:v>19.147433644</x:v>
      </x:c>
      <x:c r="E4" t="str">
        <x:v>Taux(1).xlsx</x:v>
      </x:c>
      <x:c r="F4" t="str">
        <x:v>'Table des taux M'!E182</x:v>
      </x:c>
    </x:row>
    <x:row r="5">
      <x:c r="A5" t="str">
        <x:v>2026Q2</x:v>
      </x:c>
      <x:c r="B5" t="str">
        <x:v>DKK</x:v>
      </x:c>
      <x:c r="C5" s="38" t="n">
        <x:v>7.47467107</x:v>
      </x:c>
      <x:c r="D5" s="38" t="n">
        <x:v>7.472045211</x:v>
      </x:c>
      <x:c r="E5" t="str">
        <x:v>Taux(1).xlsx</x:v>
      </x:c>
      <x:c r="F5" t="str">
        <x:v>'Table des taux M'!E45</x:v>
      </x:c>
    </x:row>
    <x:row r="6">
      <x:c r="A6" t="str">
        <x:v>2026Q2</x:v>
      </x:c>
      <x:c r="B6" t="str">
        <x:v>NOK</x:v>
      </x:c>
      <x:c r="C6" s="38" t="n">
        <x:v>11.311264655</x:v>
      </x:c>
      <x:c r="D6" s="38" t="n">
        <x:v>11.177215147</x:v>
      </x:c>
      <x:c r="E6" t="str">
        <x:v>Taux(1).xlsx</x:v>
      </x:c>
      <x:c r="F6" t="str">
        <x:v>'Table des taux M'!E122</x:v>
      </x:c>
    </x:row>
    <x:row r="7">
      <x:c r="A7" t="str">
        <x:v>2026Q2</x:v>
      </x:c>
      <x:c r="B7" t="str">
        <x:v>SEK</x:v>
      </x:c>
      <x:c r="C7" s="38" t="n">
        <x:v>11.078026565</x:v>
      </x:c>
      <x:c r="D7" s="38" t="n">
        <x:v>10.793852723</x:v>
      </x:c>
      <x:c r="E7" t="str">
        <x:v>Taux(1).xlsx</x:v>
      </x:c>
      <x:c r="F7" t="str">
        <x:v>'Table des taux M'!E144</x:v>
      </x:c>
    </x:row>
    <x:row r="8">
      <x:c r="A8" t="str">
        <x:v>2026Q2</x:v>
      </x:c>
      <x:c r="B8" t="str">
        <x:v>BRL</x:v>
      </x:c>
      <x:c r="C8" s="38" t="n">
        <x:v>5.90311809</x:v>
      </x:c>
      <x:c r="D8" s="38" t="n">
        <x:v>6.011487281</x:v>
      </x:c>
      <x:c r="E8" t="str">
        <x:v>Taux(1).xlsx</x:v>
      </x:c>
      <x:c r="F8" t="str">
        <x:v>'Table des taux M'!E26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4" hidden="0" customWidth="1"/>
    <x:col min="3" max="3" width="64" hidden="0" customWidth="1"/>
    <x:col min="4" max="4" width="64" hidden="0" customWidth="1"/>
    <x:col min="5" max="5" width="30" hidden="0" customWidth="1"/>
    <x:col min="6" max="6" width="30" hidden="0" customWidth="1"/>
  </x:cols>
  <x:sheetData>
    <x:row r="1" ht="30" customHeight="1">
      <x:c r="A1" s="42" t="str">
        <x:v>Country</x:v>
      </x:c>
      <x:c r="B1" s="42" t="str">
        <x:v>Comment 1</x:v>
      </x:c>
      <x:c r="C1" s="42" t="str">
        <x:v>Comment 2</x:v>
      </x:c>
      <x:c r="D1" s="42" t="str">
        <x:v>Comment 3</x:v>
      </x:c>
      <x:c r="E1" s="42" t="str">
        <x:v>Basis</x:v>
      </x:c>
      <x:c r="F1" s="42" t="str">
        <x:v>Editing status</x:v>
      </x:c>
    </x:row>
    <x:row r="2">
      <x:c r="A2" t="str">
        <x:v>Spain</x:v>
      </x:c>
      <x:c r="B2" t="str">
        <x:v>Average monthly new flow: €3.4M; average balance approximately €470.</x:v>
      </x:c>
      <x:c r="C2" t="str">
        <x:v>Almost all balances treated in amount, but large volumes are false positives.</x:v>
      </x:c>
      <x:c r="D2" t="str">
        <x:v>Reported stock €1.8M, down 17% quarter on quarter; review false-positive detection.</x:v>
      </x:c>
      <x:c r="E2" t="str">
        <x:v>Original Q2 screenshots + historical store</x:v>
      </x:c>
      <x:c r="F2" t="str">
        <x:v>Review/edit before PPT</x:v>
      </x:c>
    </x:row>
    <x:row r="3">
      <x:c r="A3" t="str">
        <x:v>Germany</x:v>
      </x:c>
      <x:c r="B3" t="str">
        <x:v>Average monthly inflow approximately €0.8M for Germany; €260 mean balance.</x:v>
      </x:c>
      <x:c r="C3" t="str">
        <x:v>About 75% treated within 3–6 months in amount versus ~60% in number.</x:v>
      </x:c>
      <x:c r="D3" t="str">
        <x:v>Germany stock €3.47M. Open question: book-out of aged cases &gt;3 years.</x:v>
      </x:c>
      <x:c r="E3" t="str">
        <x:v>Original Q2 screenshots + historical store</x:v>
      </x:c>
      <x:c r="F3" t="str">
        <x:v>Review/edit before PPT</x:v>
      </x:c>
    </x:row>
    <x:row r="4">
      <x:c r="A4" t="str">
        <x:v>Austria</x:v>
      </x:c>
      <x:c r="B4" t="str">
        <x:v>Austria reported separately in this edition; Germany + Austria is the core presentation group.</x:v>
      </x:c>
      <x:c r="C4" t="str">
        <x:v>Stock €12K, with euro-denominated monthly cohorts and available KPI_3 breakdown.</x:v>
      </x:c>
      <x:c r="D4" t="str">
        <x:v>Germany and Austria must not be double-counted in consolidated tables.</x:v>
      </x:c>
      <x:c r="E4" t="str">
        <x:v>Original Q2 screenshots + historical store</x:v>
      </x:c>
      <x:c r="F4" t="str">
        <x:v>Review/edit before PPT</x:v>
      </x:c>
    </x:row>
    <x:row r="5">
      <x:c r="A5" t="str">
        <x:v>Belgium</x:v>
      </x:c>
      <x:c r="B5" t="str">
        <x:v>Average monthly new flow approximately €0.1M, mean amount €470.</x:v>
      </x:c>
      <x:c r="C5" t="str">
        <x:v>Nearly all positive balances processed within 3–6 months in amount and number.</x:v>
      </x:c>
      <x:c r="D5" t="str">
        <x:v>Stock €0.14M, down 42% vs the preceding quarter.</x:v>
      </x:c>
      <x:c r="E5" t="str">
        <x:v>Original Q2 screenshots + historical store</x:v>
      </x:c>
      <x:c r="F5" t="str">
        <x:v>Review/edit before PPT</x:v>
      </x:c>
    </x:row>
    <x:row r="6">
      <x:c r="A6" t="str">
        <x:v>Italy</x:v>
      </x:c>
      <x:c r="B6" t="str">
        <x:v>Refund process begins in month one; &lt;€1 is automatically refunded where IBAN is available.</x:v>
      </x:c>
      <x:c r="C6" t="str">
        <x:v>Refund to public authority after 10 months; six-month amount treatment ~98%.</x:v>
      </x:c>
      <x:c r="D6" t="str">
        <x:v>Correct original stock: €3.02M / 108,473 contracts. The example file had incorrect Italy figures.</x:v>
      </x:c>
      <x:c r="E6" t="str">
        <x:v>Original Q2 screenshots + historical store</x:v>
      </x:c>
      <x:c r="F6" t="str">
        <x:v>Review/edit before PPT</x:v>
      </x:c>
    </x:row>
    <x:row r="7">
      <x:c r="A7" t="str">
        <x:v>Portugal</x:v>
      </x:c>
      <x:c r="B7" t="str">
        <x:v>Reporting adjustment excludes card balances less than two months old.</x:v>
      </x:c>
      <x:c r="C7" t="str">
        <x:v>High false-positive volume. Approximately full treatment in amount after six months, but ~60% by count.</x:v>
      </x:c>
      <x:c r="D7" t="str">
        <x:v>Stock €0.59M (+9% versus Q1); false-positive detection requires attention.</x:v>
      </x:c>
      <x:c r="E7" t="str">
        <x:v>Original Q2 screenshots + historical store</x:v>
      </x:c>
      <x:c r="F7" t="str">
        <x:v>Review/edit before PPT</x:v>
      </x:c>
    </x:row>
    <x:row r="8">
      <x:c r="A8" t="str">
        <x:v>France</x:v>
      </x:c>
      <x:c r="B8" t="str">
        <x:v>Average monthly new flow approximately €1.6M; average balance ~€230.</x:v>
      </x:c>
      <x:c r="C8" t="str">
        <x:v>Close to 100% amount treatment after 3–6 months and ~95% by count.</x:v>
      </x:c>
      <x:c r="D8" t="str">
        <x:v>Stock €3.3M; historical pending balances eventually transferred to Caisse des dépôts.</x:v>
      </x:c>
      <x:c r="E8" t="str">
        <x:v>Original Q2 screenshots + historical store</x:v>
      </x:c>
      <x:c r="F8" t="str">
        <x:v>Review/edit before PPT</x:v>
      </x:c>
    </x:row>
    <x:row r="9">
      <x:c r="A9" t="str">
        <x:v>UK</x:v>
      </x:c>
      <x:c r="B9" t="str">
        <x:v>Loans included since January 2026.</x:v>
      </x:c>
      <x:c r="C9" t="str">
        <x:v>Approximately 70% of amount treated after six months; cleaning planned for October 2026.</x:v>
      </x:c>
      <x:c r="D9" t="str">
        <x:v>Q2 stock ~£2.4M in local reporting; the supplied KPI_3 band counts conflict with vintages.</x:v>
      </x:c>
      <x:c r="E9" t="str">
        <x:v>Original Q2 screenshots + historical store</x:v>
      </x:c>
      <x:c r="F9" t="str">
        <x:v>Review/edit before PPT</x:v>
      </x:c>
    </x:row>
    <x:row r="10">
      <x:c r="A10" t="str">
        <x:v>South Africa</x:v>
      </x:c>
      <x:c r="B10" t="str">
        <x:v>Average monthly new flow ~3.6M ZAR, ~190 ZAR per contract.</x:v>
      </x:c>
      <x:c r="C10" t="str">
        <x:v>65% treated after six months in amount; approximately 85% by count.</x:v>
      </x:c>
      <x:c r="D10" t="str">
        <x:v>Stock ~31.2M ZAR pending; Q2 amount-band classification requires correction.</x:v>
      </x:c>
      <x:c r="E10" t="str">
        <x:v>Original Q2 screenshots + historical store</x:v>
      </x:c>
      <x:c r="F10" t="str">
        <x:v>Review/edit before PPT</x:v>
      </x:c>
    </x:row>
    <x:row r="11">
      <x:c r="A11" t="str">
        <x:v>Romania</x:v>
      </x:c>
      <x:c r="B11" t="str">
        <x:v>Special-format source: comparable Q1 and Q2 stock figures only in this edition.</x:v>
      </x:c>
      <x:c r="C11" t="str">
        <x:v>KPI_2 rolling monthly flows and KPI_3 stock splits are not validated for the common layout.</x:v>
      </x:c>
      <x:c r="D11" t="str">
        <x:v>Quarter-on-quarter movement is based on the historical store, not reconstructed KPI pages.</x:v>
      </x:c>
      <x:c r="E11" t="str">
        <x:v>Original Q2 screenshots + historical store</x:v>
      </x:c>
      <x:c r="F11" t="str">
        <x:v>Review/edit before PPT</x:v>
      </x:c>
    </x:row>
    <x:row r="12">
      <x:c r="A12" t="str">
        <x:v>Brazil</x:v>
      </x:c>
      <x:c r="B12" t="str">
        <x:v>Specific Brazilian reporting rules; FGO transfer caused a substantial Q2 stock reduction.</x:v>
      </x:c>
      <x:c r="C12" t="str">
        <x:v>Q1 and Q2 consolidated stock are sourced from the original Q2 synthesis.</x:v>
      </x:c>
      <x:c r="D12" t="str">
        <x:v>Ordinary KPI_2/KPI_3 presentations are not invented for this country.</x:v>
      </x:c>
      <x:c r="E12" t="str">
        <x:v>Original Q2 screenshots + historical store</x:v>
      </x:c>
      <x:c r="F12" t="str">
        <x:v>Review/edit before PPT</x:v>
      </x:c>
    </x:row>
    <x:row r="13">
      <x:c r="A13" t="str">
        <x:v>Denmark</x:v>
      </x:c>
      <x:c r="B13" t="str">
        <x:v>Nordic KPI_2 and KPI_3 source imported individually from NORDICS.xlsx.</x:v>
      </x:c>
      <x:c r="C13" t="str">
        <x:v>Outstanding stock reported separately from waiting accounts for CSR disbursement.</x:v>
      </x:c>
      <x:c r="D13" t="str">
        <x:v>Waiting accounts must not be counted twice in stock or in reporting vintages.</x:v>
      </x:c>
      <x:c r="E13" t="str">
        <x:v>Original Q2 screenshots + historical store</x:v>
      </x:c>
      <x:c r="F13" t="str">
        <x:v>Review/edit before PPT</x:v>
      </x:c>
    </x:row>
    <x:row r="14">
      <x:c r="A14" t="str">
        <x:v>Norway</x:v>
      </x:c>
      <x:c r="B14" t="str">
        <x:v>Nordic KPI_2 and KPI_3 source imported individually from NORDICS.xlsx.</x:v>
      </x:c>
      <x:c r="C14" t="str">
        <x:v>Outstanding stock reported separately from waiting accounts for CSR disbursement.</x:v>
      </x:c>
      <x:c r="D14" t="str">
        <x:v>Waiting accounts must not be counted twice in stock or in reporting vintages.</x:v>
      </x:c>
      <x:c r="E14" t="str">
        <x:v>Original Q2 screenshots + historical store</x:v>
      </x:c>
      <x:c r="F14" t="str">
        <x:v>Review/edit before PPT</x:v>
      </x:c>
    </x:row>
    <x:row r="15">
      <x:c r="A15" t="str">
        <x:v>Sweden</x:v>
      </x:c>
      <x:c r="B15" t="str">
        <x:v>Nordic KPI_2 and KPI_3 source imported individually from NORDICS.xlsx.</x:v>
      </x:c>
      <x:c r="C15" t="str">
        <x:v>Outstanding stock reported separately from waiting accounts for CSR disbursement.</x:v>
      </x:c>
      <x:c r="D15" t="str">
        <x:v>Waiting accounts must not be counted twice in stock or in reporting vintages.</x:v>
      </x:c>
      <x:c r="E15" t="str">
        <x:v>Original Q2 screenshots + historical store</x:v>
      </x:c>
      <x:c r="F15" t="str">
        <x:v>Review/edit before PPT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66" hidden="0" customWidth="1"/>
  </x:cols>
  <x:sheetData>
    <x:row r="1" ht="39" customHeight="1">
      <x:c r="A1" s="208" t="str">
        <x:v>Country</x:v>
      </x:c>
      <x:c r="B1" s="208" t="str">
        <x:v>Currency</x:v>
      </x:c>
      <x:c r="C1" s="208" t="str">
        <x:v>KPI3 band contracts</x:v>
      </x:c>
      <x:c r="D1" s="208" t="str">
        <x:v>KPI3 vintage contracts</x:v>
      </x:c>
      <x:c r="E1" s="208" t="str">
        <x:v>Count difference</x:v>
      </x:c>
      <x:c r="F1" s="208" t="str">
        <x:v>Band amount LCY</x:v>
      </x:c>
      <x:c r="G1" s="208" t="str">
        <x:v>Vintage amount LCY</x:v>
      </x:c>
      <x:c r="H1" s="208" t="str">
        <x:v>Amount difference LCY</x:v>
      </x:c>
      <x:c r="I1" s="208" t="str">
        <x:v>Reporting stock EUR</x:v>
      </x:c>
      <x:c r="J1" s="208" t="str">
        <x:v>KPI3 amount EUR</x:v>
      </x:c>
      <x:c r="K1" s="208" t="str">
        <x:v>Stock-KPI3 difference EUR</x:v>
      </x:c>
      <x:c r="L1" s="208" t="str">
        <x:v>Validation outcome</x:v>
      </x:c>
    </x:row>
    <x:row r="2">
      <x:c r="A2" t="str">
        <x:v>Spain</x:v>
      </x:c>
      <x:c r="B2" t="str">
        <x:v>EUR</x:v>
      </x:c>
      <x:c r="C2" s="209" t="n">
        <x:v>7763</x:v>
      </x:c>
      <x:c r="D2" s="209" t="n">
        <x:v>7763</x:v>
      </x:c>
      <x:c r="E2" s="209" t="n">
        <x:v>0</x:v>
      </x:c>
      <x:c r="F2" s="209" t="n">
        <x:v>1787812</x:v>
      </x:c>
      <x:c r="G2" s="209" t="n">
        <x:v>1787812</x:v>
      </x:c>
      <x:c r="H2" s="209" t="n">
        <x:v>0</x:v>
      </x:c>
      <x:c r="I2" s="209" t="n">
        <x:v>1787811.8</x:v>
      </x:c>
      <x:c r="J2" s="209" t="n">
        <x:v>1787812</x:v>
      </x:c>
      <x:c r="K2" s="209" t="n">
        <x:v>-0.19999999995343387</x:v>
      </x:c>
      <x:c r="L2" s="210" t="str">
        <x:v>PASS — numerical consistency</x:v>
      </x:c>
    </x:row>
    <x:row r="3">
      <x:c r="A3" t="str">
        <x:v>Germany</x:v>
      </x:c>
      <x:c r="B3" t="str">
        <x:v>EUR</x:v>
      </x:c>
      <x:c r="C3" s="209" t="n">
        <x:v>23307</x:v>
      </x:c>
      <x:c r="D3" s="209" t="n">
        <x:v>23307</x:v>
      </x:c>
      <x:c r="E3" s="209" t="n">
        <x:v>0</x:v>
      </x:c>
      <x:c r="F3" s="209" t="n">
        <x:v>3473473</x:v>
      </x:c>
      <x:c r="G3" s="209" t="n">
        <x:v>3473473</x:v>
      </x:c>
      <x:c r="H3" s="209" t="n">
        <x:v>0</x:v>
      </x:c>
      <x:c r="I3" s="209" t="n">
        <x:v>3473473.18</x:v>
      </x:c>
      <x:c r="J3" s="209" t="n">
        <x:v>3473473</x:v>
      </x:c>
      <x:c r="K3" s="209" t="n">
        <x:v>0.18000000016763806</x:v>
      </x:c>
      <x:c r="L3" s="210" t="str">
        <x:v>PASS — numerical consistency</x:v>
      </x:c>
    </x:row>
    <x:row r="4">
      <x:c r="A4" t="str">
        <x:v>Austria</x:v>
      </x:c>
      <x:c r="B4" t="str">
        <x:v>EUR</x:v>
      </x:c>
      <x:c r="C4" s="209" t="n">
        <x:v>74</x:v>
      </x:c>
      <x:c r="D4" s="209" t="n">
        <x:v>74</x:v>
      </x:c>
      <x:c r="E4" s="209" t="n">
        <x:v>0</x:v>
      </x:c>
      <x:c r="F4" s="209" t="n">
        <x:v>11992.29</x:v>
      </x:c>
      <x:c r="G4" s="209" t="n">
        <x:v>11992.289999999999</x:v>
      </x:c>
      <x:c r="H4" s="209" t="n">
        <x:v>1.8189894035458565e-12</x:v>
      </x:c>
      <x:c r="I4" s="209" t="n">
        <x:v>11992.29</x:v>
      </x:c>
      <x:c r="J4" s="209" t="n">
        <x:v>11992.29</x:v>
      </x:c>
      <x:c r="K4" s="209" t="n">
        <x:v>0</x:v>
      </x:c>
      <x:c r="L4" s="210" t="str">
        <x:v>PASS — numerical consistency</x:v>
      </x:c>
    </x:row>
    <x:row r="5">
      <x:c r="A5" t="str">
        <x:v>Belgium</x:v>
      </x:c>
      <x:c r="B5" t="str">
        <x:v>EUR</x:v>
      </x:c>
      <x:c r="C5" s="209" t="n">
        <x:v>295</x:v>
      </x:c>
      <x:c r="D5" s="209" t="n">
        <x:v>295</x:v>
      </x:c>
      <x:c r="E5" s="209" t="n">
        <x:v>0</x:v>
      </x:c>
      <x:c r="F5" s="209" t="n">
        <x:v>136665</x:v>
      </x:c>
      <x:c r="G5" s="209" t="n">
        <x:v>136666</x:v>
      </x:c>
      <x:c r="H5" s="209" t="n">
        <x:v>-1</x:v>
      </x:c>
      <x:c r="I5" s="209" t="n">
        <x:v>136664.22</x:v>
      </x:c>
      <x:c r="J5" s="209" t="n">
        <x:v>136665</x:v>
      </x:c>
      <x:c r="K5" s="209" t="n">
        <x:v>-0.7799999999988358</x:v>
      </x:c>
      <x:c r="L5" s="210" t="str">
        <x:v>PASS — numerical consistency</x:v>
      </x:c>
    </x:row>
    <x:row r="6">
      <x:c r="A6" t="str">
        <x:v>Italy</x:v>
      </x:c>
      <x:c r="B6" t="str">
        <x:v>EUR</x:v>
      </x:c>
      <x:c r="C6" s="209" t="n">
        <x:v>108473</x:v>
      </x:c>
      <x:c r="D6" s="209" t="n">
        <x:v>108473</x:v>
      </x:c>
      <x:c r="E6" s="209" t="n">
        <x:v>0</x:v>
      </x:c>
      <x:c r="F6" s="209" t="n">
        <x:v>3023245</x:v>
      </x:c>
      <x:c r="G6" s="209" t="n">
        <x:v>3023245</x:v>
      </x:c>
      <x:c r="H6" s="209" t="n">
        <x:v>0</x:v>
      </x:c>
      <x:c r="I6" s="209" t="n">
        <x:v>3023244.63</x:v>
      </x:c>
      <x:c r="J6" s="209" t="n">
        <x:v>3023245</x:v>
      </x:c>
      <x:c r="K6" s="209" t="n">
        <x:v>-0.3700000001117587</x:v>
      </x:c>
      <x:c r="L6" s="210" t="str">
        <x:v>PASS — numerical consistency</x:v>
      </x:c>
    </x:row>
    <x:row r="7">
      <x:c r="A7" s="219" t="str">
        <x:v>Portugal</x:v>
      </x:c>
      <x:c r="B7" s="219" t="str">
        <x:v>EUR</x:v>
      </x:c>
      <x:c r="C7" s="220" t="n">
        <x:v>13641</x:v>
      </x:c>
      <x:c r="D7" s="220" t="n">
        <x:v>13641</x:v>
      </x:c>
      <x:c r="E7" s="220" t="n">
        <x:v>0</x:v>
      </x:c>
      <x:c r="F7" s="220" t="n">
        <x:v>593412</x:v>
      </x:c>
      <x:c r="G7" s="220" t="n">
        <x:v>593413</x:v>
      </x:c>
      <x:c r="H7" s="220" t="n">
        <x:v>-1</x:v>
      </x:c>
      <x:c r="I7" s="220" t="n">
        <x:v>593413</x:v>
      </x:c>
      <x:c r="J7" s="220" t="n">
        <x:v>593412</x:v>
      </x:c>
      <x:c r="K7" s="220" t="n">
        <x:v>1</x:v>
      </x:c>
      <x:c r="L7" s="221" t="str">
        <x:v>PASS — duplicate 2024 excluded; source rows differ by €1 rounding</x:v>
      </x:c>
    </x:row>
    <x:row r="8">
      <x:c r="A8" t="str">
        <x:v>France</x:v>
      </x:c>
      <x:c r="B8" t="str">
        <x:v>EUR</x:v>
      </x:c>
      <x:c r="C8" s="209" t="n">
        <x:v>14816</x:v>
      </x:c>
      <x:c r="D8" s="209" t="n">
        <x:v>14816</x:v>
      </x:c>
      <x:c r="E8" s="209" t="n">
        <x:v>0</x:v>
      </x:c>
      <x:c r="F8" s="209" t="n">
        <x:v>3317588</x:v>
      </x:c>
      <x:c r="G8" s="209" t="n">
        <x:v>3317586</x:v>
      </x:c>
      <x:c r="H8" s="209" t="n">
        <x:v>2</x:v>
      </x:c>
      <x:c r="I8" s="209" t="n">
        <x:v>3317586.72</x:v>
      </x:c>
      <x:c r="J8" s="209" t="n">
        <x:v>3317588</x:v>
      </x:c>
      <x:c r="K8" s="209" t="n">
        <x:v>-1.279999999795109</x:v>
      </x:c>
      <x:c r="L8" s="210" t="str">
        <x:v>PASS — numerical consistency</x:v>
      </x:c>
    </x:row>
    <x:row r="9">
      <x:c r="A9" s="211" t="str">
        <x:v>UK</x:v>
      </x:c>
      <x:c r="B9" s="211" t="str">
        <x:v>GBP</x:v>
      </x:c>
      <x:c r="C9" s="212" t="n">
        <x:v>1031246</x:v>
      </x:c>
      <x:c r="D9" s="212" t="n">
        <x:v>50963</x:v>
      </x:c>
      <x:c r="E9" s="212" t="n">
        <x:v>980283</x:v>
      </x:c>
      <x:c r="F9" s="212" t="n">
        <x:v>2444203</x:v>
      </x:c>
      <x:c r="G9" s="212" t="n">
        <x:v>2444203</x:v>
      </x:c>
      <x:c r="H9" s="212" t="n">
        <x:v>0</x:v>
      </x:c>
      <x:c r="I9" s="212" t="n">
        <x:v>2836661.6548</x:v>
      </x:c>
      <x:c r="J9" s="212" t="n">
        <x:v>2836662.0377943446</x:v>
      </x:c>
      <x:c r="K9" s="212" t="n">
        <x:v>-0.38299434445798397</x:v>
      </x:c>
      <x:c r="L9" s="211" t="str">
        <x:v>FLAG — contract-count mismatch</x:v>
      </x:c>
    </x:row>
    <x:row r="10">
      <x:c r="A10" s="211" t="str">
        <x:v>South Africa</x:v>
      </x:c>
      <x:c r="B10" s="211" t="str">
        <x:v>ZAR</x:v>
      </x:c>
      <x:c r="C10" s="212" t="n">
        <x:v>71052</x:v>
      </x:c>
      <x:c r="D10" s="212" t="n">
        <x:v>71052</x:v>
      </x:c>
      <x:c r="E10" s="212" t="n">
        <x:v>0</x:v>
      </x:c>
      <x:c r="F10" s="212" t="n">
        <x:v>31178863.209999945</x:v>
      </x:c>
      <x:c r="G10" s="212" t="n">
        <x:v>31178863.20999989</x:v>
      </x:c>
      <x:c r="H10" s="212" t="n">
        <x:v>5.587935447692871e-8</x:v>
      </x:c>
      <x:c r="I10" s="212" t="n">
        <x:v>1905080.9288</x:v>
      </x:c>
      <x:c r="J10" s="212" t="n">
        <x:v>1665285.949003528</x:v>
      </x:c>
      <x:c r="K10" s="212" t="n">
        <x:v>239794.979796472</x:v>
      </x:c>
      <x:c r="L10" s="211" t="str">
        <x:v>FLAG — implausible amount-band classification / stock perimeter</x:v>
      </x:c>
    </x:row>
    <x:row r="11">
      <x:c r="A11" t="str">
        <x:v>Romania</x:v>
      </x:c>
      <x:c r="B11" t="str">
        <x:v>EUR</x:v>
      </x:c>
      <x:c r="C11" s="209"/>
      <x:c r="D11" s="209"/>
      <x:c r="E11" s="209"/>
      <x:c r="F11" s="209"/>
      <x:c r="G11" s="209"/>
      <x:c r="H11" s="209"/>
      <x:c r="I11" s="209" t="n">
        <x:v>48887.5186</x:v>
      </x:c>
      <x:c r="J11" s="209"/>
      <x:c r="K11" s="209"/>
      <x:c r="L11" t="str">
        <x:v>STOCK ONLY — special format</x:v>
      </x:c>
    </x:row>
    <x:row r="12">
      <x:c r="A12" t="str">
        <x:v>Brazil</x:v>
      </x:c>
      <x:c r="B12" t="str">
        <x:v>EUR</x:v>
      </x:c>
      <x:c r="C12" s="209"/>
      <x:c r="D12" s="209"/>
      <x:c r="E12" s="209"/>
      <x:c r="F12" s="209"/>
      <x:c r="G12" s="209"/>
      <x:c r="H12" s="209"/>
      <x:c r="I12" s="209" t="n">
        <x:v>3784195.42</x:v>
      </x:c>
      <x:c r="J12" s="209"/>
      <x:c r="K12" s="209"/>
      <x:c r="L12" t="str">
        <x:v>STOCK ONLY — special format</x:v>
      </x:c>
    </x:row>
    <x:row r="13">
      <x:c r="A13" t="str">
        <x:v>Denmark</x:v>
      </x:c>
      <x:c r="B13" t="str">
        <x:v>DKK</x:v>
      </x:c>
      <x:c r="C13" s="209" t="n">
        <x:v>692</x:v>
      </x:c>
      <x:c r="D13" s="209" t="n">
        <x:v>692</x:v>
      </x:c>
      <x:c r="E13" s="209" t="n">
        <x:v>0</x:v>
      </x:c>
      <x:c r="F13" s="209" t="n">
        <x:v>182297.80999999997</x:v>
      </x:c>
      <x:c r="G13" s="209" t="n">
        <x:v>182297.8099999999</x:v>
      </x:c>
      <x:c r="H13" s="209" t="n">
        <x:v>5.820766091346741e-11</x:v>
      </x:c>
      <x:c r="I13" s="209" t="n">
        <x:v>24388.7401</x:v>
      </x:c>
      <x:c r="J13" s="209" t="n">
        <x:v>24388.740092077383</x:v>
      </x:c>
      <x:c r="K13" s="209" t="n">
        <x:v>0.000007922615623101592</x:v>
      </x:c>
      <x:c r="L13" s="210" t="str">
        <x:v>PASS — numerical consistency</x:v>
      </x:c>
    </x:row>
    <x:row r="14">
      <x:c r="A14" t="str">
        <x:v>Norway</x:v>
      </x:c>
      <x:c r="B14" t="str">
        <x:v>NOK</x:v>
      </x:c>
      <x:c r="C14" s="209" t="n">
        <x:v>461</x:v>
      </x:c>
      <x:c r="D14" s="209" t="n">
        <x:v>461</x:v>
      </x:c>
      <x:c r="E14" s="209" t="n">
        <x:v>0</x:v>
      </x:c>
      <x:c r="F14" s="209" t="n">
        <x:v>122248.05999999998</x:v>
      </x:c>
      <x:c r="G14" s="209" t="n">
        <x:v>122248.06</x:v>
      </x:c>
      <x:c r="H14" s="209" t="n">
        <x:v>-1.4551915228366852e-11</x:v>
      </x:c>
      <x:c r="I14" s="209" t="n">
        <x:v>10807.6386</x:v>
      </x:c>
      <x:c r="J14" s="209" t="n">
        <x:v>10807.638555779153</x:v>
      </x:c>
      <x:c r="K14" s="209" t="n">
        <x:v>0.00004422084748512134</x:v>
      </x:c>
      <x:c r="L14" s="210" t="str">
        <x:v>PASS — numerical consistency</x:v>
      </x:c>
    </x:row>
    <x:row r="15">
      <x:c r="A15" t="str">
        <x:v>Sweden</x:v>
      </x:c>
      <x:c r="B15" t="str">
        <x:v>SEK</x:v>
      </x:c>
      <x:c r="C15" s="209" t="n">
        <x:v>487</x:v>
      </x:c>
      <x:c r="D15" s="209" t="n">
        <x:v>487</x:v>
      </x:c>
      <x:c r="E15" s="209" t="n">
        <x:v>0</x:v>
      </x:c>
      <x:c r="F15" s="209" t="n">
        <x:v>156644.05999999994</x:v>
      </x:c>
      <x:c r="G15" s="209" t="n">
        <x:v>156644.06000000014</x:v>
      </x:c>
      <x:c r="H15" s="209" t="n">
        <x:v>-2.0372681319713593e-10</x:v>
      </x:c>
      <x:c r="I15" s="209" t="n">
        <x:v>14140.069</x:v>
      </x:c>
      <x:c r="J15" s="209" t="n">
        <x:v>14140.06899883255</x:v>
      </x:c>
      <x:c r="K15" s="209" t="n">
        <x:v>0.0000011674492270685732</x:v>
      </x:c>
      <x:c r="L15" s="210" t="str">
        <x:v>PASS — numerical consistency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7" max="7" width="38" hidden="0" customWidth="1"/>
  </x:cols>
  <x:sheetData>
    <x:row r="1" ht="32" customHeight="1">
      <x:c r="A1" s="217" t="str">
        <x:v>Country</x:v>
      </x:c>
      <x:c r="B1" s="217" t="str">
        <x:v>Band contracts</x:v>
      </x:c>
      <x:c r="C1" s="217" t="str">
        <x:v>Band amount local</x:v>
      </x:c>
      <x:c r="D1" s="217" t="str">
        <x:v>Vintage contracts</x:v>
      </x:c>
      <x:c r="E1" s="217" t="str">
        <x:v>Vintage amount local</x:v>
      </x:c>
      <x:c r="F1" s="217" t="str">
        <x:v>Quarter</x:v>
      </x:c>
      <x:c r="G1" s="217" t="str">
        <x:v>Source of truth</x:v>
      </x:c>
    </x:row>
    <x:row r="2">
      <x:c r="A2" t="str">
        <x:v>Spain</x:v>
      </x:c>
      <x:c r="B2" s="218" t="n">
        <x:v>7763</x:v>
      </x:c>
      <x:c r="C2" s="218" t="n">
        <x:v>1787812</x:v>
      </x:c>
      <x:c r="D2" s="218" t="n">
        <x:v>7763</x:v>
      </x:c>
      <x:c r="E2" s="218" t="n">
        <x:v>1787812</x:v>
      </x:c>
      <x:c r="F2" t="str">
        <x:v>2026Q2</x:v>
      </x:c>
      <x:c r="G2" t="str">
        <x:v>KPI3_HISTORY / reporting total ALL</x:v>
      </x:c>
    </x:row>
    <x:row r="3">
      <x:c r="A3" t="str">
        <x:v>Germany</x:v>
      </x:c>
      <x:c r="B3" s="218" t="n">
        <x:v>23307</x:v>
      </x:c>
      <x:c r="C3" s="218" t="n">
        <x:v>3473473</x:v>
      </x:c>
      <x:c r="D3" s="218" t="n">
        <x:v>23307</x:v>
      </x:c>
      <x:c r="E3" s="218" t="n">
        <x:v>3473473</x:v>
      </x:c>
      <x:c r="F3" t="str">
        <x:v>2026Q2</x:v>
      </x:c>
      <x:c r="G3" t="str">
        <x:v>KPI3_HISTORY / reporting total ALL</x:v>
      </x:c>
    </x:row>
    <x:row r="4">
      <x:c r="A4" t="str">
        <x:v>Austria</x:v>
      </x:c>
      <x:c r="B4" s="218" t="n">
        <x:v>74</x:v>
      </x:c>
      <x:c r="C4" s="218" t="n">
        <x:v>11992</x:v>
      </x:c>
      <x:c r="D4" s="218" t="n">
        <x:v>74</x:v>
      </x:c>
      <x:c r="E4" s="218" t="n">
        <x:v>11992.29</x:v>
      </x:c>
      <x:c r="F4" t="str">
        <x:v>2026Q2</x:v>
      </x:c>
      <x:c r="G4" t="str">
        <x:v>KPI3_HISTORY / reporting total ALL</x:v>
      </x:c>
    </x:row>
    <x:row r="5">
      <x:c r="A5" t="str">
        <x:v>Belgium</x:v>
      </x:c>
      <x:c r="B5" s="218" t="n">
        <x:v>295</x:v>
      </x:c>
      <x:c r="C5" s="218" t="n">
        <x:v>136664</x:v>
      </x:c>
      <x:c r="D5" s="218" t="n">
        <x:v>295</x:v>
      </x:c>
      <x:c r="E5" s="218" t="n">
        <x:v>136664</x:v>
      </x:c>
      <x:c r="F5" t="str">
        <x:v>2026Q2</x:v>
      </x:c>
      <x:c r="G5" t="str">
        <x:v>KPI3_HISTORY / reporting total ALL</x:v>
      </x:c>
    </x:row>
    <x:row r="6">
      <x:c r="A6" t="str">
        <x:v>Italy</x:v>
      </x:c>
      <x:c r="B6" s="218" t="n">
        <x:v>108473</x:v>
      </x:c>
      <x:c r="C6" s="218" t="n">
        <x:v>3023245</x:v>
      </x:c>
      <x:c r="D6" s="218" t="n">
        <x:v>108473</x:v>
      </x:c>
      <x:c r="E6" s="218" t="n">
        <x:v>3023245</x:v>
      </x:c>
      <x:c r="F6" t="str">
        <x:v>2026Q2</x:v>
      </x:c>
      <x:c r="G6" t="str">
        <x:v>KPI3_HISTORY / reporting total ALL</x:v>
      </x:c>
    </x:row>
    <x:row r="7">
      <x:c r="A7" t="str">
        <x:v>Portugal</x:v>
      </x:c>
      <x:c r="B7" s="218" t="n">
        <x:v>13641</x:v>
      </x:c>
      <x:c r="C7" s="218" t="n">
        <x:v>593413</x:v>
      </x:c>
      <x:c r="D7" s="218" t="n">
        <x:v>13641</x:v>
      </x:c>
      <x:c r="E7" s="218" t="n">
        <x:v>593413</x:v>
      </x:c>
      <x:c r="F7" t="str">
        <x:v>2026Q2</x:v>
      </x:c>
      <x:c r="G7" t="str">
        <x:v>KPI3_HISTORY / reporting total ALL</x:v>
      </x:c>
    </x:row>
    <x:row r="8">
      <x:c r="A8" t="str">
        <x:v>France</x:v>
      </x:c>
      <x:c r="B8" s="218" t="n">
        <x:v>14816</x:v>
      </x:c>
      <x:c r="C8" s="218" t="n">
        <x:v>3317587</x:v>
      </x:c>
      <x:c r="D8" s="218" t="n">
        <x:v>14816</x:v>
      </x:c>
      <x:c r="E8" s="218" t="n">
        <x:v>3317587</x:v>
      </x:c>
      <x:c r="F8" t="str">
        <x:v>2026Q2</x:v>
      </x:c>
      <x:c r="G8" t="str">
        <x:v>KPI3_HISTORY / reporting total ALL</x:v>
      </x:c>
    </x:row>
    <x:row r="9">
      <x:c r="A9" t="str">
        <x:v>UK</x:v>
      </x:c>
      <x:c r="B9" s="218" t="n">
        <x:v>1031246</x:v>
      </x:c>
      <x:c r="C9" s="218" t="n">
        <x:v>2444203</x:v>
      </x:c>
      <x:c r="D9" s="218" t="n">
        <x:v>50963</x:v>
      </x:c>
      <x:c r="E9" s="218" t="n">
        <x:v>2444203</x:v>
      </x:c>
      <x:c r="F9" t="str">
        <x:v>2026Q2</x:v>
      </x:c>
      <x:c r="G9" t="str">
        <x:v>KPI3_HISTORY / reporting total ALL</x:v>
      </x:c>
    </x:row>
    <x:row r="10">
      <x:c r="A10" t="str">
        <x:v>South Africa</x:v>
      </x:c>
      <x:c r="B10" s="218" t="n">
        <x:v>71052</x:v>
      </x:c>
      <x:c r="C10" s="218" t="n">
        <x:v>31178863.209999945</x:v>
      </x:c>
      <x:c r="D10" s="218" t="n">
        <x:v>71052</x:v>
      </x:c>
      <x:c r="E10" s="218" t="n">
        <x:v>31178863.20999989</x:v>
      </x:c>
      <x:c r="F10" t="str">
        <x:v>2026Q2</x:v>
      </x:c>
      <x:c r="G10" t="str">
        <x:v>KPI3_HISTORY / reporting total ALL</x:v>
      </x:c>
    </x:row>
    <x:row r="11">
      <x:c r="A11" t="str">
        <x:v>Romania</x:v>
      </x:c>
      <x:c r="B11" s="218"/>
      <x:c r="C11" s="218"/>
      <x:c r="D11" s="218"/>
      <x:c r="E11" s="218"/>
      <x:c r="F11" t="str">
        <x:v>2026Q2</x:v>
      </x:c>
      <x:c r="G11" t="str">
        <x:v>KPI3_HISTORY / reporting total ALL</x:v>
      </x:c>
    </x:row>
    <x:row r="12">
      <x:c r="A12" t="str">
        <x:v>Brazil</x:v>
      </x:c>
      <x:c r="B12" s="218"/>
      <x:c r="C12" s="218"/>
      <x:c r="D12" s="218"/>
      <x:c r="E12" s="218"/>
      <x:c r="F12" t="str">
        <x:v>2026Q2</x:v>
      </x:c>
      <x:c r="G12" t="str">
        <x:v>KPI3_HISTORY / reporting total ALL</x:v>
      </x:c>
    </x:row>
    <x:row r="13">
      <x:c r="A13" t="str">
        <x:v>Denmark</x:v>
      </x:c>
      <x:c r="B13" s="218" t="n">
        <x:v>692</x:v>
      </x:c>
      <x:c r="C13" s="218" t="n">
        <x:v>182297.81</x:v>
      </x:c>
      <x:c r="D13" s="218" t="n">
        <x:v>692</x:v>
      </x:c>
      <x:c r="E13" s="218" t="n">
        <x:v>182297.8099999999</x:v>
      </x:c>
      <x:c r="F13" t="str">
        <x:v>2026Q2</x:v>
      </x:c>
      <x:c r="G13" t="str">
        <x:v>KPI3_HISTORY / reporting total ALL</x:v>
      </x:c>
    </x:row>
    <x:row r="14">
      <x:c r="A14" t="str">
        <x:v>Norway</x:v>
      </x:c>
      <x:c r="B14" s="218" t="n">
        <x:v>461</x:v>
      </x:c>
      <x:c r="C14" s="218" t="n">
        <x:v>122248.05999999998</x:v>
      </x:c>
      <x:c r="D14" s="218" t="n">
        <x:v>461</x:v>
      </x:c>
      <x:c r="E14" s="218" t="n">
        <x:v>122248.06</x:v>
      </x:c>
      <x:c r="F14" t="str">
        <x:v>2026Q2</x:v>
      </x:c>
      <x:c r="G14" t="str">
        <x:v>KPI3_HISTORY / reporting total ALL</x:v>
      </x:c>
    </x:row>
    <x:row r="15">
      <x:c r="A15" t="str">
        <x:v>Sweden</x:v>
      </x:c>
      <x:c r="B15" s="218" t="n">
        <x:v>487</x:v>
      </x:c>
      <x:c r="C15" s="218" t="n">
        <x:v>156644.05999999994</x:v>
      </x:c>
      <x:c r="D15" s="218" t="n">
        <x:v>487</x:v>
      </x:c>
      <x:c r="E15" s="218" t="n">
        <x:v>156644.06000000014</x:v>
      </x:c>
      <x:c r="F15" t="str">
        <x:v>2026Q2</x:v>
      </x:c>
      <x:c r="G15" t="str">
        <x:v>KPI3_HISTORY / reporting total ALL</x:v>
      </x:c>
    </x:row>
  </x:sheetData>
  <x:pageMargins left="0.7" right="0.7" top="0.75" bottom="0.75" header="0.3" footer="0.3"/>
</x:worksheet>
</file>